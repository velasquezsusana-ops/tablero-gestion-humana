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comments13.xml" ContentType="application/vnd.openxmlformats-officedocument.spreadsheetml.comments+xml"/>
  <Override PartName="/xl/threadedComments/threadedComment7.xml" ContentType="application/vnd.ms-excel.threadedcomments+xml"/>
  <Override PartName="/xl/comments14.xml" ContentType="application/vnd.openxmlformats-officedocument.spreadsheetml.comments+xml"/>
  <Override PartName="/xl/threadedComments/threadedComment8.xml" ContentType="application/vnd.ms-excel.threadedcomments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comments16.xml" ContentType="application/vnd.openxmlformats-officedocument.spreadsheetml.comments+xml"/>
  <Override PartName="/xl/threadedComments/threadedComment10.xml" ContentType="application/vnd.ms-excel.threadedcomments+xml"/>
  <Override PartName="/xl/comments17.xml" ContentType="application/vnd.openxmlformats-officedocument.spreadsheetml.comments+xml"/>
  <Override PartName="/xl/threadedComments/threadedComment11.xml" ContentType="application/vnd.ms-excel.threadedcomments+xml"/>
  <Override PartName="/xl/comments18.xml" ContentType="application/vnd.openxmlformats-officedocument.spreadsheetml.comments+xml"/>
  <Override PartName="/xl/threadedComments/threadedComment12.xml" ContentType="application/vnd.ms-excel.threadedcomments+xml"/>
  <Override PartName="/xl/comments19.xml" ContentType="application/vnd.openxmlformats-officedocument.spreadsheetml.comments+xml"/>
  <Override PartName="/xl/threadedComments/threadedComment13.xml" ContentType="application/vnd.ms-excel.threadedcomments+xml"/>
  <Override PartName="/xl/comments20.xml" ContentType="application/vnd.openxmlformats-officedocument.spreadsheetml.comments+xml"/>
  <Override PartName="/xl/threadedComments/threadedComment14.xml" ContentType="application/vnd.ms-excel.threadedcomments+xml"/>
  <Override PartName="/xl/comments21.xml" ContentType="application/vnd.openxmlformats-officedocument.spreadsheetml.comments+xml"/>
  <Override PartName="/xl/threadedComments/threadedComment15.xml" ContentType="application/vnd.ms-excel.threadedcomments+xml"/>
  <Override PartName="/xl/comments22.xml" ContentType="application/vnd.openxmlformats-officedocument.spreadsheetml.comments+xml"/>
  <Override PartName="/xl/threadedComments/threadedComment16.xml" ContentType="application/vnd.ms-excel.threadedcomments+xml"/>
  <Override PartName="/xl/comments23.xml" ContentType="application/vnd.openxmlformats-officedocument.spreadsheetml.comments+xml"/>
  <Override PartName="/xl/threadedComments/threadedComment17.xml" ContentType="application/vnd.ms-excel.threadedcomments+xml"/>
  <Override PartName="/xl/comments24.xml" ContentType="application/vnd.openxmlformats-officedocument.spreadsheetml.comments+xml"/>
  <Override PartName="/xl/threadedComments/threadedComment18.xml" ContentType="application/vnd.ms-excel.threadedcomments+xml"/>
  <Override PartName="/xl/comments25.xml" ContentType="application/vnd.openxmlformats-officedocument.spreadsheetml.comments+xml"/>
  <Override PartName="/xl/threadedComments/threadedComment19.xml" ContentType="application/vnd.ms-excel.threadedcomments+xml"/>
  <Override PartName="/xl/comments26.xml" ContentType="application/vnd.openxmlformats-officedocument.spreadsheetml.comments+xml"/>
  <Override PartName="/xl/threadedComments/threadedComment20.xml" ContentType="application/vnd.ms-excel.threadedcomments+xml"/>
  <Override PartName="/xl/comments27.xml" ContentType="application/vnd.openxmlformats-officedocument.spreadsheetml.comments+xml"/>
  <Override PartName="/xl/threadedComments/threadedComment21.xml" ContentType="application/vnd.ms-excel.threadedcomments+xml"/>
  <Override PartName="/xl/comments28.xml" ContentType="application/vnd.openxmlformats-officedocument.spreadsheetml.comments+xml"/>
  <Override PartName="/xl/threadedComments/threadedComment22.xml" ContentType="application/vnd.ms-excel.threadedcomments+xml"/>
  <Override PartName="/xl/comments29.xml" ContentType="application/vnd.openxmlformats-officedocument.spreadsheetml.comments+xml"/>
  <Override PartName="/xl/threadedComments/threadedComment23.xml" ContentType="application/vnd.ms-excel.threadedcomments+xml"/>
  <Override PartName="/xl/comments30.xml" ContentType="application/vnd.openxmlformats-officedocument.spreadsheetml.comments+xml"/>
  <Override PartName="/xl/threadedComments/threadedComment24.xml" ContentType="application/vnd.ms-excel.threadedcomments+xml"/>
  <Override PartName="/xl/comments31.xml" ContentType="application/vnd.openxmlformats-officedocument.spreadsheetml.comments+xml"/>
  <Override PartName="/xl/threadedComments/threadedComment25.xml" ContentType="application/vnd.ms-excel.threadedcomments+xml"/>
  <Override PartName="/xl/comments32.xml" ContentType="application/vnd.openxmlformats-officedocument.spreadsheetml.comments+xml"/>
  <Override PartName="/xl/threadedComments/threadedComment26.xml" ContentType="application/vnd.ms-excel.threadedcomments+xml"/>
  <Override PartName="/xl/comments33.xml" ContentType="application/vnd.openxmlformats-officedocument.spreadsheetml.comments+xml"/>
  <Override PartName="/xl/threadedComments/threadedComment2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ntolivo\Dropbox\Asesorias PYMES\1. Proyectos Actuales\2. MONTOLIVO\2. Proyecto\Indicadores Montolivo\Gestion Humana\"/>
    </mc:Choice>
  </mc:AlternateContent>
  <xr:revisionPtr revIDLastSave="0" documentId="13_ncr:1_{56C2F2CA-3042-427F-A3BD-D9D30AB11B38}" xr6:coauthVersionLast="47" xr6:coauthVersionMax="47" xr10:uidLastSave="{00000000-0000-0000-0000-000000000000}"/>
  <bookViews>
    <workbookView xWindow="-105" yWindow="0" windowWidth="10455" windowHeight="10905" firstSheet="1" activeTab="1" xr2:uid="{00000000-000D-0000-FFFF-FFFF00000000}"/>
  </bookViews>
  <sheets>
    <sheet name="ROTACION JULIO 2026" sheetId="41" r:id="rId1"/>
    <sheet name="ROTACION AGOSTO 2026" sheetId="42" r:id="rId2"/>
    <sheet name="ROTACION JUNIO 2026 " sheetId="40" r:id="rId3"/>
    <sheet name="ROTACIÓN JUNIO 2023" sheetId="1" r:id="rId4"/>
    <sheet name="ROTACIÓN JULIO 2023" sheetId="2" r:id="rId5"/>
    <sheet name="ROTACIÓN AGOSTO 20232" sheetId="3" r:id="rId6"/>
    <sheet name="ROTACIÓN SEPTIEMBRE" sheetId="4" r:id="rId7"/>
    <sheet name="ROTACIÓN OCTUBRE" sheetId="5" r:id="rId8"/>
    <sheet name="ROTACIÓN NOVIEMBRE" sheetId="6" r:id="rId9"/>
    <sheet name="ROTACIÓN DICIEMBRE" sheetId="7" r:id="rId10"/>
    <sheet name="ROTACIÓN ENERO 2024" sheetId="8" r:id="rId11"/>
    <sheet name="ROTACIÓN FEBRERO 2024" sheetId="9" r:id="rId12"/>
    <sheet name="ROTACIÓN MARZO 2024" sheetId="10" r:id="rId13"/>
    <sheet name="ROTACIÓN ABRIL 2024" sheetId="12" r:id="rId14"/>
    <sheet name="ROTACIÓN MAYO 2024" sheetId="13" r:id="rId15"/>
    <sheet name="ROTACIÓN JUNIO 2024" sheetId="14" r:id="rId16"/>
    <sheet name="ROTACIÓN JULIO 2024" sheetId="15" r:id="rId17"/>
    <sheet name="ROTACIÓN AGOSTO 2024" sheetId="16" r:id="rId18"/>
    <sheet name="ROTACIÓN SEP 2024" sheetId="17" r:id="rId19"/>
    <sheet name="ROTACIÓN OCT 2024" sheetId="18" r:id="rId20"/>
    <sheet name="ROTACIÓN NOV 2024" sheetId="19" r:id="rId21"/>
    <sheet name="ROTACIÓN DIC 2024" sheetId="20" r:id="rId22"/>
    <sheet name="ROTACIÓN ENE 2025" sheetId="21" r:id="rId23"/>
    <sheet name="ROTACIÓN FEB 2025" sheetId="22" r:id="rId24"/>
    <sheet name="ROTACIÓN MAR 2025" sheetId="23" r:id="rId25"/>
    <sheet name="ROTACIÓN ABR 2025" sheetId="24" r:id="rId26"/>
    <sheet name="ROTACIÓN MAYO 2025" sheetId="25" r:id="rId27"/>
    <sheet name="ROTACIÓN JUNIO 2025" sheetId="26" r:id="rId28"/>
    <sheet name="ROTACIÓN JULIO 2025" sheetId="27" r:id="rId29"/>
    <sheet name="ROTACIÓN AGOSTO 2025" sheetId="28" r:id="rId30"/>
    <sheet name="ROTACIÓN SEP 2025" sheetId="29" r:id="rId31"/>
    <sheet name="ROTACIÓN OCT 2025" sheetId="30" r:id="rId32"/>
    <sheet name="ROTACIÓN NOV 2025" sheetId="31" r:id="rId33"/>
    <sheet name="ROTACIÓN DIC 2025" sheetId="32" r:id="rId34"/>
    <sheet name="ROTACIÓN ENE 2026" sheetId="34" r:id="rId35"/>
    <sheet name="ROTACION FEBRERO 2026" sheetId="33" r:id="rId36"/>
    <sheet name="ROTACION MARZO 2026" sheetId="35" r:id="rId37"/>
    <sheet name="ROTACION ABRIL 2026 (2)" sheetId="37" r:id="rId38"/>
    <sheet name="ROTACION ABRIL 2026" sheetId="36" r:id="rId39"/>
    <sheet name="ROTACION MAYO 2026" sheetId="38" r:id="rId40"/>
    <sheet name="ROTACION JUNIO 2026" sheetId="39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2" roundtripDataChecksum="ZP3hggq7AJ3gHOcpM9mGZe+CXn5+A8Mv4hZorbLqBcU="/>
    </ext>
  </extLst>
</workbook>
</file>

<file path=xl/calcChain.xml><?xml version="1.0" encoding="utf-8"?>
<calcChain xmlns="http://schemas.openxmlformats.org/spreadsheetml/2006/main">
  <c r="N52" i="42" l="1"/>
  <c r="K52" i="42"/>
  <c r="H52" i="42"/>
  <c r="E52" i="42"/>
  <c r="B52" i="42"/>
  <c r="B46" i="42"/>
  <c r="T43" i="42"/>
  <c r="Q43" i="42"/>
  <c r="N43" i="42"/>
  <c r="K43" i="42"/>
  <c r="H43" i="42"/>
  <c r="E43" i="42"/>
  <c r="B41" i="42"/>
  <c r="B43" i="42" s="1"/>
  <c r="T38" i="42"/>
  <c r="Q38" i="42"/>
  <c r="N38" i="42"/>
  <c r="K38" i="42"/>
  <c r="H38" i="42"/>
  <c r="E38" i="42"/>
  <c r="B36" i="42"/>
  <c r="T33" i="42"/>
  <c r="Q33" i="42"/>
  <c r="N33" i="42"/>
  <c r="K33" i="42"/>
  <c r="H33" i="42"/>
  <c r="B32" i="42"/>
  <c r="E31" i="42"/>
  <c r="E33" i="42" s="1"/>
  <c r="B29" i="42"/>
  <c r="B31" i="42" s="1"/>
  <c r="T22" i="42"/>
  <c r="Q22" i="42"/>
  <c r="N22" i="42"/>
  <c r="K22" i="42"/>
  <c r="H22" i="42"/>
  <c r="E22" i="42"/>
  <c r="B19" i="42"/>
  <c r="B20" i="42" s="1"/>
  <c r="T15" i="42"/>
  <c r="Q15" i="42"/>
  <c r="N15" i="42"/>
  <c r="K15" i="42"/>
  <c r="B14" i="42"/>
  <c r="H13" i="42"/>
  <c r="H15" i="42" s="1"/>
  <c r="E13" i="42"/>
  <c r="E15" i="42" s="1"/>
  <c r="H6" i="42"/>
  <c r="H7" i="42" s="1"/>
  <c r="B4" i="42"/>
  <c r="E52" i="40"/>
  <c r="B52" i="40"/>
  <c r="B46" i="40"/>
  <c r="T43" i="40"/>
  <c r="Q43" i="40"/>
  <c r="N43" i="40"/>
  <c r="K43" i="40"/>
  <c r="H43" i="40"/>
  <c r="E43" i="40"/>
  <c r="B41" i="40"/>
  <c r="B43" i="40" s="1"/>
  <c r="T38" i="40"/>
  <c r="Q38" i="40"/>
  <c r="N38" i="40"/>
  <c r="K38" i="40"/>
  <c r="H38" i="40"/>
  <c r="E38" i="40"/>
  <c r="B38" i="40"/>
  <c r="B36" i="40"/>
  <c r="B45" i="40" s="1"/>
  <c r="T33" i="40"/>
  <c r="Q33" i="40"/>
  <c r="N33" i="40"/>
  <c r="K33" i="40"/>
  <c r="H33" i="40"/>
  <c r="B33" i="40"/>
  <c r="E31" i="40"/>
  <c r="E33" i="40" s="1"/>
  <c r="B31" i="40"/>
  <c r="T22" i="40"/>
  <c r="Q22" i="40"/>
  <c r="N22" i="40"/>
  <c r="K22" i="40"/>
  <c r="H22" i="40"/>
  <c r="E22" i="40"/>
  <c r="B20" i="40"/>
  <c r="B22" i="40" s="1"/>
  <c r="B19" i="40"/>
  <c r="T15" i="40"/>
  <c r="Q15" i="40"/>
  <c r="N15" i="40"/>
  <c r="K15" i="40"/>
  <c r="B14" i="40"/>
  <c r="B15" i="40" s="1"/>
  <c r="H13" i="40"/>
  <c r="H15" i="40" s="1"/>
  <c r="E13" i="40"/>
  <c r="E15" i="40" s="1"/>
  <c r="B13" i="40"/>
  <c r="B24" i="40" s="1"/>
  <c r="H6" i="40"/>
  <c r="H7" i="40" s="1"/>
  <c r="B4" i="40"/>
  <c r="H46" i="39"/>
  <c r="H45" i="39"/>
  <c r="B46" i="39"/>
  <c r="B36" i="39"/>
  <c r="B38" i="39" s="1"/>
  <c r="H33" i="39"/>
  <c r="K33" i="39"/>
  <c r="T33" i="39"/>
  <c r="Q33" i="39"/>
  <c r="N33" i="39"/>
  <c r="B33" i="39"/>
  <c r="B31" i="39"/>
  <c r="B25" i="39"/>
  <c r="B24" i="39"/>
  <c r="B19" i="39"/>
  <c r="B14" i="39"/>
  <c r="B13" i="39"/>
  <c r="N15" i="39"/>
  <c r="E52" i="39"/>
  <c r="B52" i="39"/>
  <c r="T43" i="39"/>
  <c r="Q43" i="39"/>
  <c r="N43" i="39"/>
  <c r="K43" i="39"/>
  <c r="H43" i="39"/>
  <c r="E43" i="39"/>
  <c r="B41" i="39"/>
  <c r="B43" i="39" s="1"/>
  <c r="T38" i="39"/>
  <c r="Q38" i="39"/>
  <c r="N38" i="39"/>
  <c r="K38" i="39"/>
  <c r="H38" i="39"/>
  <c r="E38" i="39"/>
  <c r="E31" i="39"/>
  <c r="E33" i="39" s="1"/>
  <c r="T22" i="39"/>
  <c r="Q22" i="39"/>
  <c r="N22" i="39"/>
  <c r="K22" i="39"/>
  <c r="H22" i="39"/>
  <c r="E22" i="39"/>
  <c r="B20" i="39"/>
  <c r="B22" i="39" s="1"/>
  <c r="K15" i="39"/>
  <c r="T15" i="39"/>
  <c r="Q15" i="39"/>
  <c r="H13" i="39"/>
  <c r="H15" i="39" s="1"/>
  <c r="E13" i="39"/>
  <c r="E15" i="39" s="1"/>
  <c r="H6" i="39"/>
  <c r="B4" i="39"/>
  <c r="C29" i="38"/>
  <c r="B32" i="38"/>
  <c r="H46" i="38" s="1"/>
  <c r="H45" i="38"/>
  <c r="B41" i="38"/>
  <c r="B36" i="38"/>
  <c r="B45" i="38" s="1"/>
  <c r="B31" i="38"/>
  <c r="B14" i="38"/>
  <c r="B11" i="38"/>
  <c r="E52" i="38"/>
  <c r="B52" i="38"/>
  <c r="B46" i="38"/>
  <c r="T43" i="38"/>
  <c r="Q43" i="38"/>
  <c r="N43" i="38"/>
  <c r="K43" i="38"/>
  <c r="H43" i="38"/>
  <c r="E43" i="38"/>
  <c r="B43" i="38"/>
  <c r="T38" i="38"/>
  <c r="Q38" i="38"/>
  <c r="N38" i="38"/>
  <c r="K38" i="38"/>
  <c r="H38" i="38"/>
  <c r="E38" i="38"/>
  <c r="B38" i="38"/>
  <c r="Q33" i="38"/>
  <c r="N33" i="38"/>
  <c r="K33" i="38"/>
  <c r="H33" i="38"/>
  <c r="T31" i="38"/>
  <c r="T33" i="38" s="1"/>
  <c r="E31" i="38"/>
  <c r="E33" i="38" s="1"/>
  <c r="T22" i="38"/>
  <c r="Q22" i="38"/>
  <c r="N22" i="38"/>
  <c r="K22" i="38"/>
  <c r="H22" i="38"/>
  <c r="E22" i="38"/>
  <c r="B20" i="38"/>
  <c r="B22" i="38" s="1"/>
  <c r="N15" i="38"/>
  <c r="T13" i="38"/>
  <c r="T15" i="38" s="1"/>
  <c r="Q13" i="38"/>
  <c r="Q15" i="38" s="1"/>
  <c r="K15" i="38"/>
  <c r="H13" i="38"/>
  <c r="H15" i="38" s="1"/>
  <c r="E13" i="38"/>
  <c r="E15" i="38" s="1"/>
  <c r="B13" i="38"/>
  <c r="H6" i="38"/>
  <c r="B4" i="38"/>
  <c r="B14" i="36"/>
  <c r="E52" i="37"/>
  <c r="B52" i="37"/>
  <c r="B46" i="37"/>
  <c r="T43" i="37"/>
  <c r="Q43" i="37"/>
  <c r="N43" i="37"/>
  <c r="K43" i="37"/>
  <c r="H43" i="37"/>
  <c r="E43" i="37"/>
  <c r="B43" i="37"/>
  <c r="T38" i="37"/>
  <c r="Q38" i="37"/>
  <c r="N38" i="37"/>
  <c r="K38" i="37"/>
  <c r="H38" i="37"/>
  <c r="E38" i="37"/>
  <c r="B45" i="37"/>
  <c r="B47" i="37" s="1"/>
  <c r="Q33" i="37"/>
  <c r="N33" i="37"/>
  <c r="K33" i="37"/>
  <c r="H46" i="37"/>
  <c r="T31" i="37"/>
  <c r="T33" i="37" s="1"/>
  <c r="H31" i="37"/>
  <c r="H33" i="37" s="1"/>
  <c r="E31" i="37"/>
  <c r="E33" i="37" s="1"/>
  <c r="B31" i="37"/>
  <c r="H45" i="37" s="1"/>
  <c r="T22" i="37"/>
  <c r="Q22" i="37"/>
  <c r="N22" i="37"/>
  <c r="K22" i="37"/>
  <c r="H22" i="37"/>
  <c r="E22" i="37"/>
  <c r="B19" i="37"/>
  <c r="B20" i="37" s="1"/>
  <c r="B22" i="37" s="1"/>
  <c r="B14" i="37"/>
  <c r="B25" i="37" s="1"/>
  <c r="B26" i="37" s="1"/>
  <c r="T13" i="37"/>
  <c r="T15" i="37" s="1"/>
  <c r="Q13" i="37"/>
  <c r="Q15" i="37" s="1"/>
  <c r="N13" i="37"/>
  <c r="N15" i="37" s="1"/>
  <c r="K13" i="37"/>
  <c r="K15" i="37" s="1"/>
  <c r="H13" i="37"/>
  <c r="H15" i="37" s="1"/>
  <c r="E13" i="37"/>
  <c r="E15" i="37" s="1"/>
  <c r="B11" i="37"/>
  <c r="B13" i="37" s="1"/>
  <c r="B24" i="37" s="1"/>
  <c r="H6" i="37"/>
  <c r="H7" i="37" s="1"/>
  <c r="B4" i="37"/>
  <c r="B4" i="35"/>
  <c r="B45" i="36"/>
  <c r="B32" i="36"/>
  <c r="B29" i="36"/>
  <c r="B19" i="36"/>
  <c r="B11" i="36"/>
  <c r="B4" i="36"/>
  <c r="T13" i="36"/>
  <c r="B45" i="42" l="1"/>
  <c r="B38" i="42"/>
  <c r="B33" i="42"/>
  <c r="H46" i="42"/>
  <c r="B24" i="42"/>
  <c r="B22" i="42"/>
  <c r="B25" i="42"/>
  <c r="B26" i="42" s="1"/>
  <c r="B15" i="42"/>
  <c r="B47" i="40"/>
  <c r="H45" i="40"/>
  <c r="B25" i="40"/>
  <c r="B26" i="40" s="1"/>
  <c r="H46" i="40"/>
  <c r="H47" i="40" s="1"/>
  <c r="B45" i="39"/>
  <c r="B47" i="39" s="1"/>
  <c r="H7" i="39"/>
  <c r="B26" i="39"/>
  <c r="B15" i="39"/>
  <c r="B33" i="38"/>
  <c r="B47" i="38"/>
  <c r="H47" i="38"/>
  <c r="B15" i="38"/>
  <c r="H7" i="38"/>
  <c r="B24" i="38"/>
  <c r="B25" i="38"/>
  <c r="H47" i="37"/>
  <c r="B38" i="37"/>
  <c r="B33" i="37"/>
  <c r="B15" i="37"/>
  <c r="H46" i="36"/>
  <c r="E52" i="36"/>
  <c r="B52" i="36"/>
  <c r="B46" i="36"/>
  <c r="B47" i="36" s="1"/>
  <c r="T43" i="36"/>
  <c r="Q43" i="36"/>
  <c r="N43" i="36"/>
  <c r="K43" i="36"/>
  <c r="H43" i="36"/>
  <c r="E43" i="36"/>
  <c r="B43" i="36"/>
  <c r="T38" i="36"/>
  <c r="Q38" i="36"/>
  <c r="N38" i="36"/>
  <c r="K38" i="36"/>
  <c r="H38" i="36"/>
  <c r="E38" i="36"/>
  <c r="B38" i="36"/>
  <c r="Q33" i="36"/>
  <c r="N33" i="36"/>
  <c r="K33" i="36"/>
  <c r="T31" i="36"/>
  <c r="T33" i="36" s="1"/>
  <c r="H31" i="36"/>
  <c r="H33" i="36" s="1"/>
  <c r="E31" i="36"/>
  <c r="E33" i="36" s="1"/>
  <c r="B33" i="36"/>
  <c r="T22" i="36"/>
  <c r="Q22" i="36"/>
  <c r="N22" i="36"/>
  <c r="K22" i="36"/>
  <c r="H22" i="36"/>
  <c r="E22" i="36"/>
  <c r="B20" i="36"/>
  <c r="B22" i="36" s="1"/>
  <c r="T15" i="36"/>
  <c r="B25" i="36"/>
  <c r="Q13" i="36"/>
  <c r="Q15" i="36" s="1"/>
  <c r="N13" i="36"/>
  <c r="N15" i="36" s="1"/>
  <c r="K13" i="36"/>
  <c r="K15" i="36" s="1"/>
  <c r="H13" i="36"/>
  <c r="H15" i="36" s="1"/>
  <c r="E13" i="36"/>
  <c r="E15" i="36" s="1"/>
  <c r="B13" i="36"/>
  <c r="H6" i="36"/>
  <c r="H45" i="42" l="1"/>
  <c r="H47" i="42" s="1"/>
  <c r="B47" i="42"/>
  <c r="H47" i="39"/>
  <c r="B26" i="38"/>
  <c r="B24" i="36"/>
  <c r="B26" i="36" s="1"/>
  <c r="B15" i="36"/>
  <c r="H45" i="36"/>
  <c r="H47" i="36" s="1"/>
  <c r="H7" i="36"/>
  <c r="D4" i="35"/>
  <c r="B10" i="35"/>
  <c r="B30" i="35"/>
  <c r="B18" i="33"/>
  <c r="B23" i="33"/>
  <c r="B12" i="33"/>
  <c r="B13" i="33"/>
  <c r="H12" i="33"/>
  <c r="B28" i="33"/>
  <c r="B40" i="33"/>
  <c r="B44" i="33"/>
  <c r="B35" i="33"/>
  <c r="B4" i="33" l="1"/>
  <c r="B24" i="35" l="1"/>
  <c r="B42" i="35" l="1"/>
  <c r="B35" i="35"/>
  <c r="T37" i="35"/>
  <c r="Q37" i="35"/>
  <c r="N37" i="35"/>
  <c r="K37" i="35"/>
  <c r="H37" i="35"/>
  <c r="E37" i="35"/>
  <c r="B37" i="35"/>
  <c r="B13" i="35"/>
  <c r="T12" i="35"/>
  <c r="T14" i="35" s="1"/>
  <c r="Q12" i="35"/>
  <c r="Q14" i="35" s="1"/>
  <c r="N12" i="35"/>
  <c r="N14" i="35" s="1"/>
  <c r="K12" i="35"/>
  <c r="K14" i="35" s="1"/>
  <c r="H12" i="35"/>
  <c r="H14" i="35" s="1"/>
  <c r="E12" i="35"/>
  <c r="E14" i="35" s="1"/>
  <c r="B12" i="35"/>
  <c r="H6" i="35"/>
  <c r="E51" i="35"/>
  <c r="B51" i="35"/>
  <c r="B45" i="35"/>
  <c r="T42" i="35"/>
  <c r="Q42" i="35"/>
  <c r="N42" i="35"/>
  <c r="K42" i="35"/>
  <c r="H42" i="35"/>
  <c r="E42" i="35"/>
  <c r="Q32" i="35"/>
  <c r="N32" i="35"/>
  <c r="K32" i="35"/>
  <c r="T30" i="35"/>
  <c r="T32" i="35" s="1"/>
  <c r="H30" i="35"/>
  <c r="H32" i="35" s="1"/>
  <c r="E30" i="35"/>
  <c r="E32" i="35" s="1"/>
  <c r="T21" i="35"/>
  <c r="Q21" i="35"/>
  <c r="N21" i="35"/>
  <c r="K21" i="35"/>
  <c r="H21" i="35"/>
  <c r="E21" i="35"/>
  <c r="B19" i="35"/>
  <c r="B21" i="35" s="1"/>
  <c r="B30" i="33"/>
  <c r="H44" i="33" s="1"/>
  <c r="H6" i="33"/>
  <c r="B42" i="33"/>
  <c r="T32" i="33"/>
  <c r="Q32" i="33"/>
  <c r="N32" i="33"/>
  <c r="K32" i="33"/>
  <c r="H30" i="33"/>
  <c r="H32" i="33" s="1"/>
  <c r="E30" i="33"/>
  <c r="E32" i="33" s="1"/>
  <c r="B21" i="33"/>
  <c r="T21" i="33"/>
  <c r="Q12" i="33"/>
  <c r="Q14" i="33" s="1"/>
  <c r="K12" i="33"/>
  <c r="H14" i="33"/>
  <c r="E12" i="33"/>
  <c r="E14" i="33" s="1"/>
  <c r="E51" i="33"/>
  <c r="B51" i="33"/>
  <c r="T42" i="33"/>
  <c r="Q42" i="33"/>
  <c r="N42" i="33"/>
  <c r="K42" i="33"/>
  <c r="H42" i="33"/>
  <c r="E42" i="33"/>
  <c r="T37" i="33"/>
  <c r="Q37" i="33"/>
  <c r="N37" i="33"/>
  <c r="K37" i="33"/>
  <c r="H37" i="33"/>
  <c r="E37" i="33"/>
  <c r="B37" i="33"/>
  <c r="T30" i="33"/>
  <c r="Q21" i="33"/>
  <c r="N21" i="33"/>
  <c r="K21" i="33"/>
  <c r="H21" i="33"/>
  <c r="E21" i="33"/>
  <c r="K14" i="33"/>
  <c r="T12" i="33"/>
  <c r="T14" i="33" s="1"/>
  <c r="N12" i="33"/>
  <c r="N14" i="33" s="1"/>
  <c r="B44" i="34"/>
  <c r="Q14" i="34"/>
  <c r="N14" i="34"/>
  <c r="B13" i="34"/>
  <c r="B24" i="34" s="1"/>
  <c r="H45" i="32"/>
  <c r="H44" i="32"/>
  <c r="H44" i="34"/>
  <c r="B30" i="34"/>
  <c r="B32" i="34" s="1"/>
  <c r="B35" i="32"/>
  <c r="H12" i="34"/>
  <c r="H14" i="34" s="1"/>
  <c r="E12" i="34"/>
  <c r="D73" i="34"/>
  <c r="E51" i="34"/>
  <c r="B51" i="34"/>
  <c r="T42" i="34"/>
  <c r="Q42" i="34"/>
  <c r="N42" i="34"/>
  <c r="K42" i="34"/>
  <c r="H42" i="34"/>
  <c r="E42" i="34"/>
  <c r="B41" i="34"/>
  <c r="B45" i="34" s="1"/>
  <c r="H45" i="34" s="1"/>
  <c r="T37" i="34"/>
  <c r="Q37" i="34"/>
  <c r="N37" i="34"/>
  <c r="K37" i="34"/>
  <c r="H37" i="34"/>
  <c r="E37" i="34"/>
  <c r="K32" i="34"/>
  <c r="T30" i="34"/>
  <c r="T32" i="34" s="1"/>
  <c r="Q30" i="34"/>
  <c r="Q32" i="34" s="1"/>
  <c r="N32" i="34"/>
  <c r="K30" i="34"/>
  <c r="H30" i="34"/>
  <c r="H32" i="34" s="1"/>
  <c r="E30" i="34"/>
  <c r="E32" i="34" s="1"/>
  <c r="Q21" i="34"/>
  <c r="T19" i="34"/>
  <c r="T21" i="34" s="1"/>
  <c r="N21" i="34"/>
  <c r="K21" i="34"/>
  <c r="H19" i="34"/>
  <c r="H21" i="34" s="1"/>
  <c r="E19" i="34"/>
  <c r="E21" i="34" s="1"/>
  <c r="B19" i="34"/>
  <c r="T12" i="34"/>
  <c r="T14" i="34" s="1"/>
  <c r="N12" i="34"/>
  <c r="K14" i="34"/>
  <c r="E14" i="34"/>
  <c r="B12" i="34"/>
  <c r="H6" i="34"/>
  <c r="B4" i="34"/>
  <c r="B10" i="32"/>
  <c r="D73" i="32"/>
  <c r="E51" i="32"/>
  <c r="B51" i="32"/>
  <c r="T42" i="32"/>
  <c r="Q42" i="32"/>
  <c r="N42" i="32"/>
  <c r="K42" i="32"/>
  <c r="H42" i="32"/>
  <c r="E42" i="32"/>
  <c r="B41" i="32"/>
  <c r="B40" i="32"/>
  <c r="T37" i="32"/>
  <c r="Q37" i="32"/>
  <c r="N37" i="32"/>
  <c r="K37" i="32"/>
  <c r="H37" i="32"/>
  <c r="E37" i="32"/>
  <c r="B36" i="32"/>
  <c r="T32" i="32"/>
  <c r="Q32" i="32"/>
  <c r="N32" i="32"/>
  <c r="K32" i="32"/>
  <c r="B31" i="32"/>
  <c r="T30" i="32"/>
  <c r="Q30" i="32"/>
  <c r="N30" i="32"/>
  <c r="K30" i="32"/>
  <c r="H30" i="32"/>
  <c r="H32" i="32" s="1"/>
  <c r="E30" i="32"/>
  <c r="E32" i="32" s="1"/>
  <c r="B29" i="32"/>
  <c r="B28" i="32"/>
  <c r="H21" i="32"/>
  <c r="B20" i="32"/>
  <c r="T19" i="32"/>
  <c r="T21" i="32" s="1"/>
  <c r="Q19" i="32"/>
  <c r="Q21" i="32" s="1"/>
  <c r="N19" i="32"/>
  <c r="N21" i="32" s="1"/>
  <c r="K19" i="32"/>
  <c r="K21" i="32" s="1"/>
  <c r="H19" i="32"/>
  <c r="E19" i="32"/>
  <c r="E21" i="32" s="1"/>
  <c r="B18" i="32"/>
  <c r="B19" i="32" s="1"/>
  <c r="T14" i="32"/>
  <c r="N14" i="32"/>
  <c r="K14" i="32"/>
  <c r="H14" i="32"/>
  <c r="B13" i="32"/>
  <c r="T12" i="32"/>
  <c r="Q12" i="32"/>
  <c r="Q14" i="32" s="1"/>
  <c r="N12" i="32"/>
  <c r="K12" i="32"/>
  <c r="H12" i="32"/>
  <c r="E12" i="32"/>
  <c r="E14" i="32" s="1"/>
  <c r="B11" i="32"/>
  <c r="H6" i="32"/>
  <c r="B4" i="32"/>
  <c r="E51" i="31"/>
  <c r="E51" i="30"/>
  <c r="B23" i="35" l="1"/>
  <c r="B14" i="35"/>
  <c r="H7" i="35"/>
  <c r="B46" i="35"/>
  <c r="B32" i="33"/>
  <c r="B14" i="33"/>
  <c r="H7" i="33"/>
  <c r="B45" i="33"/>
  <c r="B42" i="34"/>
  <c r="B37" i="34"/>
  <c r="B23" i="34"/>
  <c r="B21" i="34"/>
  <c r="H7" i="34"/>
  <c r="B25" i="34"/>
  <c r="B14" i="34"/>
  <c r="B45" i="32"/>
  <c r="B24" i="32"/>
  <c r="B42" i="32"/>
  <c r="B44" i="32"/>
  <c r="B37" i="32"/>
  <c r="B30" i="32"/>
  <c r="B12" i="32"/>
  <c r="B23" i="32" s="1"/>
  <c r="H7" i="32"/>
  <c r="B21" i="32"/>
  <c r="E51" i="29"/>
  <c r="D73" i="31"/>
  <c r="D72" i="30"/>
  <c r="B32" i="35" l="1"/>
  <c r="H44" i="35"/>
  <c r="H46" i="35" s="1"/>
  <c r="B25" i="35"/>
  <c r="B25" i="33"/>
  <c r="B46" i="33"/>
  <c r="H46" i="33"/>
  <c r="B46" i="34"/>
  <c r="H46" i="34"/>
  <c r="B46" i="32"/>
  <c r="B25" i="32"/>
  <c r="H46" i="32"/>
  <c r="B32" i="32"/>
  <c r="B14" i="32"/>
  <c r="B51" i="29"/>
  <c r="B51" i="30"/>
  <c r="B51" i="31"/>
  <c r="T42" i="31"/>
  <c r="Q42" i="31"/>
  <c r="N42" i="31"/>
  <c r="K42" i="31"/>
  <c r="H42" i="31"/>
  <c r="E42" i="31"/>
  <c r="B41" i="31"/>
  <c r="B40" i="31"/>
  <c r="T37" i="31"/>
  <c r="Q37" i="31"/>
  <c r="N37" i="31"/>
  <c r="K37" i="31"/>
  <c r="H37" i="31"/>
  <c r="E37" i="31"/>
  <c r="B36" i="31"/>
  <c r="B35" i="31"/>
  <c r="N32" i="31"/>
  <c r="K32" i="31"/>
  <c r="B31" i="31"/>
  <c r="T30" i="31"/>
  <c r="T32" i="31" s="1"/>
  <c r="Q30" i="31"/>
  <c r="Q32" i="31" s="1"/>
  <c r="N30" i="31"/>
  <c r="K30" i="31"/>
  <c r="H30" i="31"/>
  <c r="H32" i="31" s="1"/>
  <c r="E30" i="31"/>
  <c r="E32" i="31" s="1"/>
  <c r="B29" i="31"/>
  <c r="B28" i="31"/>
  <c r="K21" i="31"/>
  <c r="H21" i="31"/>
  <c r="B20" i="31"/>
  <c r="T19" i="31"/>
  <c r="T21" i="31" s="1"/>
  <c r="Q19" i="31"/>
  <c r="Q21" i="31" s="1"/>
  <c r="N19" i="31"/>
  <c r="N21" i="31" s="1"/>
  <c r="K19" i="31"/>
  <c r="H19" i="31"/>
  <c r="E19" i="31"/>
  <c r="E21" i="31" s="1"/>
  <c r="B18" i="31"/>
  <c r="B19" i="31" s="1"/>
  <c r="Q14" i="31"/>
  <c r="N14" i="31"/>
  <c r="K14" i="31"/>
  <c r="B13" i="31"/>
  <c r="T12" i="31"/>
  <c r="T14" i="31" s="1"/>
  <c r="Q12" i="31"/>
  <c r="N12" i="31"/>
  <c r="K12" i="31"/>
  <c r="H12" i="31"/>
  <c r="H14" i="31" s="1"/>
  <c r="E12" i="31"/>
  <c r="E14" i="31" s="1"/>
  <c r="B11" i="31"/>
  <c r="B10" i="31"/>
  <c r="B12" i="31" s="1"/>
  <c r="H6" i="31"/>
  <c r="B4" i="31"/>
  <c r="T42" i="30"/>
  <c r="Q42" i="30"/>
  <c r="N42" i="30"/>
  <c r="K42" i="30"/>
  <c r="H42" i="30"/>
  <c r="E42" i="30"/>
  <c r="B41" i="30"/>
  <c r="B40" i="30"/>
  <c r="T37" i="30"/>
  <c r="Q37" i="30"/>
  <c r="N37" i="30"/>
  <c r="K37" i="30"/>
  <c r="H37" i="30"/>
  <c r="E37" i="30"/>
  <c r="B36" i="30"/>
  <c r="B35" i="30"/>
  <c r="B31" i="30"/>
  <c r="T30" i="30"/>
  <c r="T32" i="30" s="1"/>
  <c r="Q30" i="30"/>
  <c r="Q32" i="30" s="1"/>
  <c r="N30" i="30"/>
  <c r="N32" i="30" s="1"/>
  <c r="K30" i="30"/>
  <c r="K32" i="30" s="1"/>
  <c r="H30" i="30"/>
  <c r="H32" i="30" s="1"/>
  <c r="E30" i="30"/>
  <c r="B29" i="30"/>
  <c r="B28" i="30"/>
  <c r="B20" i="30"/>
  <c r="T19" i="30"/>
  <c r="T21" i="30" s="1"/>
  <c r="Q19" i="30"/>
  <c r="Q21" i="30" s="1"/>
  <c r="N19" i="30"/>
  <c r="N21" i="30" s="1"/>
  <c r="K19" i="30"/>
  <c r="K21" i="30" s="1"/>
  <c r="H19" i="30"/>
  <c r="H21" i="30" s="1"/>
  <c r="E19" i="30"/>
  <c r="E21" i="30" s="1"/>
  <c r="B18" i="30"/>
  <c r="B19" i="30" s="1"/>
  <c r="B13" i="30"/>
  <c r="T12" i="30"/>
  <c r="T14" i="30" s="1"/>
  <c r="Q12" i="30"/>
  <c r="Q14" i="30" s="1"/>
  <c r="N12" i="30"/>
  <c r="N14" i="30" s="1"/>
  <c r="K12" i="30"/>
  <c r="K14" i="30" s="1"/>
  <c r="H12" i="30"/>
  <c r="H14" i="30" s="1"/>
  <c r="E12" i="30"/>
  <c r="E14" i="30" s="1"/>
  <c r="B11" i="30"/>
  <c r="B10" i="30"/>
  <c r="H6" i="30"/>
  <c r="B4" i="30"/>
  <c r="T42" i="29"/>
  <c r="Q42" i="29"/>
  <c r="N42" i="29"/>
  <c r="K42" i="29"/>
  <c r="H42" i="29"/>
  <c r="E42" i="29"/>
  <c r="B41" i="29"/>
  <c r="B40" i="29"/>
  <c r="T37" i="29"/>
  <c r="Q37" i="29"/>
  <c r="N37" i="29"/>
  <c r="K37" i="29"/>
  <c r="H37" i="29"/>
  <c r="E37" i="29"/>
  <c r="B36" i="29"/>
  <c r="B35" i="29"/>
  <c r="B31" i="29"/>
  <c r="T30" i="29"/>
  <c r="T32" i="29" s="1"/>
  <c r="Q30" i="29"/>
  <c r="Q32" i="29" s="1"/>
  <c r="N30" i="29"/>
  <c r="N32" i="29" s="1"/>
  <c r="K30" i="29"/>
  <c r="H30" i="29"/>
  <c r="H32" i="29" s="1"/>
  <c r="E30" i="29"/>
  <c r="E32" i="29" s="1"/>
  <c r="B29" i="29"/>
  <c r="B28" i="29"/>
  <c r="K21" i="29"/>
  <c r="B20" i="29"/>
  <c r="T19" i="29"/>
  <c r="T21" i="29" s="1"/>
  <c r="Q19" i="29"/>
  <c r="Q21" i="29" s="1"/>
  <c r="N19" i="29"/>
  <c r="N21" i="29" s="1"/>
  <c r="K19" i="29"/>
  <c r="H19" i="29"/>
  <c r="H21" i="29" s="1"/>
  <c r="E19" i="29"/>
  <c r="E21" i="29" s="1"/>
  <c r="B18" i="29"/>
  <c r="B19" i="29" s="1"/>
  <c r="B13" i="29"/>
  <c r="T12" i="29"/>
  <c r="T14" i="29" s="1"/>
  <c r="Q12" i="29"/>
  <c r="Q14" i="29" s="1"/>
  <c r="N12" i="29"/>
  <c r="N14" i="29" s="1"/>
  <c r="K12" i="29"/>
  <c r="K14" i="29" s="1"/>
  <c r="H12" i="29"/>
  <c r="H14" i="29" s="1"/>
  <c r="E12" i="29"/>
  <c r="E14" i="29" s="1"/>
  <c r="B11" i="29"/>
  <c r="B10" i="29"/>
  <c r="H6" i="29"/>
  <c r="B4" i="29"/>
  <c r="E45" i="28"/>
  <c r="T42" i="28"/>
  <c r="Q42" i="28"/>
  <c r="N42" i="28"/>
  <c r="K42" i="28"/>
  <c r="H42" i="28"/>
  <c r="E42" i="28"/>
  <c r="B41" i="28"/>
  <c r="B40" i="28"/>
  <c r="T37" i="28"/>
  <c r="Q37" i="28"/>
  <c r="N37" i="28"/>
  <c r="K37" i="28"/>
  <c r="H37" i="28"/>
  <c r="E37" i="28"/>
  <c r="B36" i="28"/>
  <c r="B35" i="28"/>
  <c r="B31" i="28"/>
  <c r="T30" i="28"/>
  <c r="T32" i="28" s="1"/>
  <c r="Q30" i="28"/>
  <c r="Q32" i="28" s="1"/>
  <c r="N30" i="28"/>
  <c r="N32" i="28" s="1"/>
  <c r="K30" i="28"/>
  <c r="K32" i="28" s="1"/>
  <c r="H30" i="28"/>
  <c r="H32" i="28" s="1"/>
  <c r="E30" i="28"/>
  <c r="B29" i="28"/>
  <c r="B28" i="28"/>
  <c r="Q21" i="28"/>
  <c r="N21" i="28"/>
  <c r="B20" i="28"/>
  <c r="T19" i="28"/>
  <c r="T21" i="28" s="1"/>
  <c r="Q19" i="28"/>
  <c r="N19" i="28"/>
  <c r="K19" i="28"/>
  <c r="K21" i="28" s="1"/>
  <c r="H19" i="28"/>
  <c r="H21" i="28" s="1"/>
  <c r="E19" i="28"/>
  <c r="E21" i="28" s="1"/>
  <c r="B18" i="28"/>
  <c r="B19" i="28" s="1"/>
  <c r="K14" i="28"/>
  <c r="B13" i="28"/>
  <c r="T12" i="28"/>
  <c r="T14" i="28" s="1"/>
  <c r="Q12" i="28"/>
  <c r="Q14" i="28" s="1"/>
  <c r="N12" i="28"/>
  <c r="N14" i="28" s="1"/>
  <c r="K12" i="28"/>
  <c r="H12" i="28"/>
  <c r="H14" i="28" s="1"/>
  <c r="E12" i="28"/>
  <c r="E14" i="28" s="1"/>
  <c r="B12" i="28"/>
  <c r="B11" i="28"/>
  <c r="B10" i="28"/>
  <c r="H6" i="28"/>
  <c r="B4" i="28"/>
  <c r="T42" i="27"/>
  <c r="Q42" i="27"/>
  <c r="N42" i="27"/>
  <c r="K42" i="27"/>
  <c r="H42" i="27"/>
  <c r="E42" i="27"/>
  <c r="B41" i="27"/>
  <c r="B40" i="27"/>
  <c r="T37" i="27"/>
  <c r="Q37" i="27"/>
  <c r="N37" i="27"/>
  <c r="K37" i="27"/>
  <c r="H37" i="27"/>
  <c r="E37" i="27"/>
  <c r="B36" i="27"/>
  <c r="B35" i="27"/>
  <c r="Q32" i="27"/>
  <c r="N32" i="27"/>
  <c r="K32" i="27"/>
  <c r="E32" i="27"/>
  <c r="B31" i="27"/>
  <c r="T30" i="27"/>
  <c r="T32" i="27" s="1"/>
  <c r="Q30" i="27"/>
  <c r="N30" i="27"/>
  <c r="K30" i="27"/>
  <c r="H30" i="27"/>
  <c r="H32" i="27" s="1"/>
  <c r="E30" i="27"/>
  <c r="B29" i="27"/>
  <c r="B28" i="27"/>
  <c r="B20" i="27"/>
  <c r="T19" i="27"/>
  <c r="T21" i="27" s="1"/>
  <c r="Q19" i="27"/>
  <c r="Q21" i="27" s="1"/>
  <c r="N19" i="27"/>
  <c r="N21" i="27" s="1"/>
  <c r="K19" i="27"/>
  <c r="K21" i="27" s="1"/>
  <c r="H19" i="27"/>
  <c r="H21" i="27" s="1"/>
  <c r="E19" i="27"/>
  <c r="E21" i="27" s="1"/>
  <c r="B18" i="27"/>
  <c r="B19" i="27" s="1"/>
  <c r="N14" i="27"/>
  <c r="H14" i="27"/>
  <c r="E14" i="27"/>
  <c r="B13" i="27"/>
  <c r="T12" i="27"/>
  <c r="T14" i="27" s="1"/>
  <c r="Q12" i="27"/>
  <c r="Q14" i="27" s="1"/>
  <c r="N12" i="27"/>
  <c r="K12" i="27"/>
  <c r="K14" i="27" s="1"/>
  <c r="H12" i="27"/>
  <c r="E12" i="27"/>
  <c r="B11" i="27"/>
  <c r="B10" i="27"/>
  <c r="H6" i="27"/>
  <c r="B4" i="27"/>
  <c r="B10" i="26"/>
  <c r="T42" i="26"/>
  <c r="Q42" i="26"/>
  <c r="N42" i="26"/>
  <c r="K42" i="26"/>
  <c r="H42" i="26"/>
  <c r="E42" i="26"/>
  <c r="B41" i="26"/>
  <c r="B40" i="26"/>
  <c r="T37" i="26"/>
  <c r="Q37" i="26"/>
  <c r="N37" i="26"/>
  <c r="K37" i="26"/>
  <c r="H37" i="26"/>
  <c r="E37" i="26"/>
  <c r="B36" i="26"/>
  <c r="B35" i="26"/>
  <c r="N32" i="26"/>
  <c r="K32" i="26"/>
  <c r="H32" i="26"/>
  <c r="E32" i="26"/>
  <c r="B31" i="26"/>
  <c r="T30" i="26"/>
  <c r="T32" i="26" s="1"/>
  <c r="Q30" i="26"/>
  <c r="Q32" i="26" s="1"/>
  <c r="N30" i="26"/>
  <c r="K30" i="26"/>
  <c r="H30" i="26"/>
  <c r="E30" i="26"/>
  <c r="B29" i="26"/>
  <c r="B28" i="26"/>
  <c r="B20" i="26"/>
  <c r="T19" i="26"/>
  <c r="T21" i="26" s="1"/>
  <c r="Q19" i="26"/>
  <c r="Q21" i="26" s="1"/>
  <c r="N19" i="26"/>
  <c r="N21" i="26" s="1"/>
  <c r="K19" i="26"/>
  <c r="K21" i="26" s="1"/>
  <c r="H19" i="26"/>
  <c r="H21" i="26" s="1"/>
  <c r="E19" i="26"/>
  <c r="E21" i="26" s="1"/>
  <c r="B18" i="26"/>
  <c r="B19" i="26" s="1"/>
  <c r="B13" i="26"/>
  <c r="T12" i="26"/>
  <c r="T14" i="26" s="1"/>
  <c r="Q12" i="26"/>
  <c r="Q14" i="26" s="1"/>
  <c r="N12" i="26"/>
  <c r="N14" i="26" s="1"/>
  <c r="K12" i="26"/>
  <c r="K14" i="26" s="1"/>
  <c r="H12" i="26"/>
  <c r="H14" i="26" s="1"/>
  <c r="E12" i="26"/>
  <c r="E14" i="26" s="1"/>
  <c r="B11" i="26"/>
  <c r="H6" i="26"/>
  <c r="B4" i="26"/>
  <c r="T42" i="25"/>
  <c r="Q42" i="25"/>
  <c r="N42" i="25"/>
  <c r="K42" i="25"/>
  <c r="H42" i="25"/>
  <c r="E42" i="25"/>
  <c r="B41" i="25"/>
  <c r="B40" i="25"/>
  <c r="T37" i="25"/>
  <c r="Q37" i="25"/>
  <c r="N37" i="25"/>
  <c r="K37" i="25"/>
  <c r="H37" i="25"/>
  <c r="E37" i="25"/>
  <c r="B36" i="25"/>
  <c r="B35" i="25"/>
  <c r="N32" i="25"/>
  <c r="K32" i="25"/>
  <c r="B31" i="25"/>
  <c r="T30" i="25"/>
  <c r="T32" i="25" s="1"/>
  <c r="Q30" i="25"/>
  <c r="Q32" i="25" s="1"/>
  <c r="N30" i="25"/>
  <c r="K30" i="25"/>
  <c r="H30" i="25"/>
  <c r="H32" i="25" s="1"/>
  <c r="E30" i="25"/>
  <c r="B29" i="25"/>
  <c r="B28" i="25"/>
  <c r="E21" i="25"/>
  <c r="B20" i="25"/>
  <c r="T19" i="25"/>
  <c r="T21" i="25" s="1"/>
  <c r="Q19" i="25"/>
  <c r="Q21" i="25" s="1"/>
  <c r="N19" i="25"/>
  <c r="N21" i="25" s="1"/>
  <c r="K19" i="25"/>
  <c r="K21" i="25" s="1"/>
  <c r="H19" i="25"/>
  <c r="H21" i="25" s="1"/>
  <c r="E19" i="25"/>
  <c r="B18" i="25"/>
  <c r="B19" i="25" s="1"/>
  <c r="N14" i="25"/>
  <c r="K14" i="25"/>
  <c r="H14" i="25"/>
  <c r="B13" i="25"/>
  <c r="T12" i="25"/>
  <c r="T14" i="25" s="1"/>
  <c r="Q12" i="25"/>
  <c r="Q14" i="25" s="1"/>
  <c r="N12" i="25"/>
  <c r="K12" i="25"/>
  <c r="H12" i="25"/>
  <c r="E12" i="25"/>
  <c r="E14" i="25" s="1"/>
  <c r="B11" i="25"/>
  <c r="B10" i="25"/>
  <c r="H6" i="25"/>
  <c r="B4" i="25"/>
  <c r="T42" i="24"/>
  <c r="Q42" i="24"/>
  <c r="N42" i="24"/>
  <c r="K42" i="24"/>
  <c r="H42" i="24"/>
  <c r="E42" i="24"/>
  <c r="B41" i="24"/>
  <c r="B40" i="24"/>
  <c r="T37" i="24"/>
  <c r="Q37" i="24"/>
  <c r="N37" i="24"/>
  <c r="K37" i="24"/>
  <c r="H37" i="24"/>
  <c r="E37" i="24"/>
  <c r="B36" i="24"/>
  <c r="B35" i="24"/>
  <c r="B31" i="24"/>
  <c r="T30" i="24"/>
  <c r="T32" i="24" s="1"/>
  <c r="Q30" i="24"/>
  <c r="Q32" i="24" s="1"/>
  <c r="N30" i="24"/>
  <c r="N32" i="24" s="1"/>
  <c r="K30" i="24"/>
  <c r="K32" i="24" s="1"/>
  <c r="H30" i="24"/>
  <c r="H32" i="24" s="1"/>
  <c r="E30" i="24"/>
  <c r="E32" i="24" s="1"/>
  <c r="B29" i="24"/>
  <c r="B28" i="24"/>
  <c r="B20" i="24"/>
  <c r="T19" i="24"/>
  <c r="T21" i="24" s="1"/>
  <c r="Q19" i="24"/>
  <c r="Q21" i="24" s="1"/>
  <c r="N19" i="24"/>
  <c r="N21" i="24" s="1"/>
  <c r="K19" i="24"/>
  <c r="K21" i="24" s="1"/>
  <c r="H19" i="24"/>
  <c r="H21" i="24" s="1"/>
  <c r="E19" i="24"/>
  <c r="E21" i="24" s="1"/>
  <c r="B18" i="24"/>
  <c r="B19" i="24" s="1"/>
  <c r="B13" i="24"/>
  <c r="T12" i="24"/>
  <c r="T14" i="24" s="1"/>
  <c r="Q12" i="24"/>
  <c r="Q14" i="24" s="1"/>
  <c r="N12" i="24"/>
  <c r="N14" i="24" s="1"/>
  <c r="K12" i="24"/>
  <c r="K14" i="24" s="1"/>
  <c r="H12" i="24"/>
  <c r="H14" i="24" s="1"/>
  <c r="E12" i="24"/>
  <c r="E14" i="24" s="1"/>
  <c r="B11" i="24"/>
  <c r="B10" i="24"/>
  <c r="H6" i="24"/>
  <c r="B4" i="24"/>
  <c r="B10" i="23"/>
  <c r="B12" i="29" l="1"/>
  <c r="B23" i="29" s="1"/>
  <c r="B45" i="31"/>
  <c r="B42" i="31"/>
  <c r="B24" i="31"/>
  <c r="B44" i="31"/>
  <c r="B30" i="31"/>
  <c r="H7" i="31"/>
  <c r="B14" i="31"/>
  <c r="B23" i="31"/>
  <c r="B25" i="31" s="1"/>
  <c r="B46" i="31"/>
  <c r="E45" i="31"/>
  <c r="B21" i="31"/>
  <c r="B37" i="31"/>
  <c r="H7" i="30"/>
  <c r="B24" i="30"/>
  <c r="B45" i="30"/>
  <c r="E45" i="30" s="1"/>
  <c r="B42" i="30"/>
  <c r="B44" i="30"/>
  <c r="B37" i="30"/>
  <c r="B30" i="30"/>
  <c r="E32" i="30"/>
  <c r="B12" i="30"/>
  <c r="B23" i="30" s="1"/>
  <c r="B25" i="30" s="1"/>
  <c r="B21" i="30"/>
  <c r="B45" i="29"/>
  <c r="B46" i="29" s="1"/>
  <c r="B37" i="29"/>
  <c r="H7" i="29"/>
  <c r="B24" i="29"/>
  <c r="B21" i="29"/>
  <c r="B44" i="29"/>
  <c r="B42" i="29"/>
  <c r="B30" i="29"/>
  <c r="B32" i="29"/>
  <c r="B25" i="29"/>
  <c r="B14" i="29"/>
  <c r="K32" i="29"/>
  <c r="B45" i="28"/>
  <c r="B21" i="28"/>
  <c r="B42" i="28"/>
  <c r="B44" i="28"/>
  <c r="B46" i="28" s="1"/>
  <c r="B24" i="28"/>
  <c r="B30" i="28"/>
  <c r="B23" i="28"/>
  <c r="H7" i="28"/>
  <c r="B14" i="28"/>
  <c r="E32" i="28"/>
  <c r="B37" i="28"/>
  <c r="B37" i="27"/>
  <c r="B24" i="27"/>
  <c r="B42" i="27"/>
  <c r="B44" i="27"/>
  <c r="B30" i="27"/>
  <c r="E44" i="27" s="1"/>
  <c r="B21" i="27"/>
  <c r="B12" i="27"/>
  <c r="H7" i="27"/>
  <c r="B23" i="27"/>
  <c r="B25" i="27" s="1"/>
  <c r="B45" i="27"/>
  <c r="B46" i="27" s="1"/>
  <c r="E45" i="27"/>
  <c r="B14" i="27"/>
  <c r="E45" i="26"/>
  <c r="B24" i="26"/>
  <c r="B12" i="26"/>
  <c r="B45" i="26"/>
  <c r="B44" i="26"/>
  <c r="B42" i="26"/>
  <c r="B21" i="26"/>
  <c r="B23" i="26"/>
  <c r="B25" i="26"/>
  <c r="H7" i="26"/>
  <c r="B46" i="26"/>
  <c r="B37" i="26"/>
  <c r="B14" i="26"/>
  <c r="B30" i="26"/>
  <c r="E45" i="25"/>
  <c r="B45" i="25"/>
  <c r="B42" i="25"/>
  <c r="B44" i="25"/>
  <c r="B30" i="25"/>
  <c r="B21" i="25"/>
  <c r="B12" i="25"/>
  <c r="B14" i="25" s="1"/>
  <c r="H7" i="25"/>
  <c r="B37" i="25"/>
  <c r="B24" i="25"/>
  <c r="E32" i="25"/>
  <c r="B45" i="24"/>
  <c r="E45" i="24"/>
  <c r="B24" i="24"/>
  <c r="B42" i="24"/>
  <c r="B44" i="24"/>
  <c r="B37" i="24"/>
  <c r="B21" i="24"/>
  <c r="B12" i="24"/>
  <c r="B23" i="24" s="1"/>
  <c r="B25" i="24" s="1"/>
  <c r="H7" i="24"/>
  <c r="B30" i="24"/>
  <c r="T42" i="23"/>
  <c r="Q42" i="23"/>
  <c r="N42" i="23"/>
  <c r="K42" i="23"/>
  <c r="H42" i="23"/>
  <c r="E42" i="23"/>
  <c r="B41" i="23"/>
  <c r="B40" i="23"/>
  <c r="T37" i="23"/>
  <c r="Q37" i="23"/>
  <c r="N37" i="23"/>
  <c r="K37" i="23"/>
  <c r="H37" i="23"/>
  <c r="E37" i="23"/>
  <c r="B36" i="23"/>
  <c r="B35" i="23"/>
  <c r="B31" i="23"/>
  <c r="T30" i="23"/>
  <c r="T32" i="23" s="1"/>
  <c r="Q30" i="23"/>
  <c r="Q32" i="23" s="1"/>
  <c r="N30" i="23"/>
  <c r="N32" i="23" s="1"/>
  <c r="K30" i="23"/>
  <c r="K32" i="23" s="1"/>
  <c r="H30" i="23"/>
  <c r="H32" i="23" s="1"/>
  <c r="E30" i="23"/>
  <c r="E32" i="23" s="1"/>
  <c r="B29" i="23"/>
  <c r="B28" i="23"/>
  <c r="B20" i="23"/>
  <c r="T19" i="23"/>
  <c r="T21" i="23" s="1"/>
  <c r="Q19" i="23"/>
  <c r="Q21" i="23" s="1"/>
  <c r="N19" i="23"/>
  <c r="N21" i="23" s="1"/>
  <c r="K19" i="23"/>
  <c r="K21" i="23" s="1"/>
  <c r="H19" i="23"/>
  <c r="H21" i="23" s="1"/>
  <c r="E19" i="23"/>
  <c r="E21" i="23" s="1"/>
  <c r="B18" i="23"/>
  <c r="B19" i="23" s="1"/>
  <c r="B13" i="23"/>
  <c r="T12" i="23"/>
  <c r="T14" i="23" s="1"/>
  <c r="Q12" i="23"/>
  <c r="Q14" i="23" s="1"/>
  <c r="N12" i="23"/>
  <c r="N14" i="23" s="1"/>
  <c r="K12" i="23"/>
  <c r="K14" i="23" s="1"/>
  <c r="H12" i="23"/>
  <c r="H14" i="23" s="1"/>
  <c r="E12" i="23"/>
  <c r="E14" i="23" s="1"/>
  <c r="B11" i="23"/>
  <c r="B12" i="23" s="1"/>
  <c r="H6" i="23"/>
  <c r="B4" i="23"/>
  <c r="T42" i="22"/>
  <c r="Q42" i="22"/>
  <c r="N42" i="22"/>
  <c r="K42" i="22"/>
  <c r="H42" i="22"/>
  <c r="E42" i="22"/>
  <c r="B41" i="22"/>
  <c r="B40" i="22"/>
  <c r="T37" i="22"/>
  <c r="Q37" i="22"/>
  <c r="N37" i="22"/>
  <c r="K37" i="22"/>
  <c r="H37" i="22"/>
  <c r="E37" i="22"/>
  <c r="B36" i="22"/>
  <c r="B35" i="22"/>
  <c r="B37" i="22" s="1"/>
  <c r="T32" i="22"/>
  <c r="N32" i="22"/>
  <c r="K32" i="22"/>
  <c r="B31" i="22"/>
  <c r="T30" i="22"/>
  <c r="Q30" i="22"/>
  <c r="Q32" i="22" s="1"/>
  <c r="N30" i="22"/>
  <c r="K30" i="22"/>
  <c r="H30" i="22"/>
  <c r="H32" i="22" s="1"/>
  <c r="E30" i="22"/>
  <c r="B29" i="22"/>
  <c r="B28" i="22"/>
  <c r="B20" i="22"/>
  <c r="B21" i="22" s="1"/>
  <c r="T19" i="22"/>
  <c r="T21" i="22" s="1"/>
  <c r="Q19" i="22"/>
  <c r="Q21" i="22" s="1"/>
  <c r="N19" i="22"/>
  <c r="N21" i="22" s="1"/>
  <c r="K19" i="22"/>
  <c r="K21" i="22" s="1"/>
  <c r="H19" i="22"/>
  <c r="H21" i="22" s="1"/>
  <c r="E19" i="22"/>
  <c r="E21" i="22" s="1"/>
  <c r="B19" i="22"/>
  <c r="B18" i="22"/>
  <c r="B13" i="22"/>
  <c r="T12" i="22"/>
  <c r="T14" i="22" s="1"/>
  <c r="Q12" i="22"/>
  <c r="Q14" i="22" s="1"/>
  <c r="N12" i="22"/>
  <c r="N14" i="22" s="1"/>
  <c r="K12" i="22"/>
  <c r="K14" i="22" s="1"/>
  <c r="H12" i="22"/>
  <c r="H14" i="22" s="1"/>
  <c r="E12" i="22"/>
  <c r="E14" i="22" s="1"/>
  <c r="B11" i="22"/>
  <c r="B10" i="22"/>
  <c r="H6" i="22"/>
  <c r="B4" i="22"/>
  <c r="B41" i="21"/>
  <c r="B42" i="21" s="1"/>
  <c r="B19" i="21"/>
  <c r="B12" i="21"/>
  <c r="B11" i="21"/>
  <c r="B10" i="21"/>
  <c r="T42" i="21"/>
  <c r="Q42" i="21"/>
  <c r="N42" i="21"/>
  <c r="K42" i="21"/>
  <c r="H42" i="21"/>
  <c r="E42" i="21"/>
  <c r="B40" i="21"/>
  <c r="T37" i="21"/>
  <c r="Q37" i="21"/>
  <c r="N37" i="21"/>
  <c r="K37" i="21"/>
  <c r="H37" i="21"/>
  <c r="E37" i="21"/>
  <c r="B36" i="21"/>
  <c r="B35" i="21"/>
  <c r="K32" i="21"/>
  <c r="B31" i="21"/>
  <c r="T30" i="21"/>
  <c r="T32" i="21" s="1"/>
  <c r="Q30" i="21"/>
  <c r="Q32" i="21" s="1"/>
  <c r="N30" i="21"/>
  <c r="N32" i="21" s="1"/>
  <c r="K30" i="21"/>
  <c r="H30" i="21"/>
  <c r="H32" i="21" s="1"/>
  <c r="E30" i="21"/>
  <c r="B29" i="21"/>
  <c r="B28" i="21"/>
  <c r="T21" i="21"/>
  <c r="Q21" i="21"/>
  <c r="N21" i="21"/>
  <c r="B20" i="21"/>
  <c r="B21" i="21" s="1"/>
  <c r="T19" i="21"/>
  <c r="Q19" i="21"/>
  <c r="N19" i="21"/>
  <c r="K19" i="21"/>
  <c r="K21" i="21" s="1"/>
  <c r="H19" i="21"/>
  <c r="H21" i="21" s="1"/>
  <c r="E19" i="21"/>
  <c r="E21" i="21" s="1"/>
  <c r="B18" i="21"/>
  <c r="K14" i="21"/>
  <c r="E14" i="21"/>
  <c r="B13" i="21"/>
  <c r="T12" i="21"/>
  <c r="T14" i="21" s="1"/>
  <c r="Q12" i="21"/>
  <c r="Q14" i="21" s="1"/>
  <c r="N12" i="21"/>
  <c r="N14" i="21" s="1"/>
  <c r="K12" i="21"/>
  <c r="H12" i="21"/>
  <c r="H14" i="21" s="1"/>
  <c r="E12" i="21"/>
  <c r="H6" i="21"/>
  <c r="B4" i="21"/>
  <c r="G51" i="14"/>
  <c r="G60" i="20"/>
  <c r="B41" i="20"/>
  <c r="T42" i="20"/>
  <c r="Q42" i="20"/>
  <c r="N42" i="20"/>
  <c r="K42" i="20"/>
  <c r="H42" i="20"/>
  <c r="E42" i="20"/>
  <c r="B40" i="20"/>
  <c r="T37" i="20"/>
  <c r="Q37" i="20"/>
  <c r="N37" i="20"/>
  <c r="K37" i="20"/>
  <c r="H37" i="20"/>
  <c r="E37" i="20"/>
  <c r="B36" i="20"/>
  <c r="B35" i="20"/>
  <c r="T32" i="20"/>
  <c r="B31" i="20"/>
  <c r="T30" i="20"/>
  <c r="Q30" i="20"/>
  <c r="Q32" i="20" s="1"/>
  <c r="N30" i="20"/>
  <c r="N32" i="20" s="1"/>
  <c r="K30" i="20"/>
  <c r="K32" i="20" s="1"/>
  <c r="H30" i="20"/>
  <c r="H32" i="20" s="1"/>
  <c r="E30" i="20"/>
  <c r="B29" i="20"/>
  <c r="B28" i="20"/>
  <c r="N21" i="20"/>
  <c r="K21" i="20"/>
  <c r="H21" i="20"/>
  <c r="B20" i="20"/>
  <c r="T19" i="20"/>
  <c r="T21" i="20" s="1"/>
  <c r="Q19" i="20"/>
  <c r="Q21" i="20" s="1"/>
  <c r="N19" i="20"/>
  <c r="K19" i="20"/>
  <c r="H19" i="20"/>
  <c r="E19" i="20"/>
  <c r="E21" i="20" s="1"/>
  <c r="B18" i="20"/>
  <c r="B13" i="20"/>
  <c r="T12" i="20"/>
  <c r="T14" i="20" s="1"/>
  <c r="Q12" i="20"/>
  <c r="Q14" i="20" s="1"/>
  <c r="N12" i="20"/>
  <c r="N14" i="20" s="1"/>
  <c r="K12" i="20"/>
  <c r="K14" i="20" s="1"/>
  <c r="H12" i="20"/>
  <c r="H14" i="20" s="1"/>
  <c r="E12" i="20"/>
  <c r="B11" i="20"/>
  <c r="B10" i="20"/>
  <c r="H6" i="20"/>
  <c r="B4" i="20"/>
  <c r="B24" i="19"/>
  <c r="B35" i="19"/>
  <c r="B40" i="19"/>
  <c r="B28" i="19"/>
  <c r="B29" i="19"/>
  <c r="B18" i="19"/>
  <c r="B11" i="19"/>
  <c r="B10" i="19"/>
  <c r="T42" i="19"/>
  <c r="Q42" i="19"/>
  <c r="N42" i="19"/>
  <c r="K42" i="19"/>
  <c r="H42" i="19"/>
  <c r="E42" i="19"/>
  <c r="B41" i="19"/>
  <c r="T37" i="19"/>
  <c r="Q37" i="19"/>
  <c r="N37" i="19"/>
  <c r="K37" i="19"/>
  <c r="H37" i="19"/>
  <c r="E37" i="19"/>
  <c r="B36" i="19"/>
  <c r="B37" i="19" s="1"/>
  <c r="T32" i="19"/>
  <c r="Q32" i="19"/>
  <c r="N32" i="19"/>
  <c r="K32" i="19"/>
  <c r="B31" i="19"/>
  <c r="T30" i="19"/>
  <c r="Q30" i="19"/>
  <c r="N30" i="19"/>
  <c r="K30" i="19"/>
  <c r="H30" i="19"/>
  <c r="H32" i="19" s="1"/>
  <c r="E30" i="19"/>
  <c r="T21" i="19"/>
  <c r="B20" i="19"/>
  <c r="T19" i="19"/>
  <c r="Q19" i="19"/>
  <c r="Q21" i="19" s="1"/>
  <c r="N19" i="19"/>
  <c r="N21" i="19" s="1"/>
  <c r="K19" i="19"/>
  <c r="K21" i="19" s="1"/>
  <c r="H19" i="19"/>
  <c r="H21" i="19" s="1"/>
  <c r="E19" i="19"/>
  <c r="B19" i="19" s="1"/>
  <c r="K14" i="19"/>
  <c r="H14" i="19"/>
  <c r="B13" i="19"/>
  <c r="T12" i="19"/>
  <c r="T14" i="19" s="1"/>
  <c r="Q12" i="19"/>
  <c r="Q14" i="19" s="1"/>
  <c r="N12" i="19"/>
  <c r="N14" i="19" s="1"/>
  <c r="K12" i="19"/>
  <c r="H12" i="19"/>
  <c r="E12" i="19"/>
  <c r="E14" i="19" s="1"/>
  <c r="H6" i="19"/>
  <c r="B4" i="19"/>
  <c r="B23" i="18"/>
  <c r="E44" i="18"/>
  <c r="B41" i="18"/>
  <c r="B36" i="18"/>
  <c r="B31" i="18"/>
  <c r="B20" i="18"/>
  <c r="B13" i="18"/>
  <c r="H6" i="18"/>
  <c r="B44" i="18"/>
  <c r="T42" i="18"/>
  <c r="Q42" i="18"/>
  <c r="N42" i="18"/>
  <c r="K42" i="18"/>
  <c r="H42" i="18"/>
  <c r="E42" i="18"/>
  <c r="B42" i="18"/>
  <c r="T37" i="18"/>
  <c r="Q37" i="18"/>
  <c r="N37" i="18"/>
  <c r="K37" i="18"/>
  <c r="H37" i="18"/>
  <c r="E37" i="18"/>
  <c r="B37" i="18"/>
  <c r="T32" i="18"/>
  <c r="N32" i="18"/>
  <c r="E32" i="18"/>
  <c r="T30" i="18"/>
  <c r="Q30" i="18"/>
  <c r="Q32" i="18" s="1"/>
  <c r="N30" i="18"/>
  <c r="K30" i="18"/>
  <c r="K32" i="18" s="1"/>
  <c r="H30" i="18"/>
  <c r="E30" i="18"/>
  <c r="T21" i="18"/>
  <c r="N21" i="18"/>
  <c r="T19" i="18"/>
  <c r="Q19" i="18"/>
  <c r="Q21" i="18" s="1"/>
  <c r="N19" i="18"/>
  <c r="K19" i="18"/>
  <c r="K21" i="18" s="1"/>
  <c r="H19" i="18"/>
  <c r="H21" i="18" s="1"/>
  <c r="E19" i="18"/>
  <c r="E21" i="18" s="1"/>
  <c r="Q14" i="18"/>
  <c r="T12" i="18"/>
  <c r="T14" i="18" s="1"/>
  <c r="Q12" i="18"/>
  <c r="K12" i="18"/>
  <c r="H12" i="18"/>
  <c r="H14" i="18" s="1"/>
  <c r="E12" i="18"/>
  <c r="E14" i="18" s="1"/>
  <c r="N12" i="18"/>
  <c r="N14" i="18" s="1"/>
  <c r="B4" i="18"/>
  <c r="E45" i="17"/>
  <c r="H6" i="17"/>
  <c r="B45" i="17"/>
  <c r="B44" i="17"/>
  <c r="T42" i="17"/>
  <c r="Q42" i="17"/>
  <c r="N42" i="17"/>
  <c r="K42" i="17"/>
  <c r="H42" i="17"/>
  <c r="E42" i="17"/>
  <c r="B42" i="17"/>
  <c r="T37" i="17"/>
  <c r="Q37" i="17"/>
  <c r="N37" i="17"/>
  <c r="K37" i="17"/>
  <c r="H37" i="17"/>
  <c r="E37" i="17"/>
  <c r="B37" i="17"/>
  <c r="T30" i="17"/>
  <c r="T32" i="17" s="1"/>
  <c r="Q30" i="17"/>
  <c r="Q32" i="17" s="1"/>
  <c r="N30" i="17"/>
  <c r="N32" i="17" s="1"/>
  <c r="K30" i="17"/>
  <c r="K32" i="17" s="1"/>
  <c r="H30" i="17"/>
  <c r="H32" i="17" s="1"/>
  <c r="E30" i="17"/>
  <c r="B24" i="17"/>
  <c r="N21" i="17"/>
  <c r="K21" i="17"/>
  <c r="T19" i="17"/>
  <c r="T21" i="17" s="1"/>
  <c r="Q19" i="17"/>
  <c r="Q21" i="17" s="1"/>
  <c r="N19" i="17"/>
  <c r="K19" i="17"/>
  <c r="H19" i="17"/>
  <c r="H21" i="17" s="1"/>
  <c r="E19" i="17"/>
  <c r="E21" i="17" s="1"/>
  <c r="T14" i="17"/>
  <c r="K14" i="17"/>
  <c r="H14" i="17"/>
  <c r="T12" i="17"/>
  <c r="Q12" i="17"/>
  <c r="Q14" i="17" s="1"/>
  <c r="K12" i="17"/>
  <c r="H12" i="17"/>
  <c r="E12" i="17"/>
  <c r="E14" i="17" s="1"/>
  <c r="N10" i="17"/>
  <c r="N12" i="17" s="1"/>
  <c r="B4" i="17"/>
  <c r="B31" i="16"/>
  <c r="E45" i="29" l="1"/>
  <c r="E44" i="31"/>
  <c r="E46" i="31" s="1"/>
  <c r="B32" i="31"/>
  <c r="B46" i="30"/>
  <c r="E44" i="30"/>
  <c r="E46" i="30" s="1"/>
  <c r="B32" i="30"/>
  <c r="B14" i="30"/>
  <c r="E44" i="29"/>
  <c r="B25" i="28"/>
  <c r="E44" i="28"/>
  <c r="E46" i="28" s="1"/>
  <c r="B32" i="28"/>
  <c r="E46" i="27"/>
  <c r="B32" i="27"/>
  <c r="E44" i="26"/>
  <c r="E46" i="26" s="1"/>
  <c r="B32" i="26"/>
  <c r="B46" i="25"/>
  <c r="E44" i="25"/>
  <c r="E46" i="25" s="1"/>
  <c r="B32" i="25"/>
  <c r="B23" i="25"/>
  <c r="B25" i="25" s="1"/>
  <c r="B14" i="24"/>
  <c r="B46" i="24"/>
  <c r="E44" i="24"/>
  <c r="E46" i="24" s="1"/>
  <c r="B32" i="24"/>
  <c r="H7" i="23"/>
  <c r="B45" i="23"/>
  <c r="E45" i="23"/>
  <c r="B24" i="23"/>
  <c r="B42" i="23"/>
  <c r="B44" i="23"/>
  <c r="B37" i="23"/>
  <c r="B30" i="23"/>
  <c r="B23" i="23"/>
  <c r="B25" i="23" s="1"/>
  <c r="B21" i="23"/>
  <c r="B14" i="23"/>
  <c r="B45" i="22"/>
  <c r="E45" i="22"/>
  <c r="B24" i="22"/>
  <c r="B44" i="22"/>
  <c r="B30" i="22"/>
  <c r="E32" i="22"/>
  <c r="B12" i="22"/>
  <c r="B23" i="22" s="1"/>
  <c r="H7" i="22"/>
  <c r="B42" i="22"/>
  <c r="B32" i="22"/>
  <c r="H7" i="21"/>
  <c r="B45" i="21"/>
  <c r="E45" i="21"/>
  <c r="B24" i="21"/>
  <c r="B44" i="21"/>
  <c r="B30" i="21"/>
  <c r="E32" i="21"/>
  <c r="B23" i="21"/>
  <c r="B25" i="21" s="1"/>
  <c r="B14" i="21"/>
  <c r="B32" i="21"/>
  <c r="B37" i="21"/>
  <c r="H7" i="20"/>
  <c r="E45" i="20"/>
  <c r="B45" i="20"/>
  <c r="B24" i="20"/>
  <c r="B44" i="20"/>
  <c r="B42" i="20"/>
  <c r="B30" i="20"/>
  <c r="B12" i="20"/>
  <c r="B14" i="20" s="1"/>
  <c r="B19" i="20"/>
  <c r="B37" i="20"/>
  <c r="E14" i="20"/>
  <c r="E32" i="20"/>
  <c r="B45" i="19"/>
  <c r="E45" i="19"/>
  <c r="B44" i="19"/>
  <c r="B42" i="19"/>
  <c r="B46" i="19"/>
  <c r="B30" i="19"/>
  <c r="E44" i="19" s="1"/>
  <c r="B32" i="19"/>
  <c r="E32" i="19"/>
  <c r="B21" i="19"/>
  <c r="H7" i="19"/>
  <c r="B12" i="19"/>
  <c r="B23" i="19" s="1"/>
  <c r="E21" i="19"/>
  <c r="E45" i="18"/>
  <c r="E46" i="18" s="1"/>
  <c r="B45" i="18"/>
  <c r="B24" i="18"/>
  <c r="B25" i="18" s="1"/>
  <c r="B46" i="18"/>
  <c r="B30" i="18"/>
  <c r="B32" i="18" s="1"/>
  <c r="H32" i="18"/>
  <c r="B19" i="18"/>
  <c r="B21" i="18" s="1"/>
  <c r="B12" i="18"/>
  <c r="B14" i="18" s="1"/>
  <c r="H7" i="18"/>
  <c r="K14" i="18"/>
  <c r="H7" i="17"/>
  <c r="B46" i="17"/>
  <c r="B30" i="17"/>
  <c r="E46" i="17" s="1"/>
  <c r="N14" i="17"/>
  <c r="B12" i="17"/>
  <c r="B21" i="17"/>
  <c r="B32" i="17"/>
  <c r="E32" i="17"/>
  <c r="E45" i="16"/>
  <c r="B45" i="16"/>
  <c r="B46" i="16" s="1"/>
  <c r="B44" i="16"/>
  <c r="T42" i="16"/>
  <c r="Q42" i="16"/>
  <c r="N42" i="16"/>
  <c r="K42" i="16"/>
  <c r="H42" i="16"/>
  <c r="E42" i="16"/>
  <c r="B42" i="16"/>
  <c r="T37" i="16"/>
  <c r="Q37" i="16"/>
  <c r="N37" i="16"/>
  <c r="K37" i="16"/>
  <c r="H37" i="16"/>
  <c r="E37" i="16"/>
  <c r="B37" i="16"/>
  <c r="T30" i="16"/>
  <c r="T32" i="16" s="1"/>
  <c r="Q30" i="16"/>
  <c r="Q32" i="16" s="1"/>
  <c r="N30" i="16"/>
  <c r="N32" i="16" s="1"/>
  <c r="K30" i="16"/>
  <c r="K32" i="16" s="1"/>
  <c r="H30" i="16"/>
  <c r="H32" i="16" s="1"/>
  <c r="E30" i="16"/>
  <c r="E32" i="16" s="1"/>
  <c r="T19" i="16"/>
  <c r="T21" i="16" s="1"/>
  <c r="Q19" i="16"/>
  <c r="Q21" i="16" s="1"/>
  <c r="N19" i="16"/>
  <c r="N21" i="16" s="1"/>
  <c r="K19" i="16"/>
  <c r="H19" i="16"/>
  <c r="H21" i="16" s="1"/>
  <c r="E19" i="16"/>
  <c r="E21" i="16" s="1"/>
  <c r="Q14" i="16"/>
  <c r="K14" i="16"/>
  <c r="B13" i="16"/>
  <c r="B24" i="16" s="1"/>
  <c r="T12" i="16"/>
  <c r="T14" i="16" s="1"/>
  <c r="Q12" i="16"/>
  <c r="K12" i="16"/>
  <c r="H12" i="16"/>
  <c r="H14" i="16" s="1"/>
  <c r="E12" i="16"/>
  <c r="E14" i="16" s="1"/>
  <c r="H7" i="16"/>
  <c r="B4" i="16"/>
  <c r="E45" i="15"/>
  <c r="B45" i="15"/>
  <c r="B44" i="15"/>
  <c r="T42" i="15"/>
  <c r="Q42" i="15"/>
  <c r="N42" i="15"/>
  <c r="K42" i="15"/>
  <c r="H42" i="15"/>
  <c r="E42" i="15"/>
  <c r="B42" i="15"/>
  <c r="T37" i="15"/>
  <c r="Q37" i="15"/>
  <c r="N37" i="15"/>
  <c r="K37" i="15"/>
  <c r="H37" i="15"/>
  <c r="E37" i="15"/>
  <c r="B37" i="15"/>
  <c r="T30" i="15"/>
  <c r="T32" i="15" s="1"/>
  <c r="Q30" i="15"/>
  <c r="Q32" i="15" s="1"/>
  <c r="N30" i="15"/>
  <c r="N32" i="15" s="1"/>
  <c r="K30" i="15"/>
  <c r="K32" i="15" s="1"/>
  <c r="H30" i="15"/>
  <c r="H32" i="15" s="1"/>
  <c r="E30" i="15"/>
  <c r="E32" i="15" s="1"/>
  <c r="T19" i="15"/>
  <c r="T21" i="15" s="1"/>
  <c r="Q19" i="15"/>
  <c r="Q21" i="15" s="1"/>
  <c r="N19" i="15"/>
  <c r="N10" i="15" s="1"/>
  <c r="N12" i="15" s="1"/>
  <c r="K19" i="15"/>
  <c r="K21" i="15" s="1"/>
  <c r="H19" i="15"/>
  <c r="H21" i="15" s="1"/>
  <c r="E19" i="15"/>
  <c r="B13" i="15"/>
  <c r="T12" i="15"/>
  <c r="T14" i="15" s="1"/>
  <c r="Q12" i="15"/>
  <c r="Q14" i="15" s="1"/>
  <c r="K12" i="15"/>
  <c r="K14" i="15" s="1"/>
  <c r="H12" i="15"/>
  <c r="H14" i="15" s="1"/>
  <c r="E12" i="15"/>
  <c r="E14" i="15" s="1"/>
  <c r="H6" i="15"/>
  <c r="B4" i="15"/>
  <c r="E51" i="14"/>
  <c r="E52" i="14"/>
  <c r="B52" i="14"/>
  <c r="N42" i="14"/>
  <c r="Q36" i="14"/>
  <c r="B36" i="14"/>
  <c r="B28" i="14"/>
  <c r="T24" i="14"/>
  <c r="Q24" i="14"/>
  <c r="N24" i="14"/>
  <c r="K24" i="14"/>
  <c r="H24" i="14"/>
  <c r="E24" i="14"/>
  <c r="B26" i="14"/>
  <c r="B15" i="14"/>
  <c r="B27" i="14" s="1"/>
  <c r="B24" i="14"/>
  <c r="N16" i="14"/>
  <c r="E50" i="14"/>
  <c r="B51" i="14"/>
  <c r="B50" i="14"/>
  <c r="B48" i="14"/>
  <c r="T48" i="14"/>
  <c r="Q48" i="14"/>
  <c r="N48" i="14"/>
  <c r="K48" i="14"/>
  <c r="H48" i="14"/>
  <c r="E48" i="14"/>
  <c r="T42" i="14"/>
  <c r="Q42" i="14"/>
  <c r="K42" i="14"/>
  <c r="H42" i="14"/>
  <c r="E42" i="14"/>
  <c r="B42" i="14"/>
  <c r="T33" i="14"/>
  <c r="T36" i="14" s="1"/>
  <c r="Q33" i="14"/>
  <c r="N33" i="14"/>
  <c r="N36" i="14" s="1"/>
  <c r="K33" i="14"/>
  <c r="K36" i="14" s="1"/>
  <c r="H33" i="14"/>
  <c r="H36" i="14" s="1"/>
  <c r="E33" i="14"/>
  <c r="E36" i="14" s="1"/>
  <c r="T21" i="14"/>
  <c r="Q21" i="14"/>
  <c r="N21" i="14"/>
  <c r="N10" i="14" s="1"/>
  <c r="N12" i="14" s="1"/>
  <c r="K21" i="14"/>
  <c r="H21" i="14"/>
  <c r="E21" i="14"/>
  <c r="T12" i="14"/>
  <c r="T16" i="14" s="1"/>
  <c r="Q12" i="14"/>
  <c r="Q16" i="14" s="1"/>
  <c r="K12" i="14"/>
  <c r="H12" i="14"/>
  <c r="H16" i="14" s="1"/>
  <c r="E12" i="14"/>
  <c r="E16" i="14" s="1"/>
  <c r="H6" i="14"/>
  <c r="B4" i="14"/>
  <c r="B45" i="13"/>
  <c r="T45" i="13"/>
  <c r="Q45" i="13"/>
  <c r="N45" i="13"/>
  <c r="K45" i="13"/>
  <c r="H45" i="13"/>
  <c r="E45" i="13"/>
  <c r="K37" i="13"/>
  <c r="B48" i="13"/>
  <c r="T33" i="13"/>
  <c r="T37" i="13" s="1"/>
  <c r="Q33" i="13"/>
  <c r="Q37" i="13" s="1"/>
  <c r="N33" i="13"/>
  <c r="N37" i="13" s="1"/>
  <c r="K33" i="13"/>
  <c r="H33" i="13"/>
  <c r="H37" i="13" s="1"/>
  <c r="E33" i="13"/>
  <c r="B27" i="13"/>
  <c r="T24" i="13"/>
  <c r="Q24" i="13"/>
  <c r="N24" i="13"/>
  <c r="K24" i="13"/>
  <c r="H24" i="13"/>
  <c r="E24" i="13"/>
  <c r="B24" i="13"/>
  <c r="T21" i="13"/>
  <c r="Q21" i="13"/>
  <c r="N21" i="13"/>
  <c r="K21" i="13"/>
  <c r="H21" i="13"/>
  <c r="E21" i="13"/>
  <c r="N16" i="13"/>
  <c r="T12" i="13"/>
  <c r="T16" i="13" s="1"/>
  <c r="Q12" i="13"/>
  <c r="Q16" i="13" s="1"/>
  <c r="N12" i="13"/>
  <c r="K12" i="13"/>
  <c r="K16" i="13" s="1"/>
  <c r="H12" i="13"/>
  <c r="H16" i="13" s="1"/>
  <c r="E12" i="13"/>
  <c r="E16" i="13" s="1"/>
  <c r="N10" i="13"/>
  <c r="H6" i="13"/>
  <c r="B4" i="13"/>
  <c r="T37" i="12"/>
  <c r="K37" i="12"/>
  <c r="Q37" i="12"/>
  <c r="B41" i="12"/>
  <c r="B45" i="12" s="1"/>
  <c r="T45" i="12"/>
  <c r="Q45" i="12"/>
  <c r="N45" i="12"/>
  <c r="K45" i="12"/>
  <c r="H45" i="12"/>
  <c r="E45" i="12"/>
  <c r="B36" i="12"/>
  <c r="B48" i="12" s="1"/>
  <c r="T33" i="12"/>
  <c r="Q33" i="12"/>
  <c r="N33" i="12"/>
  <c r="N37" i="12" s="1"/>
  <c r="K33" i="12"/>
  <c r="H33" i="12"/>
  <c r="H37" i="12" s="1"/>
  <c r="E33" i="12"/>
  <c r="B27" i="12"/>
  <c r="T24" i="12"/>
  <c r="Q24" i="12"/>
  <c r="N24" i="12"/>
  <c r="K24" i="12"/>
  <c r="H24" i="12"/>
  <c r="E24" i="12"/>
  <c r="B24" i="12"/>
  <c r="T21" i="12"/>
  <c r="B21" i="12" s="1"/>
  <c r="Q21" i="12"/>
  <c r="N21" i="12"/>
  <c r="K21" i="12"/>
  <c r="H21" i="12"/>
  <c r="E21" i="12"/>
  <c r="N16" i="12"/>
  <c r="H16" i="12"/>
  <c r="E16" i="12"/>
  <c r="T12" i="12"/>
  <c r="T16" i="12" s="1"/>
  <c r="Q12" i="12"/>
  <c r="Q16" i="12" s="1"/>
  <c r="N12" i="12"/>
  <c r="K12" i="12"/>
  <c r="K16" i="12" s="1"/>
  <c r="H12" i="12"/>
  <c r="E12" i="12"/>
  <c r="N10" i="12"/>
  <c r="H6" i="12"/>
  <c r="B4" i="12"/>
  <c r="I60" i="10"/>
  <c r="I60" i="9"/>
  <c r="I61" i="8"/>
  <c r="G60" i="9"/>
  <c r="G61" i="8"/>
  <c r="G60" i="10"/>
  <c r="B36" i="10"/>
  <c r="B41" i="10"/>
  <c r="B45" i="10" s="1"/>
  <c r="T45" i="10"/>
  <c r="Q45" i="10"/>
  <c r="T33" i="10"/>
  <c r="Q33" i="10"/>
  <c r="B21" i="10"/>
  <c r="T24" i="10"/>
  <c r="Q24" i="10"/>
  <c r="T21" i="10"/>
  <c r="Q21" i="10"/>
  <c r="B15" i="10"/>
  <c r="B27" i="10" s="1"/>
  <c r="T12" i="10"/>
  <c r="B12" i="10" s="1"/>
  <c r="Q16" i="10"/>
  <c r="Q12" i="10"/>
  <c r="H21" i="10"/>
  <c r="N45" i="10"/>
  <c r="K45" i="10"/>
  <c r="H45" i="10"/>
  <c r="E45" i="10"/>
  <c r="N33" i="10"/>
  <c r="N37" i="10" s="1"/>
  <c r="K33" i="10"/>
  <c r="K37" i="10" s="1"/>
  <c r="H33" i="10"/>
  <c r="E33" i="10"/>
  <c r="E37" i="10" s="1"/>
  <c r="N24" i="10"/>
  <c r="K24" i="10"/>
  <c r="H24" i="10"/>
  <c r="E24" i="10"/>
  <c r="B24" i="10"/>
  <c r="N21" i="10"/>
  <c r="K21" i="10"/>
  <c r="E21" i="10"/>
  <c r="N16" i="10"/>
  <c r="H16" i="10"/>
  <c r="K12" i="10"/>
  <c r="H12" i="10"/>
  <c r="E12" i="10"/>
  <c r="E16" i="10" s="1"/>
  <c r="H6" i="10"/>
  <c r="B4" i="10"/>
  <c r="H37" i="9"/>
  <c r="B36" i="9"/>
  <c r="B48" i="9" s="1"/>
  <c r="B23" i="9"/>
  <c r="B27" i="9" s="1"/>
  <c r="B15" i="9"/>
  <c r="B12" i="9"/>
  <c r="H12" i="9"/>
  <c r="H16" i="9" s="1"/>
  <c r="N45" i="9"/>
  <c r="K45" i="9"/>
  <c r="H45" i="9"/>
  <c r="E45" i="9"/>
  <c r="B45" i="9"/>
  <c r="N37" i="9"/>
  <c r="K37" i="9"/>
  <c r="N33" i="9"/>
  <c r="K33" i="9"/>
  <c r="H33" i="9"/>
  <c r="E33" i="9"/>
  <c r="E37" i="9" s="1"/>
  <c r="N24" i="9"/>
  <c r="K24" i="9"/>
  <c r="H24" i="9"/>
  <c r="E24" i="9"/>
  <c r="B24" i="9"/>
  <c r="N21" i="9"/>
  <c r="K21" i="9"/>
  <c r="H21" i="9"/>
  <c r="E21" i="9"/>
  <c r="B21" i="9"/>
  <c r="N16" i="9"/>
  <c r="K16" i="9"/>
  <c r="N12" i="9"/>
  <c r="K12" i="9"/>
  <c r="E12" i="9"/>
  <c r="E16" i="9" s="1"/>
  <c r="N10" i="9"/>
  <c r="H6" i="9"/>
  <c r="B4" i="9"/>
  <c r="B28" i="8"/>
  <c r="B27" i="8"/>
  <c r="B26" i="8"/>
  <c r="B48" i="8"/>
  <c r="N45" i="8"/>
  <c r="K45" i="8"/>
  <c r="H45" i="8"/>
  <c r="E45" i="8"/>
  <c r="B45" i="8"/>
  <c r="N24" i="8"/>
  <c r="K24" i="8"/>
  <c r="H24" i="8"/>
  <c r="E24" i="8"/>
  <c r="B24" i="8"/>
  <c r="N21" i="8"/>
  <c r="N10" i="8" s="1"/>
  <c r="N12" i="8" s="1"/>
  <c r="K21" i="8"/>
  <c r="H21" i="8"/>
  <c r="H12" i="8" s="1"/>
  <c r="H16" i="8" s="1"/>
  <c r="E21" i="8"/>
  <c r="E12" i="8" s="1"/>
  <c r="E16" i="8" s="1"/>
  <c r="Q47" i="8"/>
  <c r="N33" i="8"/>
  <c r="N37" i="8" s="1"/>
  <c r="K33" i="8"/>
  <c r="K37" i="8" s="1"/>
  <c r="H33" i="8"/>
  <c r="E33" i="8"/>
  <c r="E37" i="8" s="1"/>
  <c r="N16" i="8"/>
  <c r="K12" i="8"/>
  <c r="K16" i="8" s="1"/>
  <c r="H6" i="8"/>
  <c r="B4" i="8"/>
  <c r="B49" i="7"/>
  <c r="B48" i="7"/>
  <c r="B45" i="7"/>
  <c r="N10" i="7"/>
  <c r="K10" i="7"/>
  <c r="K12" i="7" s="1"/>
  <c r="K16" i="7" s="1"/>
  <c r="H10" i="7"/>
  <c r="H12" i="7" s="1"/>
  <c r="H16" i="7" s="1"/>
  <c r="E10" i="7"/>
  <c r="E12" i="7" s="1"/>
  <c r="E16" i="7" s="1"/>
  <c r="B10" i="7"/>
  <c r="N45" i="7"/>
  <c r="K45" i="7"/>
  <c r="H45" i="7"/>
  <c r="E45" i="7"/>
  <c r="N42" i="7"/>
  <c r="K42" i="7"/>
  <c r="H42" i="7"/>
  <c r="E42" i="7"/>
  <c r="Q36" i="7"/>
  <c r="B37" i="6"/>
  <c r="B37" i="7"/>
  <c r="N34" i="7"/>
  <c r="N30" i="7"/>
  <c r="K30" i="7"/>
  <c r="K34" i="7" s="1"/>
  <c r="H30" i="7"/>
  <c r="H34" i="7" s="1"/>
  <c r="E30" i="7"/>
  <c r="E34" i="7" s="1"/>
  <c r="N21" i="7"/>
  <c r="N25" i="7" s="1"/>
  <c r="K21" i="7"/>
  <c r="H21" i="7"/>
  <c r="H25" i="7" s="1"/>
  <c r="E21" i="7"/>
  <c r="E25" i="7" s="1"/>
  <c r="N16" i="7"/>
  <c r="N12" i="7"/>
  <c r="H6" i="7"/>
  <c r="B4" i="7"/>
  <c r="B36" i="6"/>
  <c r="B38" i="6"/>
  <c r="K30" i="6"/>
  <c r="B30" i="6" s="1"/>
  <c r="E21" i="6"/>
  <c r="E25" i="6" s="1"/>
  <c r="B21" i="6"/>
  <c r="N30" i="6"/>
  <c r="K34" i="6"/>
  <c r="H30" i="6"/>
  <c r="E30" i="6"/>
  <c r="E34" i="6" s="1"/>
  <c r="N34" i="6"/>
  <c r="H34" i="6"/>
  <c r="B15" i="6"/>
  <c r="N21" i="6"/>
  <c r="N25" i="6" s="1"/>
  <c r="K21" i="6"/>
  <c r="K25" i="6" s="1"/>
  <c r="H21" i="6"/>
  <c r="H25" i="6" s="1"/>
  <c r="N16" i="6"/>
  <c r="N12" i="6"/>
  <c r="K12" i="6"/>
  <c r="K16" i="6" s="1"/>
  <c r="H12" i="6"/>
  <c r="H16" i="6" s="1"/>
  <c r="E12" i="6"/>
  <c r="E16" i="6" s="1"/>
  <c r="H6" i="6"/>
  <c r="B4" i="6"/>
  <c r="B24" i="5"/>
  <c r="B21" i="5"/>
  <c r="B15" i="5"/>
  <c r="H6" i="5"/>
  <c r="E46" i="29" l="1"/>
  <c r="B46" i="23"/>
  <c r="E44" i="23"/>
  <c r="B32" i="23"/>
  <c r="B46" i="22"/>
  <c r="B25" i="22"/>
  <c r="E44" i="22"/>
  <c r="E46" i="22" s="1"/>
  <c r="B14" i="22"/>
  <c r="B46" i="21"/>
  <c r="E44" i="21"/>
  <c r="E46" i="21" s="1"/>
  <c r="B46" i="20"/>
  <c r="E44" i="20"/>
  <c r="E46" i="20" s="1"/>
  <c r="B32" i="20"/>
  <c r="B23" i="20"/>
  <c r="B25" i="20" s="1"/>
  <c r="B21" i="20"/>
  <c r="E46" i="19"/>
  <c r="B25" i="19"/>
  <c r="B14" i="19"/>
  <c r="B14" i="17"/>
  <c r="B25" i="17"/>
  <c r="B30" i="16"/>
  <c r="B32" i="16" s="1"/>
  <c r="B19" i="16"/>
  <c r="B21" i="16" s="1"/>
  <c r="N10" i="16"/>
  <c r="N12" i="16" s="1"/>
  <c r="K21" i="16"/>
  <c r="B46" i="15"/>
  <c r="B30" i="15"/>
  <c r="B32" i="15" s="1"/>
  <c r="B19" i="15"/>
  <c r="B21" i="15" s="1"/>
  <c r="H7" i="15"/>
  <c r="N14" i="15"/>
  <c r="B12" i="15"/>
  <c r="B24" i="15"/>
  <c r="E21" i="15"/>
  <c r="N21" i="15"/>
  <c r="B21" i="14"/>
  <c r="H7" i="14"/>
  <c r="B12" i="14"/>
  <c r="B33" i="14"/>
  <c r="K16" i="14"/>
  <c r="B33" i="13"/>
  <c r="B47" i="13" s="1"/>
  <c r="B49" i="13" s="1"/>
  <c r="E37" i="13"/>
  <c r="B21" i="13"/>
  <c r="B12" i="13"/>
  <c r="B26" i="13" s="1"/>
  <c r="B28" i="13" s="1"/>
  <c r="H7" i="13"/>
  <c r="B33" i="12"/>
  <c r="B47" i="12" s="1"/>
  <c r="B49" i="12" s="1"/>
  <c r="B12" i="12"/>
  <c r="B26" i="12" s="1"/>
  <c r="B28" i="12" s="1"/>
  <c r="H7" i="12"/>
  <c r="E37" i="12"/>
  <c r="B33" i="10"/>
  <c r="B47" i="10" s="1"/>
  <c r="T16" i="10"/>
  <c r="H7" i="10"/>
  <c r="K16" i="10"/>
  <c r="H37" i="10"/>
  <c r="N10" i="10"/>
  <c r="N12" i="10" s="1"/>
  <c r="Q47" i="9"/>
  <c r="B33" i="9"/>
  <c r="B47" i="9" s="1"/>
  <c r="B49" i="9" s="1"/>
  <c r="B37" i="9"/>
  <c r="B26" i="9"/>
  <c r="B28" i="9" s="1"/>
  <c r="H7" i="9"/>
  <c r="B21" i="8"/>
  <c r="B12" i="8"/>
  <c r="B33" i="8"/>
  <c r="H37" i="8"/>
  <c r="H7" i="8"/>
  <c r="B50" i="7"/>
  <c r="B42" i="7"/>
  <c r="B30" i="7"/>
  <c r="B34" i="7" s="1"/>
  <c r="B21" i="7"/>
  <c r="B25" i="7" s="1"/>
  <c r="K25" i="7"/>
  <c r="B36" i="7"/>
  <c r="B38" i="7" s="1"/>
  <c r="B12" i="7"/>
  <c r="B16" i="7" s="1"/>
  <c r="H7" i="7"/>
  <c r="B25" i="6"/>
  <c r="B34" i="6"/>
  <c r="B12" i="6"/>
  <c r="B16" i="6" s="1"/>
  <c r="H7" i="6"/>
  <c r="N25" i="5"/>
  <c r="N21" i="5"/>
  <c r="B30" i="5"/>
  <c r="B34" i="5" s="1"/>
  <c r="K21" i="5"/>
  <c r="H21" i="5"/>
  <c r="H25" i="5" s="1"/>
  <c r="E21" i="5"/>
  <c r="E25" i="5" s="1"/>
  <c r="N16" i="5"/>
  <c r="N12" i="5"/>
  <c r="K12" i="5"/>
  <c r="K16" i="5" s="1"/>
  <c r="H12" i="5"/>
  <c r="H16" i="5" s="1"/>
  <c r="E12" i="5"/>
  <c r="E16" i="5" s="1"/>
  <c r="B4" i="5"/>
  <c r="H7" i="5" s="1"/>
  <c r="H7" i="4"/>
  <c r="B24" i="4"/>
  <c r="B15" i="4"/>
  <c r="K16" i="4"/>
  <c r="B30" i="4"/>
  <c r="B34" i="4" s="1"/>
  <c r="N21" i="4"/>
  <c r="N25" i="4" s="1"/>
  <c r="K21" i="4"/>
  <c r="K25" i="4" s="1"/>
  <c r="H21" i="4"/>
  <c r="H25" i="4" s="1"/>
  <c r="E21" i="4"/>
  <c r="E25" i="4" s="1"/>
  <c r="N16" i="4"/>
  <c r="N12" i="4"/>
  <c r="K12" i="4"/>
  <c r="H12" i="4"/>
  <c r="H16" i="4" s="1"/>
  <c r="E12" i="4"/>
  <c r="B4" i="4"/>
  <c r="B30" i="3"/>
  <c r="B34" i="3" s="1"/>
  <c r="N25" i="3"/>
  <c r="K25" i="3"/>
  <c r="H25" i="3"/>
  <c r="E25" i="3"/>
  <c r="N21" i="3"/>
  <c r="K21" i="3"/>
  <c r="H21" i="3"/>
  <c r="E21" i="3"/>
  <c r="B20" i="3"/>
  <c r="B19" i="3"/>
  <c r="N16" i="3"/>
  <c r="K16" i="3"/>
  <c r="H16" i="3"/>
  <c r="E16" i="3"/>
  <c r="B16" i="3"/>
  <c r="N12" i="3"/>
  <c r="K12" i="3"/>
  <c r="H12" i="3"/>
  <c r="E12" i="3"/>
  <c r="B12" i="3" s="1"/>
  <c r="B11" i="3"/>
  <c r="B10" i="3"/>
  <c r="B4" i="3"/>
  <c r="B7" i="3" s="1"/>
  <c r="H34" i="2"/>
  <c r="H30" i="2"/>
  <c r="E30" i="2"/>
  <c r="E34" i="2" s="1"/>
  <c r="B30" i="2"/>
  <c r="B34" i="2" s="1"/>
  <c r="N25" i="2"/>
  <c r="K25" i="2"/>
  <c r="H25" i="2"/>
  <c r="E25" i="2"/>
  <c r="B25" i="2"/>
  <c r="N21" i="2"/>
  <c r="K21" i="2"/>
  <c r="H21" i="2"/>
  <c r="E21" i="2"/>
  <c r="B21" i="2"/>
  <c r="K16" i="2"/>
  <c r="H16" i="2"/>
  <c r="E16" i="2"/>
  <c r="B16" i="2"/>
  <c r="N12" i="2"/>
  <c r="K12" i="2"/>
  <c r="H12" i="2"/>
  <c r="E12" i="2"/>
  <c r="B12" i="2"/>
  <c r="B4" i="2"/>
  <c r="B7" i="2" s="1"/>
  <c r="B45" i="1"/>
  <c r="B36" i="1"/>
  <c r="J27" i="1"/>
  <c r="H27" i="1"/>
  <c r="D27" i="1"/>
  <c r="F23" i="1"/>
  <c r="F27" i="1" s="1"/>
  <c r="D23" i="1"/>
  <c r="B23" i="1"/>
  <c r="B27" i="1" s="1"/>
  <c r="J17" i="1"/>
  <c r="H17" i="1"/>
  <c r="D17" i="1"/>
  <c r="F13" i="1"/>
  <c r="F17" i="1" s="1"/>
  <c r="B13" i="1"/>
  <c r="B17" i="1" s="1"/>
  <c r="B8" i="1"/>
  <c r="B4" i="1"/>
  <c r="E46" i="23" l="1"/>
  <c r="E44" i="16"/>
  <c r="E46" i="16" s="1"/>
  <c r="N14" i="16"/>
  <c r="B12" i="16"/>
  <c r="E44" i="15"/>
  <c r="E46" i="15" s="1"/>
  <c r="B23" i="15"/>
  <c r="B25" i="15" s="1"/>
  <c r="B14" i="15"/>
  <c r="B16" i="14"/>
  <c r="B37" i="13"/>
  <c r="B16" i="13"/>
  <c r="B37" i="12"/>
  <c r="B16" i="12"/>
  <c r="B26" i="10"/>
  <c r="B28" i="10" s="1"/>
  <c r="B16" i="10"/>
  <c r="B16" i="9"/>
  <c r="B37" i="8"/>
  <c r="B47" i="8"/>
  <c r="B49" i="8" s="1"/>
  <c r="B16" i="8"/>
  <c r="B25" i="5"/>
  <c r="B12" i="5"/>
  <c r="B16" i="5" s="1"/>
  <c r="K25" i="5"/>
  <c r="B12" i="4"/>
  <c r="B21" i="3"/>
  <c r="B25" i="3" s="1"/>
  <c r="E16" i="4"/>
  <c r="B21" i="4"/>
  <c r="B25" i="4" s="1"/>
  <c r="B16" i="4"/>
  <c r="B48" i="10"/>
  <c r="B49" i="10" s="1"/>
  <c r="B37" i="10"/>
  <c r="B23" i="16" l="1"/>
  <c r="B25" i="16" s="1"/>
  <c r="B1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tc={BCA757EF-9442-48C4-9038-9677E4B79FC4}</author>
    <author>tc={C1AD1567-B64D-4F28-85B7-06BD042802CF}</author>
    <author>tc={E3BE644E-D0EA-4E36-AD3F-1E7601098CD2}</author>
    <author>tc={5A490B70-BE6A-4CAA-8716-1048A4427902}</author>
    <author>tc={07E3007D-C03C-4701-87FD-C44418A62551}</author>
    <author>tc={202A83E2-3BE3-4DA4-945D-4EC8E61E0556}</author>
  </authors>
  <commentList>
    <comment ref="E21" authorId="0" shapeId="0" xr:uid="{BCA757EF-9442-48C4-9038-9677E4B79F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PINO SANTOS ALBA MARIA</t>
      </text>
    </comment>
    <comment ref="H21" authorId="1" shapeId="0" xr:uid="{C1AD1567-B64D-4F28-85B7-06BD042802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CORTES SUAREZ GREINS DAMARIS</t>
      </text>
    </comment>
    <comment ref="B32" authorId="2" shapeId="0" xr:uid="{E3BE644E-D0EA-4E36-AD3F-1E7601098CD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FORONDA RIOS SOFIA- Medellin 
RIOS VALENCIA GABRIEL ENRIQUE- Barranquilla
LUJAN CARMEN LADY JOHANA- Mall plaza cali
PALACIOS ASPRILLA YANCY KARINA- Florida 1
</t>
      </text>
    </comment>
    <comment ref="H37" authorId="3" shapeId="0" xr:uid="{5A490B70-BE6A-4CAA-8716-1048A44279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OCHOA MATAPI MICHEL XIOMARA</t>
      </text>
    </comment>
    <comment ref="E42" authorId="4" shapeId="0" xr:uid="{07E3007D-C03C-4701-87FD-C44418A62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VELEZ QUICENO KEVIN ANDRES</t>
      </text>
    </comment>
    <comment ref="H42" authorId="5" shapeId="0" xr:uid="{202A83E2-3BE3-4DA4-945D-4EC8E61E05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ORTEGA LOZANO VICTOR DANILO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33" authorId="0" shapeId="0" xr:uid="{03C1C881-A9A6-4941-A6D7-9526A2C74548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ALEJANDRO JOSE ROJAS RAMOS
ANDRES EDUARDO GONZALEZ LEDEZMA
JOHAN SEBASTIAN VELASQUEZ MUÑOZ
JUAN PABLO MARTINEZ GOMEZ
KHAREN ORTIGOZA MONTIEL
ROBINSON ANTONIO VERGARA GUTIERREZ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44" authorId="0" shapeId="0" xr:uid="{11B0A3A3-4C6E-4137-9C77-85662A08958C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ALEXANDER CANTILLO
YALETSY
ALEJANDRA MARIN
MAURICIO GRAJALES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44" authorId="0" shapeId="0" xr:uid="{32698061-4257-4D57-9067-72611877AB9E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ALEXANDER CANTILLO
YALETSY
ALEJANDRA MARIN
MAURICIO GRAJALES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44" authorId="0" shapeId="0" xr:uid="{77C5D2D5-208F-4714-9069-7A1955C0F38E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ALEXANDER CANTILLO
YALETSY
ALEJANDRA MARIN
MAURICIO GRAJALES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44" authorId="0" shapeId="0" xr:uid="{04AE98B2-E3F5-4085-A387-711A027BCE92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LUIS GUSTAVO SANCHEZ (TESORO)
LUCELLIA DEL CARMEN RAMIREZ (VIVA ENVIGADO)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 Contrataciones</author>
  </authors>
  <commentList>
    <comment ref="B44" authorId="0" shapeId="0" xr:uid="{EE34C8C1-BB44-407A-8931-FB0525DBFA8F}">
      <text>
        <r>
          <rPr>
            <b/>
            <sz val="9"/>
            <color indexed="81"/>
            <rFont val="Tahoma"/>
            <family val="2"/>
          </rPr>
          <t>Lider Contrataciones:</t>
        </r>
        <r>
          <rPr>
            <sz val="9"/>
            <color indexed="81"/>
            <rFont val="Tahoma"/>
            <family val="2"/>
          </rPr>
          <t xml:space="preserve">
EDWAR PENAGOS
BRAYAN OLAYA
ANA MARIA RENDON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tc={EDA18843-350C-4D3B-BECE-A4D8FB7E5B17}</author>
    <author>tc={3226BA7F-6B49-4D2C-96FE-5DE8D0BD4E7D}</author>
  </authors>
  <commentList>
    <comment ref="B41" authorId="0" shapeId="0" xr:uid="{EDA18843-350C-4D3B-BECE-A4D8FB7E5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SEBASTIAN HINESTROZA 
DIEGO RUIZ
DIANA MONSALVE</t>
      </text>
    </comment>
    <comment ref="B47" authorId="1" shapeId="0" xr:uid="{3226BA7F-6B49-4D2C-96FE-5DE8D0BD4E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JUAN CAMILO VELASQUEZ
KEVIN ALEXIS RESTREPO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tc={4F4F796D-1C20-4779-A02A-FA2BEA5C1CB9}</author>
    <author>tc={4F17337E-B574-4B46-A51E-29445C0B2067}</author>
  </authors>
  <commentList>
    <comment ref="B36" authorId="0" shapeId="0" xr:uid="{4F4F796D-1C20-4779-A02A-FA2BEA5C1C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ISABEL CRISTINA PALACIO ENTRENADORA</t>
      </text>
    </comment>
    <comment ref="B41" authorId="1" shapeId="0" xr:uid="{4F17337E-B574-4B46-A51E-29445C0B20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ENNI LEIVA
NORVICT GARCIA SEPULVEDA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tc={667C8628-40DB-48E8-8554-ED728545B96A}</author>
    <author>tc={2F108849-40F8-4753-9CD3-89D47CE400F8}</author>
  </authors>
  <commentList>
    <comment ref="B36" authorId="0" shapeId="0" xr:uid="{667C8628-40DB-48E8-8554-ED728545B96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JAILER MAURICIO ALVAREZ PEREZ MAYORK
</t>
      </text>
    </comment>
    <comment ref="B41" authorId="1" shapeId="0" xr:uid="{2F108849-40F8-4753-9CD3-89D47CE40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DARIO JOSE PALENCIA BURGOS BOGOTA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tc={FF5BE31F-1DCA-41DC-857C-C17E795C589A}</author>
  </authors>
  <commentList>
    <comment ref="B41" authorId="0" shapeId="0" xr:uid="{FF5BE31F-1DCA-41DC-857C-C17E795C58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CAMILA LONDOÑO MEDELLIN
IVONNE NATALIA BOGOTÁ
CLEMENCIA MONPOTES CALI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tc={D8E48CBF-8A79-4BBB-AC7D-23C924D24126}</author>
    <author>tc={C8DF24A4-FBA2-43DC-84D8-7CD6CB1B40F9}</author>
  </authors>
  <commentList>
    <comment ref="B36" authorId="0" shapeId="0" xr:uid="{D8E48CBF-8A79-4BBB-AC7D-23C924D241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DEL CARMEN FIGUEROA</t>
      </text>
    </comment>
    <comment ref="B41" authorId="1" shapeId="0" xr:uid="{C8DF24A4-FBA2-43DC-84D8-7CD6CB1B4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JAIME JOSE BRACHO CALI
JUAN DAVID SUAREZ BOGOTÁ
INES MARIA PASTRNA MEDELLIN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tc={9E38A20D-FDEB-4ABA-A6AB-B788268C81E8}</author>
    <author>tc={5CFDCBF2-0A24-47DD-95CA-F8196F1ADE74}</author>
  </authors>
  <commentList>
    <comment ref="B36" authorId="0" shapeId="0" xr:uid="{9E38A20D-FDEB-4ABA-A6AB-B788268C81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DEL CARMEN FIGUEROA</t>
      </text>
    </comment>
    <comment ref="B41" authorId="1" shapeId="0" xr:uid="{5CFDCBF2-0A24-47DD-95CA-F8196F1ADE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VIVANA ANDREA NARVAEZ BOGOTÁ 
SILVIA MORRILLO PEREIRA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tc={136711CD-8594-43B4-A7D8-3F178C344C6B}</author>
  </authors>
  <commentList>
    <comment ref="B41" authorId="0" shapeId="0" xr:uid="{136711CD-8594-43B4-A7D8-3F178C344C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MIGUEL DURANGO MEDELLIN
NATALIA SERNA PEREIRA
GLADIS BLANDON MEDELLIN
DAHIANA CARDONA MEDELLIN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tc={B544DD48-16B4-4C40-8E41-BC552EE3DDF5}</author>
  </authors>
  <commentList>
    <comment ref="B41" authorId="0" shapeId="0" xr:uid="{B544DD48-16B4-4C40-8E41-BC552EE3D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OMAIRA GARCIA MEDELLIN
CARLOS JAVIER CASTAÑEDA BOGOTÁ
JOHAN SEBASTIAN QUIROZ BOGOTÁ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tc={580BABE6-6543-4D71-A5B5-F69322591336}</author>
    <author>tc={606E5C06-9E6A-4F2A-9F55-E643F4137ACA}</author>
    <author>tc={99CC6CDE-6E1C-4422-B5C4-BD49CBF3B53B}</author>
  </authors>
  <commentList>
    <comment ref="E20" authorId="0" shapeId="0" xr:uid="{580BABE6-6543-4D71-A5B5-F693225913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FABIAN MAURICO AGUIRRE CALI</t>
      </text>
    </comment>
    <comment ref="B36" authorId="1" shapeId="0" xr:uid="{606E5C06-9E6A-4F2A-9F55-E643F4137A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VICTOR HUGO ZAPATA 
SEBASTIAN OROZCO</t>
      </text>
    </comment>
    <comment ref="B41" authorId="2" shapeId="0" xr:uid="{99CC6CDE-6E1C-4422-B5C4-BD49CBF3B5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HECTOR FABIO QUIGUANAS CALI
VERONICA MORALES MANIZALES
ALEXI ARRRIETA MEDELLIN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tc={7EB6D2AA-2CBE-48D4-97B9-A06471217EBE}</author>
    <author>tc={93F2D0AF-CEE5-4DE9-87F9-E5D0C5058D29}</author>
    <author>tc={87E75D31-1F87-4A86-A057-1DFFB8C1A5AA}</author>
  </authors>
  <commentList>
    <comment ref="E20" authorId="0" shapeId="0" xr:uid="{7EB6D2AA-2CBE-48D4-97B9-A06471217E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CINDY LINEY QUICENO
DANIELA ALEXANDRA DURANGO</t>
      </text>
    </comment>
    <comment ref="B36" authorId="1" shapeId="0" xr:uid="{93F2D0AF-CEE5-4DE9-87F9-E5D0C5058D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JAROL POSADA DE SAN DIEGO
LUIS ALEJANDRO GUZMAN TESORO</t>
      </text>
    </comment>
    <comment ref="B41" authorId="2" shapeId="0" xr:uid="{87E75D31-1F87-4A86-A057-1DFFB8C1A5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LILIANA MURILLO LA CENTRAL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tc={EDC2D10D-6BB9-4C89-9800-6579DAA27F56}</author>
    <author>tc={4C61A66B-9EC3-4631-A349-9157B240CB70}</author>
    <author>tc={A2ABCB6F-8C27-4958-9B89-BC0E943E4192}</author>
    <author>tc={9D8806A6-DFB2-44E1-BA8D-26D285B12B5C}</author>
  </authors>
  <commentList>
    <comment ref="E20" authorId="0" shapeId="0" xr:uid="{EDC2D10D-6BB9-4C89-9800-6579DAA27F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Bayan David Vela
Jose Gregorio ortega</t>
      </text>
    </comment>
    <comment ref="H20" authorId="1" shapeId="0" xr:uid="{4C61A66B-9EC3-4631-A349-9157B240C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Dayana Vega</t>
      </text>
    </comment>
    <comment ref="B36" authorId="2" shapeId="0" xr:uid="{A2ABCB6F-8C27-4958-9B89-BC0E943E4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JUNIOR BALTASAR GIRALDO</t>
      </text>
    </comment>
    <comment ref="B41" authorId="3" shapeId="0" xr:uid="{9D8806A6-DFB2-44E1-BA8D-26D285B12B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Yanibis florez
Victor Hugo Zapata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tc={190CBA39-D7A9-462A-BE44-6A2DE3B7BF54}</author>
    <author>tc={5485EBC2-2258-466F-B67F-EC96392AA854}</author>
  </authors>
  <commentList>
    <comment ref="E20" authorId="0" shapeId="0" xr:uid="{190CBA39-D7A9-462A-BE44-6A2DE3B7BF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Mateo Bedoya Ospina (Terminación de C)</t>
      </text>
    </comment>
    <comment ref="E41" authorId="1" shapeId="0" xr:uid="{5485EBC2-2258-466F-B67F-EC96392AA8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JUAN FERNANDO BRAVO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tc={02EF94FE-02DF-40EC-B503-5CF5E392B394}</author>
    <author>tc={FCC9CB60-3185-4E3D-A1A7-80B5623B1AF7}</author>
    <author>tc={B59170C1-D5AA-45F1-B41D-2B9FCF839314}</author>
    <author>tc={823E48AB-2E20-4C99-B11C-5F0551DDBF42}</author>
  </authors>
  <commentList>
    <comment ref="E20" authorId="0" shapeId="0" xr:uid="{02EF94FE-02DF-40EC-B503-5CF5E392B3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KARIANA SEGURA VILORIA Rionegro</t>
      </text>
    </comment>
    <comment ref="E36" authorId="1" shapeId="0" xr:uid="{FCC9CB60-3185-4E3D-A1A7-80B5623B1A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EVELYN YESENIA CUERO RODRIGUEZ</t>
      </text>
    </comment>
    <comment ref="Q36" authorId="2" shapeId="0" xr:uid="{B59170C1-D5AA-45F1-B41D-2B9FCF8393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ANYI PAOLA MURILLO SINISTERRA 
ANDRI PAOLA VIVEROS HERNANDEZ
</t>
      </text>
    </comment>
    <comment ref="E41" authorId="3" shapeId="0" xr:uid="{823E48AB-2E20-4C99-B11C-5F0551DDBF4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SUSANA GUTIERREZ GODOY
SANDRA MILENA MONTES GONZALEZ
KELLY JHOANA PALACIO ZULETA
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tc={FC929C19-2144-453E-A3FF-A1B3A9F8197D}</author>
    <author>tc={EBDEBD62-FFA6-44F8-ACDC-E80A6C68A3FF}</author>
    <author>tc={5035009F-1EC6-4B89-990F-4E16B6CA3A12}</author>
    <author>tc={E6E92E86-5B20-4A80-BBF0-8B5058B383B2}</author>
  </authors>
  <commentList>
    <comment ref="E20" authorId="0" shapeId="0" xr:uid="{FC929C19-2144-453E-A3FF-A1B3A9F81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YUDY CAROLINA SEPULVEDA LOPERA 
MARIANA MUÑOZ BETANCOURT </t>
      </text>
    </comment>
    <comment ref="H20" authorId="1" shapeId="0" xr:uid="{EBDEBD62-FFA6-44F8-ACDC-E80A6C68A3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CRISTIAN FELIPE TRUJILLO ROMERO </t>
      </text>
    </comment>
    <comment ref="H36" authorId="2" shapeId="0" xr:uid="{5035009F-1EC6-4B89-990F-4E16B6CA3A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TONY RAFAEL SIFONTES SEGOVIA</t>
      </text>
    </comment>
    <comment ref="E41" authorId="3" shapeId="0" xr:uid="{E6E92E86-5B20-4A80-BBF0-8B5058B383B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MARIA PAULA ARBOLEDA RODRIGUEZ 
LUISA MARIA DIAZ DELAGADO 
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tc={3D81FFDF-506A-4A30-8B52-2BD7300A2B44}</author>
    <author>tc={F5CBBE38-6784-491B-A8FD-6B97759BB257}</author>
    <author>tc={CE556CE5-B76F-4BDD-9D99-F0051C9BC9C0}</author>
  </authors>
  <commentList>
    <comment ref="E20" authorId="0" shapeId="0" xr:uid="{3D81FFDF-506A-4A30-8B52-2BD7300A2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Jean Carlos Payares</t>
      </text>
    </comment>
    <comment ref="E36" authorId="1" shapeId="0" xr:uid="{F5CBBE38-6784-491B-A8FD-6B97759BB2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JOSE ANTONIO ROJAS CANTILLO</t>
      </text>
    </comment>
    <comment ref="E41" authorId="2" shapeId="0" xr:uid="{CE556CE5-B76F-4BDD-9D99-F0051C9BC9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ALEX DAVID SIERRA MEJIA 
ELIZABETH LAZARO HERNANDEZ 
MARIA INES ORTEGA PAEZ 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tc={6893B83B-0A49-4D5D-ADAE-B38190EE9DC9}</author>
    <author>tc={4B060740-6E53-440F-86DC-C1E46E083EA0}</author>
    <author>tc={478B6662-5B84-4202-8434-00795A5F3F55}</author>
    <author>tc={02BF4DF6-B892-4E78-926D-4A0953CADCA1}</author>
    <author>tc={C887F3BD-0468-444D-9FA1-E776405B1BC7}</author>
  </authors>
  <commentList>
    <comment ref="E20" authorId="0" shapeId="0" xr:uid="{6893B83B-0A49-4D5D-ADAE-B38190EE9D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YURLEY TATIANA LEAL
DEILIS ELIANA ARIAS
TEHERAN ACUÑA YORDIS MANUEL
MARTINEZ YAMARTE MAYSBEL
</t>
      </text>
    </comment>
    <comment ref="E36" authorId="1" shapeId="0" xr:uid="{4B060740-6E53-440F-86DC-C1E46E083E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YULIANA RESTREPO AGUILAR</t>
      </text>
    </comment>
    <comment ref="N36" authorId="2" shapeId="0" xr:uid="{478B6662-5B84-4202-8434-00795A5F3F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YOANDER JAVIER PEREZ HERRERA</t>
      </text>
    </comment>
    <comment ref="E41" authorId="3" shapeId="0" xr:uid="{02BF4DF6-B892-4E78-926D-4A0953CADC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JHON FREDDY MELENDEZ CORRO 
LUIS ENRIQUE RODRIGUEZ RIVERA </t>
      </text>
    </comment>
    <comment ref="N41" authorId="4" shapeId="0" xr:uid="{C887F3BD-0468-444D-9FA1-E776405B1BC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JOAN JOSE STEEL ROSALES 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tc={A0648E4E-6F5E-46C8-9440-A8E143AD0223}</author>
    <author>tc={BBFBB7BD-E764-46B3-A055-16AE91083CCA}</author>
    <author>tc={855B5854-2344-42CA-80E0-9A1EBCE341C7}</author>
    <author>tc={6AA9F905-9931-44A8-87C9-706519126B12}</author>
    <author>tc={AA20AE8A-9C22-4D9E-A606-581A6401B714}</author>
  </authors>
  <commentList>
    <comment ref="E20" authorId="0" shapeId="0" xr:uid="{A0648E4E-6F5E-46C8-9440-A8E143AD0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JUAN SEBASTIAN CASTAÑEDA 
JUAN FERNANDO ROJAS 
</t>
      </text>
    </comment>
    <comment ref="H20" authorId="1" shapeId="0" xr:uid="{BBFBB7BD-E764-46B3-A055-16AE91083C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MEGAN SOFIA SUAREZ PULIDO </t>
      </text>
    </comment>
    <comment ref="E36" authorId="2" shapeId="0" xr:uid="{855B5854-2344-42CA-80E0-9A1EBCE341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DIEGO ALEXANDER GRACIANO</t>
      </text>
    </comment>
    <comment ref="H36" authorId="3" shapeId="0" xr:uid="{6AA9F905-9931-44A8-87C9-706519126B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GRACIANO SIERRA DIEGO ALEXANDER</t>
      </text>
    </comment>
    <comment ref="E41" authorId="4" shapeId="0" xr:uid="{AA20AE8A-9C22-4D9E-A606-581A6401B7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NUÑES HORTA MARIA JOSE
GARCIA HERNANDEZ DAVID JOSUE
CASTAÑO MUÑOZ SARA ALEJANDRA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tc={A55B59CB-6A42-4FBB-9607-EDD22C576F7F}</author>
    <author>tc={1CD17A32-6ED2-468C-9792-03275E02EC2D}</author>
  </authors>
  <commentList>
    <comment ref="E20" authorId="0" shapeId="0" xr:uid="{A55B59CB-6A42-4FBB-9607-EDD22C576F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DANIELA DEL CARMEN JACOME VALDES</t>
      </text>
    </comment>
    <comment ref="T20" authorId="1" shapeId="0" xr:uid="{1CD17A32-6ED2-468C-9792-03275E02EC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LUNA YURANNI GOMEZ HERNANDEZ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tc={2D396423-5955-4256-91D5-A815BF9A6B8D}</author>
    <author>tc={9A5F5CFE-85DE-421A-AE4B-76ABF88C52EB}</author>
    <author>tc={FAA66E4C-781E-44B1-B024-8CDB2DF1F84C}</author>
    <author>Juliana Guerra</author>
  </authors>
  <commentList>
    <comment ref="E20" authorId="0" shapeId="0" xr:uid="{2D396423-5955-4256-91D5-A815BF9A6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MISHELL HERNANDEZ BEDOYA
JHOAN ESTEBAN VELEZ MONTOYA</t>
      </text>
    </comment>
    <comment ref="H20" authorId="1" shapeId="0" xr:uid="{9A5F5CFE-85DE-421A-AE4B-76ABF88C5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JHOAN ESTEBAN VELEZ MONTOYA</t>
      </text>
    </comment>
    <comment ref="E36" authorId="2" shapeId="0" xr:uid="{FAA66E4C-781E-44B1-B024-8CDB2DF1F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NICK MICHELL FUENTES NARANJO
GERALDINE MAHECHA TRIANA</t>
      </text>
    </comment>
    <comment ref="E41" authorId="3" shapeId="0" xr:uid="{610B11B9-F711-4C1D-BE24-42D600719B2E}">
      <text>
        <r>
          <rPr>
            <b/>
            <sz val="9"/>
            <color indexed="81"/>
            <rFont val="Tahoma"/>
            <charset val="1"/>
          </rPr>
          <t>Juliana Guerra:</t>
        </r>
        <r>
          <rPr>
            <sz val="9"/>
            <color indexed="81"/>
            <rFont val="Tahoma"/>
            <charset val="1"/>
          </rPr>
          <t xml:space="preserve">
RICARDO PEDROZO ZANBRANO
MERCEDES SILVA LOPEZ
RICARDO ENMANUEL BONILLA FERNANDEZ
LUIS GUSTAVO RUBIO AGUIRRE
BLAINDER JOSE DE LA CRUZ PAYARES
CINDY ROCIO ACOSTA VERGARA</t>
        </r>
      </text>
    </comment>
    <comment ref="Q41" authorId="3" shapeId="0" xr:uid="{C8AECE90-D5A5-411D-AC0B-2FB5251CEF1B}">
      <text>
        <r>
          <rPr>
            <b/>
            <sz val="9"/>
            <color indexed="81"/>
            <rFont val="Tahoma"/>
            <charset val="1"/>
          </rPr>
          <t>Juliana Guerra:</t>
        </r>
        <r>
          <rPr>
            <sz val="9"/>
            <color indexed="81"/>
            <rFont val="Tahoma"/>
            <charset val="1"/>
          </rPr>
          <t xml:space="preserve">
CINDY ROCIO ACOSTA VERGARA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tc={52B6731E-3D39-4415-9974-E8DC631F37A7}</author>
    <author>tc={2983BB1A-33B6-4F7D-B9DF-673C35F0C653}</author>
    <author>tc={BCF155DE-F20F-4B82-95CE-69E9F002407F}</author>
    <author>tc={38DE4091-E58D-4C04-83D5-B446373F91CD}</author>
    <author>tc={EF1F07CF-8CBC-494E-B9C3-BB066A97BDB6}</author>
    <author>tc={FF3090A7-C5E3-429C-BE6A-B9027ABB77A5}</author>
    <author>tc={2D72A207-BFA2-4F21-B444-E4634DE0E70A}</author>
  </authors>
  <commentList>
    <comment ref="E20" authorId="0" shapeId="0" xr:uid="{52B6731E-3D39-4415-9974-E8DC631F37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1.PEREIRA MARRUGO JHOGEIDIS MARIA.
2.CARMONA JIMENEZ VALENTINA.
</t>
      </text>
    </comment>
    <comment ref="N20" authorId="1" shapeId="0" xr:uid="{2983BB1A-33B6-4F7D-B9DF-673C35F0C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1.COLON BERRIO YESICA PATRICIA
Vencimiento de termino de contrato</t>
      </text>
    </comment>
    <comment ref="Q20" authorId="2" shapeId="0" xr:uid="{BCF155DE-F20F-4B82-95CE-69E9F00240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MOSQUERA  BUENO JUAN DAVID</t>
      </text>
    </comment>
    <comment ref="E41" authorId="3" shapeId="0" xr:uid="{38DE4091-E58D-4C04-83D5-B446373F91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1.URUETA SALGADO OLIVER JOSE
2.URUETA SALGADO OLIVER JOSE</t>
      </text>
    </comment>
    <comment ref="T41" authorId="4" shapeId="0" xr:uid="{EF1F07CF-8CBC-494E-B9C3-BB066A97BD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GRISALES LOPEZ JUAN FERNANDO</t>
      </text>
    </comment>
    <comment ref="B50" authorId="5" shapeId="0" xr:uid="{FF3090A7-C5E3-429C-BE6A-B9027ABB77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1.LONDOÑO ORTIZ MONICA LIS.
2.ALVAREZ JARAMILLO JUAN GABRIEL
3.MUÑOZ LOPEZ GIOVANNY ALONSO
</t>
      </text>
    </comment>
    <comment ref="E50" authorId="6" shapeId="0" xr:uid="{2D72A207-BFA2-4F21-B444-E4634DE0E7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BURITICA GIL JHON EIDER.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tc={13085E60-ACC3-4F0E-BA36-34BF9F0C36D4}</author>
    <author>tc={E74FCBF0-AE07-4B75-9B92-6D0118FC35D5}</author>
    <author>tc={B87F0021-454A-49EE-98D5-B11C5209A324}</author>
    <author>tc={3B745529-6EDD-429D-980F-5743F729C12A}</author>
    <author>tc={19C1EF91-CBAB-4A9F-9391-7558F25F791B}</author>
  </authors>
  <commentList>
    <comment ref="E20" authorId="0" shapeId="0" xr:uid="{13085E60-ACC3-4F0E-BA36-34BF9F0C36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VERA ATENCIO ANAHYS PAOLA- CAJERA SAN NICOLAS</t>
      </text>
    </comment>
    <comment ref="H20" authorId="1" shapeId="0" xr:uid="{E74FCBF0-AE07-4B75-9B92-6D0118FC3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MENDEZ CIFUENTES CAROL YINETH</t>
      </text>
    </comment>
    <comment ref="Q20" authorId="2" shapeId="0" xr:uid="{B87F0021-454A-49EE-98D5-B11C5209A3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HURTADO  DARLY JULIANA</t>
      </text>
    </comment>
    <comment ref="E41" authorId="3" shapeId="0" xr:uid="{3B745529-6EDD-429D-980F-5743F729C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1.GONZALES SEGURO DANIEL
2.TORRES TORIN MARY MARLIN
</t>
      </text>
    </comment>
    <comment ref="B50" authorId="4" shapeId="0" xr:uid="{19C1EF91-CBAB-4A9F-9391-7558F25F79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1.MANCO GARCIA ARLINSON DAVID.
2.JIMENEZ SALCEDO ALBERTO SANTOS JR
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tc={57D5743B-AED2-467F-873A-B448FB670044}</author>
    <author>tc={7894BB11-A95E-48AD-BCE9-62F302A19DB7}</author>
    <author>tc={95AA7126-A154-4C9A-AC33-F91FFD608EC2}</author>
    <author>tc={E2512787-91C8-44AD-A686-446F9F2B9A01}</author>
    <author>tc={E2892DF4-0024-4C26-825D-D3FD7E0F57C5}</author>
    <author>tc={D14F5E8D-CF75-4240-B8C0-E93D4886AC59}</author>
    <author>tc={2B692EA8-2EE7-4C46-BA11-49D9E1A00582}</author>
  </authors>
  <commentList>
    <comment ref="E20" authorId="0" shapeId="0" xr:uid="{57D5743B-AED2-467F-873A-B448FB6700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ARBELAEZ GRANADA LUISA FERNANDA
ZEA CATAÑO KAREN SUSANA
</t>
      </text>
    </comment>
    <comment ref="Q20" authorId="1" shapeId="0" xr:uid="{7894BB11-A95E-48AD-BCE9-62F302A19D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CASTILLO BANDERAS ANDRES DAVID</t>
      </text>
    </comment>
    <comment ref="B31" authorId="2" shapeId="0" xr:uid="{95AA7126-A154-4C9A-AC33-F91FFD608EC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PERFILES: 
GRANADOS CRUZ ROSMARY RAQUEL.
CAMARGO GALINDO CARMEN BEATRIZ
</t>
      </text>
    </comment>
    <comment ref="E36" authorId="3" shapeId="0" xr:uid="{E2512787-91C8-44AD-A686-446F9F2B9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ROMERO TERAN JOSE ESTEBAN</t>
      </text>
    </comment>
    <comment ref="E41" authorId="4" shapeId="0" xr:uid="{E2892DF4-0024-4C26-825D-D3FD7E0F57C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DIAZ DELGADO LUISA MARIANA
NUÑEZ DE HORTA MARIA JOSE
OQUENDO HIGUITA YULIETH ALEJANDRA
ARCHILA ALVAREZ VICTOR HUGO
</t>
      </text>
    </comment>
    <comment ref="H41" authorId="5" shapeId="0" xr:uid="{D14F5E8D-CF75-4240-B8C0-E93D4886AC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HERNANDEZ BERNATES NATALIA ANDREA</t>
      </text>
    </comment>
    <comment ref="B50" authorId="6" shapeId="0" xr:uid="{2B692EA8-2EE7-4C46-BA11-49D9E1A00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MARTINEZ DEL CASTILLO SEBASTIAN
GARCIA RUIZ ASLHYN
CORREA JARAMILLO JUAN CARLOS.
CASTAÑO NIETO JUAN PABLO
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tc={828D133B-688A-4B2D-B63A-5B8D2B0FF6B8}</author>
    <author>tc={3C82AA08-7C4F-4121-9C60-6A6E93BBDD60}</author>
    <author>tc={FBF724B3-52A9-4D08-BE8A-73B2B0822170}</author>
    <author>tc={88EB90CD-2B71-4FDD-B3C1-7B1FA1A6C7E0}</author>
    <author>tc={DDFE4A37-95B4-4E78-8588-085E22B57495}</author>
    <author>tc={C9C1FB13-1285-486A-B1C0-FC1F2E69C33A}</author>
    <author>tc={8B558D94-A397-4129-9076-CA8A9D84C48A}</author>
  </authors>
  <commentList>
    <comment ref="E21" authorId="0" shapeId="0" xr:uid="{828D133B-688A-4B2D-B63A-5B8D2B0FF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RUA OCAMPO LIZETH DANIELA</t>
      </text>
    </comment>
    <comment ref="E32" authorId="1" shapeId="0" xr:uid="{3C82AA08-7C4F-4121-9C60-6A6E93BBDD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EXPOSITO GARZON JUAN DAVID-UCROS REVUELTA JAHIR ANDRES</t>
      </text>
    </comment>
    <comment ref="H32" authorId="2" shapeId="0" xr:uid="{FBF724B3-52A9-4D08-BE8A-73B2B08221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DURAN VERA JUAN ANDRES</t>
      </text>
    </comment>
    <comment ref="H42" authorId="3" shapeId="0" xr:uid="{88EB90CD-2B71-4FDD-B3C1-7B1FA1A6C7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PERTUZ ARIAS ADRIANA LUCIA</t>
      </text>
    </comment>
    <comment ref="K42" authorId="4" shapeId="0" xr:uid="{DDFE4A37-95B4-4E78-8588-085E22B57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MONTES OSORIO CRISTIAN CAMILO</t>
      </text>
    </comment>
    <comment ref="N42" authorId="5" shapeId="0" xr:uid="{C9C1FB13-1285-486A-B1C0-FC1F2E69C3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BASTIDAS KLEVER YENIFER DEL CARMEN</t>
      </text>
    </comment>
    <comment ref="B51" authorId="6" shapeId="0" xr:uid="{8B558D94-A397-4129-9076-CA8A9D84C4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MUÑOZ MUNERA VICTOR MANUEL      DIAZ GONZALEZ OLGA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tc={858B5FFC-4785-401F-A327-98E2C1E04E92}</author>
    <author>tc={B27ECDC2-A898-425B-9FCF-7AC3E17423CF}</author>
    <author>tc={F2B2D90A-C16A-4FDE-9303-FA9EDD56C0BF}</author>
    <author>tc={499282C3-D474-4509-82C2-BF92521A2CB1}</author>
    <author>tc={E7580280-92D9-4212-AE43-9B767A838B17}</author>
    <author>tc={31C1E6C8-1389-4EB6-A60D-E8D3F2E3FA46}</author>
    <author>tc={5A564381-E5FC-4CB8-9F12-9BD508C33AB5}</author>
  </authors>
  <commentList>
    <comment ref="E21" authorId="0" shapeId="0" xr:uid="{858B5FFC-4785-401F-A327-98E2C1E04E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RUA OCAMPO LIZETH DANIELA</t>
      </text>
    </comment>
    <comment ref="E32" authorId="1" shapeId="0" xr:uid="{B27ECDC2-A898-425B-9FCF-7AC3E1742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EXPOSITO GARZON JUAN DAVID-UCROS REVUELTA JAHIR ANDRES</t>
      </text>
    </comment>
    <comment ref="H32" authorId="2" shapeId="0" xr:uid="{F2B2D90A-C16A-4FDE-9303-FA9EDD56C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DURAN VERA JUAN ANDRES</t>
      </text>
    </comment>
    <comment ref="H42" authorId="3" shapeId="0" xr:uid="{499282C3-D474-4509-82C2-BF92521A2C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PERTUZ ARIAS ADRIANA LUCIA</t>
      </text>
    </comment>
    <comment ref="K42" authorId="4" shapeId="0" xr:uid="{E7580280-92D9-4212-AE43-9B767A838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MONTES OSORIO CRISTIAN CAMILO</t>
      </text>
    </comment>
    <comment ref="N42" authorId="5" shapeId="0" xr:uid="{31C1E6C8-1389-4EB6-A60D-E8D3F2E3FA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BASTIDAS KLEVER YENIFER DEL CARMEN</t>
      </text>
    </comment>
    <comment ref="B51" authorId="6" shapeId="0" xr:uid="{5A564381-E5FC-4CB8-9F12-9BD508C33A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MUÑOZ MUNERA VICTOR MANUEL      DIAZ GONZALEZ OLGA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tc={FA957348-8259-404E-BD56-C208DBC1AF0F}</author>
    <author>tc={6ED0275C-BC6A-43A7-88C8-4DF8F69E7C65}</author>
    <author>tc={A4EA0A51-9FFF-4703-A379-0789752D0577}</author>
    <author>tc={B6378B27-852A-4783-9D4E-B7175017D532}</author>
    <author>tc={58A23FC3-5C55-43FD-B098-D1D78BB14A69}</author>
    <author>tc={A9707F7C-C99B-4264-AE35-536F8BD19A54}</author>
    <author>tc={DC86CB9C-12C6-42CA-A4C4-649B0E18D60C}</author>
  </authors>
  <commentList>
    <comment ref="E21" authorId="0" shapeId="0" xr:uid="{FA957348-8259-404E-BD56-C208DBC1A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RENDON MUÑOZ KATHERINNE- TEHERAN ACUÑA YORDIS MANUEL</t>
      </text>
    </comment>
    <comment ref="E32" authorId="1" shapeId="0" xr:uid="{6ED0275C-BC6A-43A7-88C8-4DF8F69E7C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PERFILES: 
JARAMILLO SOSA SARA PAULINA
LOZADA MORALES DERLY ANDREA
SUAREZ CORREA ANGIE PAOLA
SALCEDO HERNANDEZ MARIA EUGENIA
PEREZ NIZPERUSA JUANA ESPERANZA
</t>
      </text>
    </comment>
    <comment ref="H32" authorId="2" shapeId="0" xr:uid="{A4EA0A51-9FFF-4703-A379-0789752D0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-PINZON AVILA DANIEL CAMILO
-RODRIGUEZ CASTILLO MARTA CATALINA
-MENDOZA MORALES KARLA ESTEFANIA</t>
      </text>
    </comment>
    <comment ref="N37" authorId="3" shapeId="0" xr:uid="{B6378B27-852A-4783-9D4E-B7175017D5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ARIAS MONTES ADRIANA MARCELA</t>
      </text>
    </comment>
    <comment ref="E42" authorId="4" shapeId="0" xr:uid="{58A23FC3-5C55-43FD-B098-D1D78BB14A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ARBOLEDA RODRIGUEZ MARIA PAULA</t>
      </text>
    </comment>
    <comment ref="B51" authorId="5" shapeId="0" xr:uid="{A9707F7C-C99B-4264-AE35-536F8BD19A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AVILA GAZABON LEONARDO FABIO</t>
      </text>
    </comment>
    <comment ref="E51" authorId="6" shapeId="0" xr:uid="{DC86CB9C-12C6-42CA-A4C4-649B0E18D6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RAMIREZ ARANGO ALEJANDRO</t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tc={AB81280D-DCFF-4FE7-9BD7-648A139EAE7F}</author>
    <author>tc={6970753F-BD3B-4674-B387-35888C341A04}</author>
    <author>tc={8B20EFA0-AF68-42DC-BFBD-0D4339403766}</author>
    <author>tc={2E5960CA-F5E5-47F4-9D5C-8337E9EF6A00}</author>
    <author>tc={9CED6497-68F6-47AF-AA1E-ADB29408FBF9}</author>
    <author>tc={40D6B135-26B4-4E43-9E2B-F80DFEA8F9A3}</author>
  </authors>
  <commentList>
    <comment ref="E21" authorId="0" shapeId="0" xr:uid="{AB81280D-DCFF-4FE7-9BD7-648A139EAE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PINO SANTOS ALBA MARIA</t>
      </text>
    </comment>
    <comment ref="H21" authorId="1" shapeId="0" xr:uid="{6970753F-BD3B-4674-B387-35888C341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CORTES SUAREZ GREINS DAMARIS</t>
      </text>
    </comment>
    <comment ref="B32" authorId="2" shapeId="0" xr:uid="{8B20EFA0-AF68-42DC-BFBD-0D43394037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FORONDA RIOS SOFIA- Medellin 
RIOS VALENCIA GABRIEL ENRIQUE- Barranquilla
LUJAN CARMEN LADY JOHANA- Mall plaza cali
PALACIOS ASPRILLA YANCY KARINA- Florida 1
</t>
      </text>
    </comment>
    <comment ref="H37" authorId="3" shapeId="0" xr:uid="{2E5960CA-F5E5-47F4-9D5C-8337E9EF6A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OCHOA MATAPI MICHEL XIOMARA</t>
      </text>
    </comment>
    <comment ref="E42" authorId="4" shapeId="0" xr:uid="{9CED6497-68F6-47AF-AA1E-ADB29408FB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VELEZ QUICENO KEVIN ANDRES</t>
      </text>
    </comment>
    <comment ref="H42" authorId="5" shapeId="0" xr:uid="{40D6B135-26B4-4E43-9E2B-F80DFEA8F9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ORTEGA LOZANO VICTOR DANILO</t>
      </text>
    </comment>
  </commentList>
</comments>
</file>

<file path=xl/sharedStrings.xml><?xml version="1.0" encoding="utf-8"?>
<sst xmlns="http://schemas.openxmlformats.org/spreadsheetml/2006/main" count="7310" uniqueCount="282">
  <si>
    <t>ROTACIÓN GENERAL</t>
  </si>
  <si>
    <t xml:space="preserve">VINCULADOS </t>
  </si>
  <si>
    <t xml:space="preserve">TEMPORALES </t>
  </si>
  <si>
    <t>TOTAL PERSONAL</t>
  </si>
  <si>
    <t>RETIROS</t>
  </si>
  <si>
    <t>TOTAL ROTACIÓN</t>
  </si>
  <si>
    <t>ROTACIÓN SERVICIO</t>
  </si>
  <si>
    <t>ROTACIÓN SERVICIO MEDELLIN</t>
  </si>
  <si>
    <t>ROTACIÓN SERVICIO BOGOTÁ</t>
  </si>
  <si>
    <t>ROTACIÓN SERVICIO EJE CAFETERO</t>
  </si>
  <si>
    <t>ROTACIÓN BARRANQUILLA</t>
  </si>
  <si>
    <t>ROTACIÓN  COCINA</t>
  </si>
  <si>
    <t>ROTACIÓN COCINA MEDELLIN</t>
  </si>
  <si>
    <t>ROTACIÓN COCINA BOGOTÁ</t>
  </si>
  <si>
    <t>ROTACIÓN EJE CAFETERO</t>
  </si>
  <si>
    <t>ROTACIÓN PRODUCCIÓN</t>
  </si>
  <si>
    <t>OFICINAS</t>
  </si>
  <si>
    <t>TOTAL VINCULADOS</t>
  </si>
  <si>
    <t>ROTACIÓN</t>
  </si>
  <si>
    <t>vinculados</t>
  </si>
  <si>
    <t>temporales</t>
  </si>
  <si>
    <t xml:space="preserve">total personal </t>
  </si>
  <si>
    <t>retiros</t>
  </si>
  <si>
    <t>total rotación</t>
  </si>
  <si>
    <t>SERVICIO MEDELLIN</t>
  </si>
  <si>
    <t>SERVICIO BOGOTÁ</t>
  </si>
  <si>
    <t>SERVICIO EJE CAFETERO</t>
  </si>
  <si>
    <t>SERVICIO BARRANQUILLA</t>
  </si>
  <si>
    <t>VIINCULADOS</t>
  </si>
  <si>
    <t>VINCULADOS</t>
  </si>
  <si>
    <t>TEMPORALES</t>
  </si>
  <si>
    <t>TOTAL PERSONAS</t>
  </si>
  <si>
    <t>ROTACIÓN COCINA</t>
  </si>
  <si>
    <t>COCINA MEDELLIN</t>
  </si>
  <si>
    <t>COCINA BOGOTÁ</t>
  </si>
  <si>
    <t>COCINA EJE CAFETERO</t>
  </si>
  <si>
    <t>COCINA BARRANQUILLA</t>
  </si>
  <si>
    <t>ROTACIÓN LOGISTICA</t>
  </si>
  <si>
    <t>MANTENIMIENTO</t>
  </si>
  <si>
    <t>CALIDAD PLANTA</t>
  </si>
  <si>
    <t>LIDER REGIONAL DE PROCESO</t>
  </si>
  <si>
    <t>BOGOTÁ</t>
  </si>
  <si>
    <t>RETIROS VINCULADOS</t>
  </si>
  <si>
    <t>RETIROS TEMPORAL</t>
  </si>
  <si>
    <t>TOTAL RETIROS</t>
  </si>
  <si>
    <t>AUXILIAR ADMINISTRATIVO</t>
  </si>
  <si>
    <t>OFICINA PRINICPAL</t>
  </si>
  <si>
    <t>ROTACIÓN LIDERES DE COCINA</t>
  </si>
  <si>
    <t>LIDRER DE COCINA MEDELLIN</t>
  </si>
  <si>
    <t>LIDER DE COCINA BOGOTÁ</t>
  </si>
  <si>
    <t>LIDER DE COCINA EJE CAFETERO</t>
  </si>
  <si>
    <t>LIDER DE COCINA BARRANQUILLA</t>
  </si>
  <si>
    <t>TECNICO DE MANTENIMIENTO</t>
  </si>
  <si>
    <t>CONDUCTOR</t>
  </si>
  <si>
    <t>LIDER DE OPERACIONES TECNICAS</t>
  </si>
  <si>
    <t>GENERAL COCINA</t>
  </si>
  <si>
    <t xml:space="preserve"> </t>
  </si>
  <si>
    <t>AUXILIAR DE LOGISTICA</t>
  </si>
  <si>
    <t>AUXILIAR DE PRODUCCIÓN</t>
  </si>
  <si>
    <t>LIDER DE LOGISTICA Y CONTROL</t>
  </si>
  <si>
    <t>ROTACIÓN CAJEROS</t>
  </si>
  <si>
    <t>CAJEROS MEDELLIN</t>
  </si>
  <si>
    <t>CAJEROS BOGOTÁ</t>
  </si>
  <si>
    <t>CAJEROS EJE CAFETERO</t>
  </si>
  <si>
    <t>CAJEROS BARRANQUILLA</t>
  </si>
  <si>
    <t xml:space="preserve"> SERVICIO</t>
  </si>
  <si>
    <t>RETIROS SERVICIO</t>
  </si>
  <si>
    <t>RETIROS SERVICIO MEDELLIN</t>
  </si>
  <si>
    <t>RETIROS SERVICIO BOGOTÁ</t>
  </si>
  <si>
    <t>RETIROS SERVICIO EJE</t>
  </si>
  <si>
    <t>RETIROS SERVICIO BARRANQUILLA</t>
  </si>
  <si>
    <t xml:space="preserve"> CAJEROS</t>
  </si>
  <si>
    <t>RETIROS CAJEROS</t>
  </si>
  <si>
    <t>RETIROS CAJEROS MED</t>
  </si>
  <si>
    <t>RETIROS CAJEROS BOG</t>
  </si>
  <si>
    <t>RETIROS CAJEROS EJE</t>
  </si>
  <si>
    <t>RETIROS CAJEROS BARR</t>
  </si>
  <si>
    <t>LIDERES DE COCINA</t>
  </si>
  <si>
    <t>RETIROS LIDERES</t>
  </si>
  <si>
    <t>RETIROS LID MED</t>
  </si>
  <si>
    <t>RETIROS LID BOG</t>
  </si>
  <si>
    <t>RETIROS LID EJE</t>
  </si>
  <si>
    <t>RETIROS LID BARR</t>
  </si>
  <si>
    <t>GENERAL SERVICIO</t>
  </si>
  <si>
    <t xml:space="preserve"> COCINA</t>
  </si>
  <si>
    <t>LIDER DE MANTENIMIENTO</t>
  </si>
  <si>
    <t>AUX ADMIN MANTENIMIENTO</t>
  </si>
  <si>
    <t xml:space="preserve">SERVICIO EJE CALI </t>
  </si>
  <si>
    <t>SERVICIO EJE MANIZALES</t>
  </si>
  <si>
    <t>SERVICIO EJE PEREIRA</t>
  </si>
  <si>
    <t>CAJEROS CALI</t>
  </si>
  <si>
    <t>CAJEROS MANIZALES</t>
  </si>
  <si>
    <t>CAJEROS PEREIRA</t>
  </si>
  <si>
    <t>COCINA CALI</t>
  </si>
  <si>
    <t>COCINA MANIZALES</t>
  </si>
  <si>
    <t>COCINA EJE PEREIRA</t>
  </si>
  <si>
    <t>LIDER DE COCINA EJE PEREIRA</t>
  </si>
  <si>
    <t>LIDER DE COCINA MANIZALES</t>
  </si>
  <si>
    <t>LIDER DE COCINA CALI</t>
  </si>
  <si>
    <t xml:space="preserve">AUXILIAR DE PRODUCCIÓN PORCIONADOR </t>
  </si>
  <si>
    <t>Porcentaje</t>
  </si>
  <si>
    <t>AUX CONTABLE</t>
  </si>
  <si>
    <t>AUXILIAR GESTIÓN HUMANA</t>
  </si>
  <si>
    <t>ANALISTA DE CALIDAD</t>
  </si>
  <si>
    <t xml:space="preserve"> AUXILIAR COCINA MEDELLIN</t>
  </si>
  <si>
    <t xml:space="preserve"> AUXILIAR COCINA BOGOTÁ</t>
  </si>
  <si>
    <t>COCINA PEREIRA</t>
  </si>
  <si>
    <t>RETIROS LID PEREIRA</t>
  </si>
  <si>
    <t>LIDER DE COCINA PEREIRA</t>
  </si>
  <si>
    <t>RETIROS LID MANIZALES</t>
  </si>
  <si>
    <t>RETIROS LID CALI</t>
  </si>
  <si>
    <t>PSICOLOGO BIENETAR</t>
  </si>
  <si>
    <t>TECNICO AUXILIAR DE MANTENIMIENTO</t>
  </si>
  <si>
    <t>SERVICIO PEREIRA</t>
  </si>
  <si>
    <t xml:space="preserve">SERVICIO CALI </t>
  </si>
  <si>
    <t>SERVICIO MANIZALES</t>
  </si>
  <si>
    <t>LIDER DE COCINA JUNIOR</t>
  </si>
  <si>
    <t>LIDER DE COCINA JUNIOR MEDELLIN</t>
  </si>
  <si>
    <t>LIDER DE COCINA  JUNIOR BOGOTÁ</t>
  </si>
  <si>
    <t>LIDER DE COCINA  JUNIOR PEREIRA</t>
  </si>
  <si>
    <t>LIDER DE COCINA  JUNIOR BARRANQUILLA</t>
  </si>
  <si>
    <t>RETIROS LIDER JUNIOR</t>
  </si>
  <si>
    <t>AUXILIARES DE COCINA</t>
  </si>
  <si>
    <t>TOTAL PERSONAL COCINA</t>
  </si>
  <si>
    <t>TOTAL  LIDERES</t>
  </si>
  <si>
    <t xml:space="preserve">TOTAL </t>
  </si>
  <si>
    <t>TOTAL PERSONAL SERVICIO</t>
  </si>
  <si>
    <t>LIDER DE COCINA JUNIOR CALI</t>
  </si>
  <si>
    <t>LIDER DE COCINA JUNIOR  MANIZALES</t>
  </si>
  <si>
    <t>RETIROS SERVICIO PEREIRA</t>
  </si>
  <si>
    <t>RETIROS SERVICIO CALI</t>
  </si>
  <si>
    <t>AUXILIAR CONTABLE</t>
  </si>
  <si>
    <t>ROTACIÓN LIDERES COCINA</t>
  </si>
  <si>
    <t>RETIROS CAJEROS MANIZALES</t>
  </si>
  <si>
    <t>AUXILIAR DE CALIDAD</t>
  </si>
  <si>
    <t>ANALISTA SST</t>
  </si>
  <si>
    <t xml:space="preserve">RETIROS </t>
  </si>
  <si>
    <t>AUXILIAR DE COCINA</t>
  </si>
  <si>
    <t>LIDER DE SISTEMAS</t>
  </si>
  <si>
    <t>APRENDIZ COCINA</t>
  </si>
  <si>
    <t>LIDER LOGISTICA</t>
  </si>
  <si>
    <t>AUX PROD</t>
  </si>
  <si>
    <t>ANALISTA DE DATOS</t>
  </si>
  <si>
    <t>AUX MONITOREO</t>
  </si>
  <si>
    <t>AUX LOGISTICA</t>
  </si>
  <si>
    <t>AUX ADMON LOGISTICA</t>
  </si>
  <si>
    <t>ADMINISTRADOR PUNTO DE VENTA</t>
  </si>
  <si>
    <t>LIDER JUNIOR PROD</t>
  </si>
  <si>
    <t>TÉCNICO MTO</t>
  </si>
  <si>
    <t>AUX ADMINISTRATIVO SISTEMAS</t>
  </si>
  <si>
    <t>TEC MTO TEMPORAL</t>
  </si>
  <si>
    <t>LIDER JUNIOR PRODUCCIÓN</t>
  </si>
  <si>
    <t>PLANTA PRINCIPAL</t>
  </si>
  <si>
    <t>AUX DE CALIDAD</t>
  </si>
  <si>
    <t>KEHIDY HURTADO</t>
  </si>
  <si>
    <t>ANALISTA CALIDAD</t>
  </si>
  <si>
    <t>FELIPE RODRIGUEZ</t>
  </si>
  <si>
    <t>ADRIANA MONTALVO</t>
  </si>
  <si>
    <t>ANALISTA DE SEGURIDAD INFORMATICA</t>
  </si>
  <si>
    <t>GERSON GALEANO</t>
  </si>
  <si>
    <t>BRUNO CATAPANO</t>
  </si>
  <si>
    <t xml:space="preserve">GERENTE GENERAL </t>
  </si>
  <si>
    <t xml:space="preserve">ANALISTA DE CONTROL INTERNO </t>
  </si>
  <si>
    <t>SEBASTIAN GALLEGO</t>
  </si>
  <si>
    <t>APRENDICES</t>
  </si>
  <si>
    <t>JUAN CAMILO URIBE</t>
  </si>
  <si>
    <t>RENUNCIA</t>
  </si>
  <si>
    <t>JEFE DE CALIDAD</t>
  </si>
  <si>
    <t>JHONATAN ESTEVAN MONTAÑO</t>
  </si>
  <si>
    <t xml:space="preserve">APRENDIZ AUX ADMIN </t>
  </si>
  <si>
    <t>TERMINACIÓN DE PRACTICA</t>
  </si>
  <si>
    <t>SE VINCULA A LA EMPRESA</t>
  </si>
  <si>
    <t>Juan Sebastian Solano</t>
  </si>
  <si>
    <t>APRENDIZ SISTEMAS</t>
  </si>
  <si>
    <t>TERMINACIÓN PRACTICA</t>
  </si>
  <si>
    <t>LÍDER DE PRODUCCIÓN</t>
  </si>
  <si>
    <t>ALEJANDRA AVILES</t>
  </si>
  <si>
    <t>AUX ADMIN PROD</t>
  </si>
  <si>
    <t>JULIAN SUAREZ</t>
  </si>
  <si>
    <t>JHON FREDYS QUINTO</t>
  </si>
  <si>
    <t>ADMIN PDV</t>
  </si>
  <si>
    <t>CARLOS HIDALGO</t>
  </si>
  <si>
    <t>JEFE CONTROL INTERNO</t>
  </si>
  <si>
    <t>MISAEL ALVARADO</t>
  </si>
  <si>
    <t>SERNA IBARRA KEYLER SANTIAGO</t>
  </si>
  <si>
    <t>APRENDIZ APRENDIZ COCINA</t>
  </si>
  <si>
    <t>SALDARRIAGA TABORDA WUAHILLY DAVID</t>
  </si>
  <si>
    <t>RODRIGUEZ LOPEZ ANDRES CAMILO</t>
  </si>
  <si>
    <t>ALVAREZ MORENO DAYANA ANDREA</t>
  </si>
  <si>
    <t>APRENDIZ GH</t>
  </si>
  <si>
    <t>TERMINACIÓN DE CONTRATO</t>
  </si>
  <si>
    <t>SANTIAGO HIGUITA</t>
  </si>
  <si>
    <t>GENESIS ROSA ROA LANZA</t>
  </si>
  <si>
    <t>JERALD ENRIQUE MARQUINA PALACIOS</t>
  </si>
  <si>
    <t>JHONATAM ESTEVAN MONTAÑO DURAN</t>
  </si>
  <si>
    <t>RENUNICA</t>
  </si>
  <si>
    <t>FRANCO MONTOYA FRANCISCO ANTONIO</t>
  </si>
  <si>
    <t>TÉCNICO AUXILIAR DE MANTENIMIENTO</t>
  </si>
  <si>
    <t>MARIA CRISTINA LOPERA GIRALDO</t>
  </si>
  <si>
    <t>LIDER DE NOMINA Y SEGURIDAD SOCIAL</t>
  </si>
  <si>
    <t>JUAN DIEGO RAMIREZ ANGEL</t>
  </si>
  <si>
    <t>APRENDIZ</t>
  </si>
  <si>
    <t>MARIANA MENA MORENO</t>
  </si>
  <si>
    <t>PAULA ANDREA PARRA ABRIL</t>
  </si>
  <si>
    <t>FINALIZACIÓN PRACTICA</t>
  </si>
  <si>
    <t>ANDRES FELIPE VILLARREAL GONZALEZ</t>
  </si>
  <si>
    <t>HERNANDEZ GAMARRA LUNA</t>
  </si>
  <si>
    <t>RIOS GUTIERREZ MARIANA</t>
  </si>
  <si>
    <t>OTROS CARGOS</t>
  </si>
  <si>
    <t>CESAR DARIO MARQUEZ TRUJILLO</t>
  </si>
  <si>
    <t>TÉCNICO DE MANTENIMIENTO</t>
  </si>
  <si>
    <t>JOSE DAVID HINCAPIE BARRIENTOS</t>
  </si>
  <si>
    <t>YHONY ALEXANDER RUANO GONZALEZ</t>
  </si>
  <si>
    <t>LUIS ALBERTO FIGUEREDO</t>
  </si>
  <si>
    <t>ADMINISTRADOR DE PUNTO DE VENTA</t>
  </si>
  <si>
    <t>MIGUEL ESTEBAN MEJIA MORA</t>
  </si>
  <si>
    <t>MILDREY FARNORY GOMEZ</t>
  </si>
  <si>
    <t>JUAN PABLO YEPEZ ISAZA</t>
  </si>
  <si>
    <t>ALFREDO JOSE PERNIA RONDON</t>
  </si>
  <si>
    <t>AUXILIAR DE SISTEMAS</t>
  </si>
  <si>
    <t>TERMINACIÓN</t>
  </si>
  <si>
    <t>JUAN ESTEBAN CARO RAMIREZ</t>
  </si>
  <si>
    <t>JUAN CAMILO GIRALDO USMA</t>
  </si>
  <si>
    <t>SANTIAGO RENTERIA VALENCIA</t>
  </si>
  <si>
    <t>JOHN ESTEBAN ORTIZ QUIÑONES</t>
  </si>
  <si>
    <t>MARINEZ GOMEZ CHANSI</t>
  </si>
  <si>
    <t>JEFE DE OPERACIONES</t>
  </si>
  <si>
    <t>PRODUCCIÓN</t>
  </si>
  <si>
    <t>RETIROS PRODUCCIÓN</t>
  </si>
  <si>
    <t>CATAÑO TABORDA HAROLD ANDRES</t>
  </si>
  <si>
    <t>EUGENIO PARADA JAIVER ANTONIO</t>
  </si>
  <si>
    <t>AUXILIAR DE PRODUCCION</t>
  </si>
  <si>
    <t>LOPEZ BETANCUR JUAN PABLO</t>
  </si>
  <si>
    <t>GIL PEREZ JOSE ARBEY</t>
  </si>
  <si>
    <t>TERMINACION DE CONTRATO POR ABANDONO DE CARGO</t>
  </si>
  <si>
    <t>CRISTIAN CANO CASTILLO</t>
  </si>
  <si>
    <t>TERMINACION DE CONTRATO EN PERIODO DE PRUEBA</t>
  </si>
  <si>
    <t xml:space="preserve">LOGISTICA </t>
  </si>
  <si>
    <t>RETIROS LOGISTICA</t>
  </si>
  <si>
    <t xml:space="preserve">AUXILIAR DE LOGISTICA </t>
  </si>
  <si>
    <t>RAMIREZ GONZALEZ ANDREA ESTEFANIA</t>
  </si>
  <si>
    <t>SOTO CIRO TANYA YIZETH</t>
  </si>
  <si>
    <t>GUERRA SANTAMARIA JULIANA</t>
  </si>
  <si>
    <t>LIDER DE SELECCIÓN Y EVALUACIÓN DEL DESEMPEÑO</t>
  </si>
  <si>
    <t>TERMINACION DE CONTRATO SIN JUSTA CAUSA</t>
  </si>
  <si>
    <t>RETIROS CAJEROS CALI</t>
  </si>
  <si>
    <t>PORRAS CASTRILLON LIZETTH JHOANA</t>
  </si>
  <si>
    <t>JEFE DE MERCADEO</t>
  </si>
  <si>
    <t>MARTINEZ  SAAH LUZ NAIDA</t>
  </si>
  <si>
    <t xml:space="preserve">AUXILIAR ADMINISTRATIVO </t>
  </si>
  <si>
    <t>URIBE JIMENEZ ESTEBAN</t>
  </si>
  <si>
    <t>ARBELAEZ ZABALA JUAN ESTIVENS</t>
  </si>
  <si>
    <t>GUZMAN QUISOBONI RAMON FERNANDO</t>
  </si>
  <si>
    <t>YEPES TAMAYO MIGUEL</t>
  </si>
  <si>
    <t>HOLGUIN ZAPATA JONATHAN ANDRES</t>
  </si>
  <si>
    <t>SEPULVEDA  JAVIER HUMBERTO</t>
  </si>
  <si>
    <t>TERMINACION DE CONTRATO</t>
  </si>
  <si>
    <t>LOAIZA CARDONA JUAN CARLOS</t>
  </si>
  <si>
    <t>OSPINA HERNANDEZ ERNESTO JAVIER</t>
  </si>
  <si>
    <t>SALDARRIAGA LOPERA ANDREA</t>
  </si>
  <si>
    <t>JEFE DE COMPRAS</t>
  </si>
  <si>
    <t>VALENCIA CAÑAS TALI NACARI</t>
  </si>
  <si>
    <t xml:space="preserve">SANTIAGO BETANCOURT </t>
  </si>
  <si>
    <t>OSANAIDER ALVAREZ</t>
  </si>
  <si>
    <t>MARIA ISABEL AREIZA</t>
  </si>
  <si>
    <t>AUXILIAR CONTABLE 1</t>
  </si>
  <si>
    <t>SANTIAGO PATIÑO GARCIA</t>
  </si>
  <si>
    <t>MIGUEL ANGEL RESTREPO ACEVEDO</t>
  </si>
  <si>
    <t>alimentar</t>
  </si>
  <si>
    <t> </t>
  </si>
  <si>
    <t xml:space="preserve">ALVAREZ MARTINEZ JUAN ESTEBAN </t>
  </si>
  <si>
    <t>AUXILIAR DE LOGISITCA</t>
  </si>
  <si>
    <t xml:space="preserve"> VENCIMIENTO DEL CONTRATO</t>
  </si>
  <si>
    <t xml:space="preserve">ZAPATA CONTRERAS ERICA </t>
  </si>
  <si>
    <t xml:space="preserve">JEFE DE GESTION HUMANA </t>
  </si>
  <si>
    <t>TERMINACIÓN MUTUO ACUERDO</t>
  </si>
  <si>
    <t>CANO ARBOLEDA MICHAEL DAVID</t>
  </si>
  <si>
    <t>RODRIGUEZ SOTO ALEXANDER</t>
  </si>
  <si>
    <t>DUQUE RAMIREZ EDWIN FERNEY</t>
  </si>
  <si>
    <t>JEFE NACIONAL DE PUNTOS DE VENTYA</t>
  </si>
  <si>
    <t>ADMINISTRATIVOS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</si>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</sst>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_-;_-@"/>
    <numFmt numFmtId="166" formatCode="_-* #,##0.0_-;\-* #,##0.0_-;_-* &quot;-&quot;_-;_-@"/>
    <numFmt numFmtId="167" formatCode="0.0%"/>
  </numFmts>
  <fonts count="5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26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26"/>
      <color rgb="FF000000"/>
      <name val="Calibri"/>
      <family val="2"/>
    </font>
    <font>
      <sz val="9"/>
      <color rgb="FF000000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theme="9" tint="0.59999389629810485"/>
        <bgColor rgb="FF00FF00"/>
      </patternFill>
    </fill>
    <fill>
      <patternFill patternType="solid">
        <fgColor theme="2" tint="-0.14999847407452621"/>
        <bgColor rgb="FFFFFF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EA9999"/>
      </patternFill>
    </fill>
    <fill>
      <patternFill patternType="solid">
        <fgColor rgb="FFFFC000"/>
        <bgColor rgb="FFEA9999"/>
      </patternFill>
    </fill>
    <fill>
      <patternFill patternType="solid">
        <fgColor theme="9" tint="0.39997558519241921"/>
        <bgColor rgb="FFF1C232"/>
      </patternFill>
    </fill>
    <fill>
      <patternFill patternType="solid">
        <fgColor rgb="FFFFC000"/>
        <bgColor rgb="FFB6D7A8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EA9999"/>
      </patternFill>
    </fill>
    <fill>
      <patternFill patternType="solid">
        <fgColor theme="5" tint="0.39997558519241921"/>
        <bgColor rgb="FF00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1C232"/>
      </patternFill>
    </fill>
    <fill>
      <patternFill patternType="solid">
        <fgColor theme="5" tint="0.39997558519241921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rgb="FFD9D9D9"/>
      </patternFill>
    </fill>
    <fill>
      <patternFill patternType="solid">
        <fgColor theme="2"/>
        <bgColor rgb="FFFFFFFF"/>
      </patternFill>
    </fill>
    <fill>
      <patternFill patternType="solid">
        <fgColor theme="4" tint="0.59999389629810485"/>
        <bgColor rgb="FFEA9999"/>
      </patternFill>
    </fill>
    <fill>
      <patternFill patternType="solid">
        <fgColor theme="4" tint="0.59999389629810485"/>
        <bgColor rgb="FF00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6D7A8"/>
      </patternFill>
    </fill>
    <fill>
      <patternFill patternType="solid">
        <fgColor theme="4" tint="0.59999389629810485"/>
        <bgColor rgb="FFF1C23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A9999"/>
      </patternFill>
    </fill>
    <fill>
      <patternFill patternType="solid">
        <fgColor theme="7" tint="0.59999389629810485"/>
        <bgColor rgb="FF00FF00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1C232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B5E6A2"/>
        <bgColor rgb="FFFFFFFF"/>
      </patternFill>
    </fill>
    <fill>
      <patternFill patternType="solid">
        <fgColor rgb="FFFFFFFF"/>
        <bgColor rgb="FFB6D7A8"/>
      </patternFill>
    </fill>
    <fill>
      <patternFill patternType="solid">
        <fgColor rgb="FFE8E8E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B5E6A2"/>
        <bgColor rgb="FFEA9999"/>
      </patternFill>
    </fill>
    <fill>
      <patternFill patternType="solid">
        <fgColor rgb="FFB5E6A2"/>
        <bgColor rgb="FF00FF00"/>
      </patternFill>
    </fill>
    <fill>
      <patternFill patternType="solid">
        <fgColor rgb="FF83CCEB"/>
        <bgColor rgb="FFEA9999"/>
      </patternFill>
    </fill>
    <fill>
      <patternFill patternType="solid">
        <fgColor rgb="FF83CCEB"/>
        <bgColor rgb="FF00FF00"/>
      </patternFill>
    </fill>
    <fill>
      <patternFill patternType="solid">
        <fgColor rgb="FF83CCEB"/>
        <bgColor rgb="FF000000"/>
      </patternFill>
    </fill>
    <fill>
      <patternFill patternType="solid">
        <fgColor rgb="FFFFFFFF"/>
        <bgColor rgb="FFEA999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FF00"/>
      </patternFill>
    </fill>
    <fill>
      <patternFill patternType="solid">
        <fgColor rgb="FFC5C5C5"/>
        <bgColor rgb="FF000000"/>
      </patternFill>
    </fill>
    <fill>
      <patternFill patternType="solid">
        <fgColor rgb="FF83CCEB"/>
        <bgColor rgb="FFB6D7A8"/>
      </patternFill>
    </fill>
    <fill>
      <patternFill patternType="solid">
        <fgColor rgb="FF94DCF8"/>
        <bgColor rgb="FF000000"/>
      </patternFill>
    </fill>
    <fill>
      <patternFill patternType="solid">
        <fgColor rgb="FF94DCF8"/>
        <bgColor rgb="FFB6D7A8"/>
      </patternFill>
    </fill>
    <fill>
      <patternFill patternType="solid">
        <fgColor rgb="FF94DCF8"/>
        <bgColor rgb="FFF1C232"/>
      </patternFill>
    </fill>
    <fill>
      <patternFill patternType="solid">
        <fgColor rgb="FF94DCF8"/>
        <bgColor rgb="FF00FF00"/>
      </patternFill>
    </fill>
    <fill>
      <patternFill patternType="solid">
        <fgColor rgb="FF94DCF8"/>
        <bgColor rgb="FFEA9999"/>
      </patternFill>
    </fill>
    <fill>
      <patternFill patternType="solid">
        <fgColor rgb="FF8ED973"/>
        <bgColor rgb="FF000000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39" fillId="0" borderId="0" applyFont="0" applyFill="0" applyBorder="0" applyAlignment="0" applyProtection="0"/>
    <xf numFmtId="0" fontId="43" fillId="0" borderId="10"/>
    <xf numFmtId="43" fontId="48" fillId="0" borderId="0" applyFont="0" applyFill="0" applyBorder="0" applyAlignment="0" applyProtection="0"/>
  </cellStyleXfs>
  <cellXfs count="479">
    <xf numFmtId="0" fontId="0" fillId="0" borderId="0" xfId="0"/>
    <xf numFmtId="0" fontId="34" fillId="0" borderId="0" xfId="0" applyFont="1"/>
    <xf numFmtId="164" fontId="34" fillId="0" borderId="0" xfId="0" applyNumberFormat="1" applyFont="1"/>
    <xf numFmtId="0" fontId="37" fillId="3" borderId="3" xfId="0" applyFont="1" applyFill="1" applyBorder="1"/>
    <xf numFmtId="0" fontId="38" fillId="0" borderId="0" xfId="0" applyFont="1"/>
    <xf numFmtId="0" fontId="34" fillId="3" borderId="3" xfId="0" applyFont="1" applyFill="1" applyBorder="1"/>
    <xf numFmtId="165" fontId="34" fillId="3" borderId="3" xfId="0" applyNumberFormat="1" applyFont="1" applyFill="1" applyBorder="1"/>
    <xf numFmtId="166" fontId="34" fillId="3" borderId="3" xfId="0" applyNumberFormat="1" applyFont="1" applyFill="1" applyBorder="1"/>
    <xf numFmtId="0" fontId="37" fillId="3" borderId="2" xfId="0" applyFont="1" applyFill="1" applyBorder="1"/>
    <xf numFmtId="0" fontId="37" fillId="3" borderId="3" xfId="0" applyFont="1" applyFill="1" applyBorder="1" applyAlignment="1">
      <alignment horizontal="center"/>
    </xf>
    <xf numFmtId="0" fontId="38" fillId="0" borderId="6" xfId="0" applyFont="1" applyBorder="1"/>
    <xf numFmtId="0" fontId="34" fillId="3" borderId="6" xfId="0" applyFont="1" applyFill="1" applyBorder="1"/>
    <xf numFmtId="0" fontId="38" fillId="5" borderId="0" xfId="0" applyFont="1" applyFill="1"/>
    <xf numFmtId="0" fontId="34" fillId="3" borderId="7" xfId="0" applyFont="1" applyFill="1" applyBorder="1"/>
    <xf numFmtId="165" fontId="34" fillId="6" borderId="6" xfId="0" applyNumberFormat="1" applyFont="1" applyFill="1" applyBorder="1"/>
    <xf numFmtId="166" fontId="34" fillId="6" borderId="6" xfId="0" applyNumberFormat="1" applyFont="1" applyFill="1" applyBorder="1"/>
    <xf numFmtId="0" fontId="38" fillId="7" borderId="6" xfId="0" applyFont="1" applyFill="1" applyBorder="1"/>
    <xf numFmtId="164" fontId="34" fillId="7" borderId="6" xfId="0" applyNumberFormat="1" applyFont="1" applyFill="1" applyBorder="1"/>
    <xf numFmtId="164" fontId="34" fillId="0" borderId="6" xfId="0" applyNumberFormat="1" applyFont="1" applyBorder="1"/>
    <xf numFmtId="0" fontId="38" fillId="0" borderId="0" xfId="0" applyFont="1" applyAlignment="1">
      <alignment horizontal="center"/>
    </xf>
    <xf numFmtId="0" fontId="34" fillId="4" borderId="10" xfId="0" applyFont="1" applyFill="1" applyBorder="1" applyAlignment="1">
      <alignment horizontal="center"/>
    </xf>
    <xf numFmtId="0" fontId="38" fillId="6" borderId="6" xfId="0" applyFont="1" applyFill="1" applyBorder="1"/>
    <xf numFmtId="0" fontId="38" fillId="8" borderId="6" xfId="0" applyFont="1" applyFill="1" applyBorder="1"/>
    <xf numFmtId="164" fontId="34" fillId="6" borderId="6" xfId="0" applyNumberFormat="1" applyFont="1" applyFill="1" applyBorder="1"/>
    <xf numFmtId="164" fontId="34" fillId="8" borderId="6" xfId="0" applyNumberFormat="1" applyFont="1" applyFill="1" applyBorder="1"/>
    <xf numFmtId="0" fontId="34" fillId="5" borderId="3" xfId="0" applyFont="1" applyFill="1" applyBorder="1"/>
    <xf numFmtId="0" fontId="38" fillId="5" borderId="6" xfId="0" applyFont="1" applyFill="1" applyBorder="1"/>
    <xf numFmtId="0" fontId="38" fillId="9" borderId="6" xfId="0" applyFont="1" applyFill="1" applyBorder="1"/>
    <xf numFmtId="164" fontId="34" fillId="9" borderId="6" xfId="0" applyNumberFormat="1" applyFont="1" applyFill="1" applyBorder="1"/>
    <xf numFmtId="0" fontId="34" fillId="10" borderId="3" xfId="0" applyFont="1" applyFill="1" applyBorder="1"/>
    <xf numFmtId="0" fontId="0" fillId="0" borderId="10" xfId="0" applyBorder="1"/>
    <xf numFmtId="0" fontId="38" fillId="0" borderId="10" xfId="0" applyFont="1" applyBorder="1"/>
    <xf numFmtId="166" fontId="34" fillId="12" borderId="10" xfId="0" applyNumberFormat="1" applyFont="1" applyFill="1" applyBorder="1"/>
    <xf numFmtId="0" fontId="38" fillId="0" borderId="11" xfId="0" applyFont="1" applyBorder="1"/>
    <xf numFmtId="165" fontId="34" fillId="6" borderId="11" xfId="0" applyNumberFormat="1" applyFont="1" applyFill="1" applyBorder="1"/>
    <xf numFmtId="0" fontId="34" fillId="13" borderId="6" xfId="0" applyFont="1" applyFill="1" applyBorder="1"/>
    <xf numFmtId="0" fontId="34" fillId="3" borderId="10" xfId="0" applyFont="1" applyFill="1" applyBorder="1"/>
    <xf numFmtId="0" fontId="38" fillId="16" borderId="6" xfId="0" applyFont="1" applyFill="1" applyBorder="1"/>
    <xf numFmtId="0" fontId="33" fillId="5" borderId="6" xfId="0" applyFont="1" applyFill="1" applyBorder="1"/>
    <xf numFmtId="0" fontId="35" fillId="0" borderId="10" xfId="0" applyFont="1" applyBorder="1"/>
    <xf numFmtId="0" fontId="33" fillId="5" borderId="10" xfId="0" applyFont="1" applyFill="1" applyBorder="1"/>
    <xf numFmtId="0" fontId="38" fillId="5" borderId="10" xfId="0" applyFont="1" applyFill="1" applyBorder="1"/>
    <xf numFmtId="0" fontId="34" fillId="14" borderId="10" xfId="0" applyFont="1" applyFill="1" applyBorder="1" applyAlignment="1">
      <alignment horizontal="center"/>
    </xf>
    <xf numFmtId="0" fontId="0" fillId="15" borderId="10" xfId="0" applyFill="1" applyBorder="1"/>
    <xf numFmtId="0" fontId="38" fillId="15" borderId="10" xfId="0" applyFont="1" applyFill="1" applyBorder="1"/>
    <xf numFmtId="164" fontId="34" fillId="15" borderId="10" xfId="0" applyNumberFormat="1" applyFont="1" applyFill="1" applyBorder="1"/>
    <xf numFmtId="0" fontId="0" fillId="15" borderId="14" xfId="0" applyFill="1" applyBorder="1"/>
    <xf numFmtId="9" fontId="34" fillId="6" borderId="5" xfId="1" applyFont="1" applyFill="1" applyBorder="1"/>
    <xf numFmtId="0" fontId="38" fillId="17" borderId="6" xfId="0" applyFont="1" applyFill="1" applyBorder="1"/>
    <xf numFmtId="164" fontId="34" fillId="17" borderId="6" xfId="0" applyNumberFormat="1" applyFont="1" applyFill="1" applyBorder="1"/>
    <xf numFmtId="0" fontId="32" fillId="16" borderId="6" xfId="0" applyFont="1" applyFill="1" applyBorder="1"/>
    <xf numFmtId="0" fontId="38" fillId="18" borderId="6" xfId="0" applyFont="1" applyFill="1" applyBorder="1"/>
    <xf numFmtId="164" fontId="34" fillId="18" borderId="6" xfId="0" applyNumberFormat="1" applyFont="1" applyFill="1" applyBorder="1"/>
    <xf numFmtId="0" fontId="38" fillId="19" borderId="6" xfId="0" applyFont="1" applyFill="1" applyBorder="1"/>
    <xf numFmtId="164" fontId="34" fillId="19" borderId="6" xfId="0" applyNumberFormat="1" applyFont="1" applyFill="1" applyBorder="1"/>
    <xf numFmtId="0" fontId="38" fillId="20" borderId="6" xfId="0" applyFont="1" applyFill="1" applyBorder="1"/>
    <xf numFmtId="164" fontId="34" fillId="20" borderId="6" xfId="0" applyNumberFormat="1" applyFont="1" applyFill="1" applyBorder="1"/>
    <xf numFmtId="164" fontId="38" fillId="7" borderId="6" xfId="0" applyNumberFormat="1" applyFont="1" applyFill="1" applyBorder="1"/>
    <xf numFmtId="164" fontId="38" fillId="7" borderId="15" xfId="0" applyNumberFormat="1" applyFont="1" applyFill="1" applyBorder="1"/>
    <xf numFmtId="9" fontId="34" fillId="6" borderId="14" xfId="1" applyFont="1" applyFill="1" applyBorder="1"/>
    <xf numFmtId="0" fontId="0" fillId="0" borderId="14" xfId="0" applyBorder="1"/>
    <xf numFmtId="0" fontId="34" fillId="14" borderId="14" xfId="0" applyFont="1" applyFill="1" applyBorder="1"/>
    <xf numFmtId="0" fontId="35" fillId="15" borderId="14" xfId="0" applyFont="1" applyFill="1" applyBorder="1"/>
    <xf numFmtId="0" fontId="31" fillId="15" borderId="14" xfId="0" applyFont="1" applyFill="1" applyBorder="1"/>
    <xf numFmtId="0" fontId="38" fillId="15" borderId="14" xfId="0" applyFont="1" applyFill="1" applyBorder="1"/>
    <xf numFmtId="164" fontId="34" fillId="0" borderId="10" xfId="0" applyNumberFormat="1" applyFont="1" applyBorder="1"/>
    <xf numFmtId="164" fontId="34" fillId="21" borderId="10" xfId="0" applyNumberFormat="1" applyFont="1" applyFill="1" applyBorder="1"/>
    <xf numFmtId="0" fontId="0" fillId="15" borderId="0" xfId="0" applyFill="1"/>
    <xf numFmtId="164" fontId="34" fillId="22" borderId="10" xfId="0" applyNumberFormat="1" applyFont="1" applyFill="1" applyBorder="1"/>
    <xf numFmtId="0" fontId="30" fillId="0" borderId="6" xfId="0" applyFont="1" applyBorder="1"/>
    <xf numFmtId="164" fontId="38" fillId="21" borderId="10" xfId="0" applyNumberFormat="1" applyFont="1" applyFill="1" applyBorder="1"/>
    <xf numFmtId="0" fontId="38" fillId="23" borderId="0" xfId="0" applyFont="1" applyFill="1"/>
    <xf numFmtId="0" fontId="32" fillId="15" borderId="6" xfId="0" applyFont="1" applyFill="1" applyBorder="1"/>
    <xf numFmtId="0" fontId="38" fillId="24" borderId="6" xfId="0" applyFont="1" applyFill="1" applyBorder="1"/>
    <xf numFmtId="0" fontId="42" fillId="24" borderId="6" xfId="0" applyFont="1" applyFill="1" applyBorder="1"/>
    <xf numFmtId="0" fontId="38" fillId="25" borderId="6" xfId="0" applyFont="1" applyFill="1" applyBorder="1"/>
    <xf numFmtId="0" fontId="38" fillId="26" borderId="6" xfId="0" applyFont="1" applyFill="1" applyBorder="1"/>
    <xf numFmtId="0" fontId="0" fillId="26" borderId="14" xfId="0" applyFill="1" applyBorder="1"/>
    <xf numFmtId="0" fontId="38" fillId="27" borderId="6" xfId="0" applyFont="1" applyFill="1" applyBorder="1"/>
    <xf numFmtId="0" fontId="38" fillId="28" borderId="6" xfId="0" applyFont="1" applyFill="1" applyBorder="1"/>
    <xf numFmtId="164" fontId="34" fillId="12" borderId="6" xfId="0" applyNumberFormat="1" applyFont="1" applyFill="1" applyBorder="1"/>
    <xf numFmtId="164" fontId="34" fillId="22" borderId="6" xfId="0" applyNumberFormat="1" applyFont="1" applyFill="1" applyBorder="1"/>
    <xf numFmtId="0" fontId="38" fillId="15" borderId="6" xfId="0" applyFont="1" applyFill="1" applyBorder="1"/>
    <xf numFmtId="0" fontId="38" fillId="22" borderId="6" xfId="0" applyFont="1" applyFill="1" applyBorder="1"/>
    <xf numFmtId="0" fontId="42" fillId="21" borderId="6" xfId="0" applyFont="1" applyFill="1" applyBorder="1"/>
    <xf numFmtId="0" fontId="38" fillId="21" borderId="6" xfId="0" applyFont="1" applyFill="1" applyBorder="1"/>
    <xf numFmtId="164" fontId="38" fillId="21" borderId="6" xfId="0" applyNumberFormat="1" applyFont="1" applyFill="1" applyBorder="1"/>
    <xf numFmtId="2" fontId="0" fillId="29" borderId="0" xfId="0" applyNumberFormat="1" applyFill="1"/>
    <xf numFmtId="164" fontId="0" fillId="29" borderId="0" xfId="0" applyNumberFormat="1" applyFill="1"/>
    <xf numFmtId="0" fontId="0" fillId="29" borderId="0" xfId="0" applyFill="1"/>
    <xf numFmtId="167" fontId="34" fillId="22" borderId="6" xfId="0" applyNumberFormat="1" applyFont="1" applyFill="1" applyBorder="1"/>
    <xf numFmtId="0" fontId="29" fillId="0" borderId="6" xfId="0" applyFont="1" applyBorder="1"/>
    <xf numFmtId="0" fontId="28" fillId="0" borderId="6" xfId="0" applyFont="1" applyBorder="1"/>
    <xf numFmtId="0" fontId="38" fillId="32" borderId="6" xfId="0" applyFont="1" applyFill="1" applyBorder="1"/>
    <xf numFmtId="164" fontId="34" fillId="32" borderId="6" xfId="0" applyNumberFormat="1" applyFont="1" applyFill="1" applyBorder="1"/>
    <xf numFmtId="164" fontId="34" fillId="33" borderId="6" xfId="0" applyNumberFormat="1" applyFont="1" applyFill="1" applyBorder="1"/>
    <xf numFmtId="164" fontId="34" fillId="34" borderId="6" xfId="0" applyNumberFormat="1" applyFont="1" applyFill="1" applyBorder="1"/>
    <xf numFmtId="0" fontId="38" fillId="33" borderId="6" xfId="0" applyFont="1" applyFill="1" applyBorder="1"/>
    <xf numFmtId="0" fontId="38" fillId="34" borderId="6" xfId="0" applyFont="1" applyFill="1" applyBorder="1"/>
    <xf numFmtId="0" fontId="0" fillId="34" borderId="14" xfId="0" applyFill="1" applyBorder="1"/>
    <xf numFmtId="0" fontId="38" fillId="35" borderId="6" xfId="0" applyFont="1" applyFill="1" applyBorder="1"/>
    <xf numFmtId="164" fontId="34" fillId="35" borderId="6" xfId="0" applyNumberFormat="1" applyFont="1" applyFill="1" applyBorder="1"/>
    <xf numFmtId="0" fontId="38" fillId="36" borderId="6" xfId="0" applyFont="1" applyFill="1" applyBorder="1"/>
    <xf numFmtId="167" fontId="34" fillId="33" borderId="6" xfId="0" applyNumberFormat="1" applyFont="1" applyFill="1" applyBorder="1"/>
    <xf numFmtId="0" fontId="28" fillId="32" borderId="6" xfId="0" quotePrefix="1" applyFont="1" applyFill="1" applyBorder="1"/>
    <xf numFmtId="164" fontId="38" fillId="32" borderId="6" xfId="0" applyNumberFormat="1" applyFont="1" applyFill="1" applyBorder="1"/>
    <xf numFmtId="0" fontId="28" fillId="11" borderId="6" xfId="0" applyFont="1" applyFill="1" applyBorder="1"/>
    <xf numFmtId="0" fontId="38" fillId="11" borderId="6" xfId="0" applyFont="1" applyFill="1" applyBorder="1"/>
    <xf numFmtId="0" fontId="0" fillId="11" borderId="14" xfId="0" applyFill="1" applyBorder="1"/>
    <xf numFmtId="0" fontId="38" fillId="11" borderId="14" xfId="0" applyFont="1" applyFill="1" applyBorder="1"/>
    <xf numFmtId="0" fontId="0" fillId="37" borderId="14" xfId="0" applyFill="1" applyBorder="1"/>
    <xf numFmtId="0" fontId="27" fillId="0" borderId="6" xfId="0" applyFont="1" applyBorder="1"/>
    <xf numFmtId="0" fontId="26" fillId="0" borderId="6" xfId="0" applyFont="1" applyBorder="1"/>
    <xf numFmtId="0" fontId="28" fillId="38" borderId="6" xfId="0" applyFont="1" applyFill="1" applyBorder="1"/>
    <xf numFmtId="0" fontId="38" fillId="38" borderId="6" xfId="0" applyFont="1" applyFill="1" applyBorder="1"/>
    <xf numFmtId="0" fontId="38" fillId="38" borderId="14" xfId="0" applyFont="1" applyFill="1" applyBorder="1"/>
    <xf numFmtId="0" fontId="0" fillId="38" borderId="14" xfId="0" applyFill="1" applyBorder="1"/>
    <xf numFmtId="0" fontId="28" fillId="39" borderId="6" xfId="0" applyFont="1" applyFill="1" applyBorder="1"/>
    <xf numFmtId="0" fontId="38" fillId="39" borderId="6" xfId="0" applyFont="1" applyFill="1" applyBorder="1"/>
    <xf numFmtId="0" fontId="38" fillId="40" borderId="6" xfId="0" applyFont="1" applyFill="1" applyBorder="1"/>
    <xf numFmtId="0" fontId="38" fillId="41" borderId="6" xfId="0" applyFont="1" applyFill="1" applyBorder="1"/>
    <xf numFmtId="0" fontId="38" fillId="42" borderId="6" xfId="0" applyFont="1" applyFill="1" applyBorder="1"/>
    <xf numFmtId="0" fontId="38" fillId="43" borderId="6" xfId="0" applyFont="1" applyFill="1" applyBorder="1"/>
    <xf numFmtId="0" fontId="28" fillId="40" borderId="6" xfId="0" quotePrefix="1" applyFont="1" applyFill="1" applyBorder="1"/>
    <xf numFmtId="0" fontId="0" fillId="39" borderId="14" xfId="0" applyFill="1" applyBorder="1"/>
    <xf numFmtId="0" fontId="37" fillId="3" borderId="10" xfId="2" applyFont="1" applyFill="1"/>
    <xf numFmtId="0" fontId="37" fillId="3" borderId="10" xfId="2" applyFont="1" applyFill="1" applyAlignment="1">
      <alignment horizontal="center"/>
    </xf>
    <xf numFmtId="0" fontId="43" fillId="0" borderId="10" xfId="2"/>
    <xf numFmtId="0" fontId="25" fillId="0" borderId="6" xfId="2" applyFont="1" applyBorder="1"/>
    <xf numFmtId="0" fontId="34" fillId="3" borderId="6" xfId="2" applyFont="1" applyFill="1" applyBorder="1"/>
    <xf numFmtId="0" fontId="25" fillId="0" borderId="10" xfId="2" applyFont="1"/>
    <xf numFmtId="0" fontId="34" fillId="3" borderId="10" xfId="2" applyFont="1" applyFill="1"/>
    <xf numFmtId="0" fontId="34" fillId="13" borderId="6" xfId="2" applyFont="1" applyFill="1" applyBorder="1"/>
    <xf numFmtId="0" fontId="25" fillId="5" borderId="10" xfId="2" applyFont="1" applyFill="1"/>
    <xf numFmtId="0" fontId="25" fillId="0" borderId="11" xfId="2" applyFont="1" applyBorder="1"/>
    <xf numFmtId="165" fontId="34" fillId="6" borderId="11" xfId="2" applyNumberFormat="1" applyFont="1" applyFill="1" applyBorder="1"/>
    <xf numFmtId="165" fontId="34" fillId="6" borderId="6" xfId="2" applyNumberFormat="1" applyFont="1" applyFill="1" applyBorder="1"/>
    <xf numFmtId="166" fontId="34" fillId="12" borderId="10" xfId="2" applyNumberFormat="1" applyFont="1" applyFill="1"/>
    <xf numFmtId="166" fontId="34" fillId="6" borderId="6" xfId="2" applyNumberFormat="1" applyFont="1" applyFill="1" applyBorder="1"/>
    <xf numFmtId="0" fontId="25" fillId="15" borderId="6" xfId="2" applyFont="1" applyFill="1" applyBorder="1"/>
    <xf numFmtId="0" fontId="25" fillId="38" borderId="6" xfId="2" applyFont="1" applyFill="1" applyBorder="1"/>
    <xf numFmtId="0" fontId="25" fillId="17" borderId="6" xfId="2" applyFont="1" applyFill="1" applyBorder="1"/>
    <xf numFmtId="0" fontId="25" fillId="9" borderId="6" xfId="2" applyFont="1" applyFill="1" applyBorder="1"/>
    <xf numFmtId="164" fontId="34" fillId="32" borderId="6" xfId="2" applyNumberFormat="1" applyFont="1" applyFill="1" applyBorder="1"/>
    <xf numFmtId="164" fontId="34" fillId="33" borderId="6" xfId="2" applyNumberFormat="1" applyFont="1" applyFill="1" applyBorder="1"/>
    <xf numFmtId="164" fontId="34" fillId="34" borderId="6" xfId="2" applyNumberFormat="1" applyFont="1" applyFill="1" applyBorder="1"/>
    <xf numFmtId="164" fontId="34" fillId="21" borderId="10" xfId="2" applyNumberFormat="1" applyFont="1" applyFill="1"/>
    <xf numFmtId="0" fontId="43" fillId="15" borderId="10" xfId="2" applyFill="1"/>
    <xf numFmtId="0" fontId="25" fillId="15" borderId="10" xfId="2" applyFont="1" applyFill="1"/>
    <xf numFmtId="164" fontId="34" fillId="22" borderId="10" xfId="2" applyNumberFormat="1" applyFont="1" applyFill="1"/>
    <xf numFmtId="164" fontId="34" fillId="0" borderId="10" xfId="2" applyNumberFormat="1" applyFont="1"/>
    <xf numFmtId="0" fontId="25" fillId="0" borderId="10" xfId="2" applyFont="1" applyAlignment="1">
      <alignment horizontal="center"/>
    </xf>
    <xf numFmtId="0" fontId="34" fillId="14" borderId="14" xfId="2" applyFont="1" applyFill="1" applyBorder="1"/>
    <xf numFmtId="0" fontId="35" fillId="15" borderId="14" xfId="2" applyFont="1" applyFill="1" applyBorder="1"/>
    <xf numFmtId="0" fontId="43" fillId="0" borderId="14" xfId="2" applyBorder="1"/>
    <xf numFmtId="0" fontId="25" fillId="38" borderId="14" xfId="2" applyFont="1" applyFill="1" applyBorder="1"/>
    <xf numFmtId="0" fontId="43" fillId="38" borderId="14" xfId="2" applyFill="1" applyBorder="1"/>
    <xf numFmtId="0" fontId="25" fillId="11" borderId="6" xfId="2" applyFont="1" applyFill="1" applyBorder="1"/>
    <xf numFmtId="164" fontId="25" fillId="32" borderId="6" xfId="2" applyNumberFormat="1" applyFont="1" applyFill="1" applyBorder="1"/>
    <xf numFmtId="164" fontId="25" fillId="21" borderId="10" xfId="2" applyNumberFormat="1" applyFont="1" applyFill="1"/>
    <xf numFmtId="0" fontId="25" fillId="23" borderId="10" xfId="2" applyFont="1" applyFill="1"/>
    <xf numFmtId="0" fontId="43" fillId="15" borderId="14" xfId="2" applyFill="1" applyBorder="1"/>
    <xf numFmtId="164" fontId="34" fillId="35" borderId="6" xfId="2" applyNumberFormat="1" applyFont="1" applyFill="1" applyBorder="1"/>
    <xf numFmtId="0" fontId="25" fillId="39" borderId="6" xfId="2" applyFont="1" applyFill="1" applyBorder="1"/>
    <xf numFmtId="0" fontId="25" fillId="42" borderId="6" xfId="2" applyFont="1" applyFill="1" applyBorder="1"/>
    <xf numFmtId="0" fontId="25" fillId="43" borderId="6" xfId="2" applyFont="1" applyFill="1" applyBorder="1"/>
    <xf numFmtId="0" fontId="25" fillId="41" borderId="6" xfId="2" applyFont="1" applyFill="1" applyBorder="1"/>
    <xf numFmtId="0" fontId="25" fillId="40" borderId="6" xfId="2" applyFont="1" applyFill="1" applyBorder="1"/>
    <xf numFmtId="167" fontId="34" fillId="33" borderId="6" xfId="2" applyNumberFormat="1" applyFont="1" applyFill="1" applyBorder="1"/>
    <xf numFmtId="0" fontId="25" fillId="40" borderId="6" xfId="2" quotePrefix="1" applyFont="1" applyFill="1" applyBorder="1"/>
    <xf numFmtId="0" fontId="43" fillId="39" borderId="14" xfId="2" applyFill="1" applyBorder="1"/>
    <xf numFmtId="0" fontId="43" fillId="37" borderId="14" xfId="2" applyFill="1" applyBorder="1"/>
    <xf numFmtId="164" fontId="34" fillId="15" borderId="10" xfId="2" applyNumberFormat="1" applyFont="1" applyFill="1"/>
    <xf numFmtId="0" fontId="34" fillId="44" borderId="6" xfId="2" applyFont="1" applyFill="1" applyBorder="1"/>
    <xf numFmtId="0" fontId="25" fillId="16" borderId="6" xfId="2" applyFont="1" applyFill="1" applyBorder="1"/>
    <xf numFmtId="0" fontId="24" fillId="0" borderId="10" xfId="2" applyFont="1"/>
    <xf numFmtId="0" fontId="23" fillId="0" borderId="10" xfId="2" applyFont="1"/>
    <xf numFmtId="0" fontId="43" fillId="15" borderId="10" xfId="2" applyFill="1" applyAlignment="1">
      <alignment wrapText="1"/>
    </xf>
    <xf numFmtId="0" fontId="23" fillId="0" borderId="14" xfId="2" applyFont="1" applyBorder="1"/>
    <xf numFmtId="0" fontId="23" fillId="0" borderId="24" xfId="2" applyFont="1" applyBorder="1"/>
    <xf numFmtId="0" fontId="43" fillId="0" borderId="24" xfId="2" applyBorder="1"/>
    <xf numFmtId="0" fontId="22" fillId="0" borderId="10" xfId="2" applyFont="1"/>
    <xf numFmtId="0" fontId="22" fillId="0" borderId="24" xfId="2" applyFont="1" applyBorder="1"/>
    <xf numFmtId="0" fontId="21" fillId="0" borderId="24" xfId="2" applyFont="1" applyBorder="1"/>
    <xf numFmtId="0" fontId="18" fillId="0" borderId="6" xfId="2" applyFont="1" applyBorder="1"/>
    <xf numFmtId="0" fontId="15" fillId="0" borderId="6" xfId="2" applyFont="1" applyBorder="1"/>
    <xf numFmtId="0" fontId="45" fillId="0" borderId="14" xfId="0" applyFont="1" applyBorder="1"/>
    <xf numFmtId="0" fontId="14" fillId="0" borderId="6" xfId="2" applyFont="1" applyBorder="1"/>
    <xf numFmtId="0" fontId="13" fillId="0" borderId="11" xfId="2" applyFont="1" applyBorder="1"/>
    <xf numFmtId="0" fontId="34" fillId="45" borderId="6" xfId="2" applyFont="1" applyFill="1" applyBorder="1"/>
    <xf numFmtId="0" fontId="25" fillId="0" borderId="33" xfId="2" applyFont="1" applyBorder="1"/>
    <xf numFmtId="0" fontId="12" fillId="0" borderId="6" xfId="2" applyFont="1" applyBorder="1"/>
    <xf numFmtId="164" fontId="34" fillId="33" borderId="33" xfId="2" applyNumberFormat="1" applyFont="1" applyFill="1" applyBorder="1"/>
    <xf numFmtId="0" fontId="25" fillId="0" borderId="14" xfId="2" applyFont="1" applyBorder="1"/>
    <xf numFmtId="0" fontId="25" fillId="9" borderId="14" xfId="2" applyFont="1" applyFill="1" applyBorder="1"/>
    <xf numFmtId="43" fontId="34" fillId="33" borderId="6" xfId="3" applyFont="1" applyFill="1" applyBorder="1"/>
    <xf numFmtId="0" fontId="34" fillId="0" borderId="10" xfId="3" applyNumberFormat="1" applyFont="1" applyBorder="1"/>
    <xf numFmtId="0" fontId="49" fillId="0" borderId="19" xfId="0" applyFont="1" applyBorder="1"/>
    <xf numFmtId="0" fontId="49" fillId="0" borderId="20" xfId="0" applyFont="1" applyBorder="1"/>
    <xf numFmtId="0" fontId="10" fillId="0" borderId="10" xfId="2" applyFont="1"/>
    <xf numFmtId="0" fontId="25" fillId="39" borderId="14" xfId="2" applyFont="1" applyFill="1" applyBorder="1"/>
    <xf numFmtId="0" fontId="25" fillId="40" borderId="14" xfId="2" applyFont="1" applyFill="1" applyBorder="1"/>
    <xf numFmtId="164" fontId="25" fillId="32" borderId="14" xfId="2" applyNumberFormat="1" applyFont="1" applyFill="1" applyBorder="1"/>
    <xf numFmtId="0" fontId="49" fillId="0" borderId="10" xfId="0" applyFont="1" applyBorder="1"/>
    <xf numFmtId="0" fontId="9" fillId="0" borderId="10" xfId="2" applyFont="1"/>
    <xf numFmtId="0" fontId="43" fillId="29" borderId="10" xfId="2" applyFill="1"/>
    <xf numFmtId="0" fontId="8" fillId="0" borderId="10" xfId="2" applyFont="1"/>
    <xf numFmtId="43" fontId="34" fillId="6" borderId="6" xfId="3" applyFont="1" applyFill="1" applyBorder="1"/>
    <xf numFmtId="0" fontId="6" fillId="0" borderId="10" xfId="2" applyFont="1"/>
    <xf numFmtId="0" fontId="5" fillId="0" borderId="10" xfId="2" applyFont="1"/>
    <xf numFmtId="0" fontId="4" fillId="0" borderId="0" xfId="0" applyFont="1"/>
    <xf numFmtId="0" fontId="25" fillId="39" borderId="33" xfId="2" applyFont="1" applyFill="1" applyBorder="1"/>
    <xf numFmtId="0" fontId="25" fillId="41" borderId="33" xfId="2" applyFont="1" applyFill="1" applyBorder="1"/>
    <xf numFmtId="0" fontId="3" fillId="0" borderId="10" xfId="2" applyFont="1"/>
    <xf numFmtId="0" fontId="25" fillId="0" borderId="35" xfId="2" applyFont="1" applyBorder="1"/>
    <xf numFmtId="0" fontId="25" fillId="0" borderId="4" xfId="2" applyFont="1" applyBorder="1"/>
    <xf numFmtId="0" fontId="25" fillId="39" borderId="4" xfId="2" applyFont="1" applyFill="1" applyBorder="1"/>
    <xf numFmtId="0" fontId="18" fillId="0" borderId="4" xfId="2" applyFont="1" applyBorder="1"/>
    <xf numFmtId="0" fontId="25" fillId="16" borderId="14" xfId="2" applyFont="1" applyFill="1" applyBorder="1"/>
    <xf numFmtId="0" fontId="25" fillId="42" borderId="14" xfId="2" applyFont="1" applyFill="1" applyBorder="1"/>
    <xf numFmtId="164" fontId="34" fillId="35" borderId="14" xfId="2" applyNumberFormat="1" applyFont="1" applyFill="1" applyBorder="1"/>
    <xf numFmtId="0" fontId="2" fillId="0" borderId="10" xfId="2" applyFont="1"/>
    <xf numFmtId="0" fontId="51" fillId="5" borderId="10" xfId="0" applyFont="1" applyFill="1" applyBorder="1"/>
    <xf numFmtId="0" fontId="49" fillId="0" borderId="33" xfId="0" applyFont="1" applyBorder="1"/>
    <xf numFmtId="0" fontId="50" fillId="5" borderId="36" xfId="0" applyFont="1" applyFill="1" applyBorder="1"/>
    <xf numFmtId="0" fontId="50" fillId="47" borderId="36" xfId="0" applyFont="1" applyFill="1" applyBorder="1"/>
    <xf numFmtId="0" fontId="50" fillId="48" borderId="36" xfId="0" applyFont="1" applyFill="1" applyBorder="1"/>
    <xf numFmtId="0" fontId="50" fillId="5" borderId="10" xfId="0" applyFont="1" applyFill="1" applyBorder="1"/>
    <xf numFmtId="0" fontId="49" fillId="0" borderId="11" xfId="0" applyFont="1" applyBorder="1"/>
    <xf numFmtId="0" fontId="50" fillId="6" borderId="22" xfId="0" applyFont="1" applyFill="1" applyBorder="1"/>
    <xf numFmtId="0" fontId="50" fillId="6" borderId="5" xfId="0" applyFont="1" applyFill="1" applyBorder="1"/>
    <xf numFmtId="0" fontId="49" fillId="0" borderId="6" xfId="0" applyFont="1" applyBorder="1"/>
    <xf numFmtId="0" fontId="50" fillId="49" borderId="10" xfId="0" applyFont="1" applyFill="1" applyBorder="1"/>
    <xf numFmtId="0" fontId="50" fillId="6" borderId="36" xfId="0" applyFont="1" applyFill="1" applyBorder="1"/>
    <xf numFmtId="9" fontId="49" fillId="0" borderId="10" xfId="1" applyFont="1" applyBorder="1"/>
    <xf numFmtId="0" fontId="49" fillId="0" borderId="36" xfId="0" applyFont="1" applyBorder="1"/>
    <xf numFmtId="0" fontId="49" fillId="0" borderId="5" xfId="0" applyFont="1" applyBorder="1"/>
    <xf numFmtId="0" fontId="49" fillId="50" borderId="36" xfId="0" applyFont="1" applyFill="1" applyBorder="1"/>
    <xf numFmtId="0" fontId="49" fillId="51" borderId="33" xfId="0" applyFont="1" applyFill="1" applyBorder="1"/>
    <xf numFmtId="0" fontId="49" fillId="51" borderId="36" xfId="0" applyFont="1" applyFill="1" applyBorder="1"/>
    <xf numFmtId="0" fontId="49" fillId="52" borderId="36" xfId="0" applyFont="1" applyFill="1" applyBorder="1"/>
    <xf numFmtId="0" fontId="49" fillId="53" borderId="36" xfId="0" applyFont="1" applyFill="1" applyBorder="1"/>
    <xf numFmtId="0" fontId="50" fillId="54" borderId="36" xfId="0" applyFont="1" applyFill="1" applyBorder="1"/>
    <xf numFmtId="0" fontId="50" fillId="55" borderId="36" xfId="0" applyFont="1" applyFill="1" applyBorder="1"/>
    <xf numFmtId="0" fontId="50" fillId="56" borderId="36" xfId="0" applyFont="1" applyFill="1" applyBorder="1"/>
    <xf numFmtId="0" fontId="50" fillId="57" borderId="10" xfId="0" applyFont="1" applyFill="1" applyBorder="1"/>
    <xf numFmtId="0" fontId="49" fillId="58" borderId="10" xfId="0" applyFont="1" applyFill="1" applyBorder="1"/>
    <xf numFmtId="0" fontId="50" fillId="59" borderId="10" xfId="0" applyFont="1" applyFill="1" applyBorder="1"/>
    <xf numFmtId="0" fontId="50" fillId="0" borderId="10" xfId="0" applyFont="1" applyBorder="1"/>
    <xf numFmtId="0" fontId="50" fillId="46" borderId="24" xfId="0" applyFont="1" applyFill="1" applyBorder="1"/>
    <xf numFmtId="0" fontId="35" fillId="58" borderId="28" xfId="0" applyFont="1" applyFill="1" applyBorder="1"/>
    <xf numFmtId="0" fontId="49" fillId="0" borderId="24" xfId="0" applyFont="1" applyBorder="1"/>
    <xf numFmtId="0" fontId="49" fillId="0" borderId="28" xfId="0" applyFont="1" applyBorder="1"/>
    <xf numFmtId="0" fontId="49" fillId="51" borderId="28" xfId="0" applyFont="1" applyFill="1" applyBorder="1"/>
    <xf numFmtId="0" fontId="49" fillId="51" borderId="24" xfId="0" applyFont="1" applyFill="1" applyBorder="1"/>
    <xf numFmtId="0" fontId="49" fillId="53" borderId="28" xfId="0" applyFont="1" applyFill="1" applyBorder="1"/>
    <xf numFmtId="0" fontId="49" fillId="60" borderId="33" xfId="0" applyFont="1" applyFill="1" applyBorder="1"/>
    <xf numFmtId="0" fontId="49" fillId="54" borderId="36" xfId="0" applyFont="1" applyFill="1" applyBorder="1"/>
    <xf numFmtId="0" fontId="49" fillId="57" borderId="10" xfId="0" applyFont="1" applyFill="1" applyBorder="1"/>
    <xf numFmtId="0" fontId="49" fillId="0" borderId="14" xfId="0" applyFont="1" applyBorder="1"/>
    <xf numFmtId="0" fontId="49" fillId="58" borderId="24" xfId="0" applyFont="1" applyFill="1" applyBorder="1"/>
    <xf numFmtId="0" fontId="50" fillId="61" borderId="36" xfId="0" applyFont="1" applyFill="1" applyBorder="1"/>
    <xf numFmtId="0" fontId="49" fillId="0" borderId="35" xfId="0" applyFont="1" applyBorder="1"/>
    <xf numFmtId="0" fontId="49" fillId="50" borderId="24" xfId="0" applyFont="1" applyFill="1" applyBorder="1"/>
    <xf numFmtId="0" fontId="49" fillId="62" borderId="35" xfId="0" applyFont="1" applyFill="1" applyBorder="1"/>
    <xf numFmtId="0" fontId="49" fillId="62" borderId="24" xfId="0" applyFont="1" applyFill="1" applyBorder="1"/>
    <xf numFmtId="0" fontId="49" fillId="62" borderId="33" xfId="0" applyFont="1" applyFill="1" applyBorder="1"/>
    <xf numFmtId="0" fontId="49" fillId="62" borderId="36" xfId="0" applyFont="1" applyFill="1" applyBorder="1"/>
    <xf numFmtId="0" fontId="49" fillId="63" borderId="24" xfId="0" applyFont="1" applyFill="1" applyBorder="1"/>
    <xf numFmtId="0" fontId="49" fillId="64" borderId="36" xfId="0" applyFont="1" applyFill="1" applyBorder="1"/>
    <xf numFmtId="0" fontId="49" fillId="63" borderId="36" xfId="0" applyFont="1" applyFill="1" applyBorder="1"/>
    <xf numFmtId="0" fontId="49" fillId="65" borderId="36" xfId="0" applyFont="1" applyFill="1" applyBorder="1"/>
    <xf numFmtId="0" fontId="49" fillId="66" borderId="36" xfId="0" applyFont="1" applyFill="1" applyBorder="1"/>
    <xf numFmtId="0" fontId="50" fillId="61" borderId="24" xfId="0" applyFont="1" applyFill="1" applyBorder="1"/>
    <xf numFmtId="0" fontId="49" fillId="62" borderId="28" xfId="0" applyFont="1" applyFill="1" applyBorder="1"/>
    <xf numFmtId="0" fontId="49" fillId="66" borderId="28" xfId="0" applyFont="1" applyFill="1" applyBorder="1"/>
    <xf numFmtId="0" fontId="49" fillId="54" borderId="28" xfId="0" applyFont="1" applyFill="1" applyBorder="1"/>
    <xf numFmtId="0" fontId="49" fillId="67" borderId="24" xfId="0" applyFont="1" applyFill="1" applyBorder="1"/>
    <xf numFmtId="0" fontId="49" fillId="62" borderId="6" xfId="0" applyFont="1" applyFill="1" applyBorder="1"/>
    <xf numFmtId="0" fontId="49" fillId="62" borderId="5" xfId="0" applyFont="1" applyFill="1" applyBorder="1"/>
    <xf numFmtId="0" fontId="1" fillId="0" borderId="6" xfId="2" applyFont="1" applyBorder="1"/>
    <xf numFmtId="0" fontId="1" fillId="0" borderId="10" xfId="2" applyFont="1"/>
    <xf numFmtId="0" fontId="1" fillId="0" borderId="11" xfId="2" applyFont="1" applyBorder="1"/>
    <xf numFmtId="0" fontId="1" fillId="0" borderId="33" xfId="2" applyFont="1" applyBorder="1"/>
    <xf numFmtId="0" fontId="1" fillId="16" borderId="6" xfId="2" applyFont="1" applyFill="1" applyBorder="1"/>
    <xf numFmtId="0" fontId="1" fillId="38" borderId="6" xfId="2" applyFont="1" applyFill="1" applyBorder="1"/>
    <xf numFmtId="0" fontId="1" fillId="17" borderId="6" xfId="2" applyFont="1" applyFill="1" applyBorder="1"/>
    <xf numFmtId="0" fontId="1" fillId="9" borderId="6" xfId="2" applyFont="1" applyFill="1" applyBorder="1"/>
    <xf numFmtId="0" fontId="1" fillId="15" borderId="10" xfId="2" applyFont="1" applyFill="1"/>
    <xf numFmtId="0" fontId="1" fillId="0" borderId="10" xfId="2" applyFont="1" applyAlignment="1">
      <alignment horizontal="center"/>
    </xf>
    <xf numFmtId="0" fontId="1" fillId="38" borderId="14" xfId="2" applyFont="1" applyFill="1" applyBorder="1"/>
    <xf numFmtId="0" fontId="1" fillId="0" borderId="14" xfId="2" applyFont="1" applyBorder="1"/>
    <xf numFmtId="0" fontId="1" fillId="9" borderId="14" xfId="2" applyFont="1" applyFill="1" applyBorder="1"/>
    <xf numFmtId="0" fontId="1" fillId="11" borderId="6" xfId="2" applyFont="1" applyFill="1" applyBorder="1"/>
    <xf numFmtId="164" fontId="1" fillId="32" borderId="6" xfId="2" applyNumberFormat="1" applyFont="1" applyFill="1" applyBorder="1"/>
    <xf numFmtId="164" fontId="1" fillId="21" borderId="10" xfId="2" applyNumberFormat="1" applyFont="1" applyFill="1"/>
    <xf numFmtId="0" fontId="1" fillId="0" borderId="35" xfId="2" applyFont="1" applyBorder="1"/>
    <xf numFmtId="0" fontId="1" fillId="16" borderId="14" xfId="2" applyFont="1" applyFill="1" applyBorder="1"/>
    <xf numFmtId="0" fontId="1" fillId="0" borderId="4" xfId="2" applyFont="1" applyBorder="1"/>
    <xf numFmtId="0" fontId="1" fillId="39" borderId="4" xfId="2" applyFont="1" applyFill="1" applyBorder="1"/>
    <xf numFmtId="0" fontId="1" fillId="39" borderId="14" xfId="2" applyFont="1" applyFill="1" applyBorder="1"/>
    <xf numFmtId="0" fontId="1" fillId="39" borderId="6" xfId="2" applyFont="1" applyFill="1" applyBorder="1"/>
    <xf numFmtId="0" fontId="1" fillId="42" borderId="14" xfId="2" applyFont="1" applyFill="1" applyBorder="1"/>
    <xf numFmtId="0" fontId="1" fillId="43" borderId="6" xfId="2" applyFont="1" applyFill="1" applyBorder="1"/>
    <xf numFmtId="0" fontId="1" fillId="42" borderId="6" xfId="2" applyFont="1" applyFill="1" applyBorder="1"/>
    <xf numFmtId="0" fontId="1" fillId="41" borderId="6" xfId="2" applyFont="1" applyFill="1" applyBorder="1"/>
    <xf numFmtId="0" fontId="1" fillId="40" borderId="6" xfId="2" applyFont="1" applyFill="1" applyBorder="1"/>
    <xf numFmtId="0" fontId="1" fillId="39" borderId="33" xfId="2" applyFont="1" applyFill="1" applyBorder="1"/>
    <xf numFmtId="0" fontId="1" fillId="40" borderId="6" xfId="2" quotePrefix="1" applyFont="1" applyFill="1" applyBorder="1"/>
    <xf numFmtId="0" fontId="1" fillId="40" borderId="14" xfId="2" applyFont="1" applyFill="1" applyBorder="1"/>
    <xf numFmtId="0" fontId="1" fillId="41" borderId="33" xfId="2" applyFont="1" applyFill="1" applyBorder="1"/>
    <xf numFmtId="164" fontId="1" fillId="32" borderId="14" xfId="2" applyNumberFormat="1" applyFont="1" applyFill="1" applyBorder="1"/>
    <xf numFmtId="0" fontId="1" fillId="0" borderId="0" xfId="0" applyFont="1"/>
    <xf numFmtId="0" fontId="34" fillId="4" borderId="14" xfId="2" applyFont="1" applyFill="1" applyBorder="1" applyAlignment="1">
      <alignment horizontal="center"/>
    </xf>
    <xf numFmtId="0" fontId="35" fillId="0" borderId="14" xfId="2" applyFont="1" applyBorder="1"/>
    <xf numFmtId="0" fontId="34" fillId="4" borderId="10" xfId="2" applyFont="1" applyFill="1" applyAlignment="1">
      <alignment horizontal="center"/>
    </xf>
    <xf numFmtId="0" fontId="35" fillId="0" borderId="10" xfId="2" applyFont="1"/>
    <xf numFmtId="0" fontId="34" fillId="4" borderId="4" xfId="2" applyFont="1" applyFill="1" applyBorder="1" applyAlignment="1">
      <alignment horizontal="center"/>
    </xf>
    <xf numFmtId="0" fontId="35" fillId="0" borderId="5" xfId="2" applyFont="1" applyBorder="1"/>
    <xf numFmtId="0" fontId="36" fillId="14" borderId="10" xfId="2" applyFont="1" applyFill="1" applyAlignment="1">
      <alignment horizontal="center"/>
    </xf>
    <xf numFmtId="0" fontId="35" fillId="15" borderId="10" xfId="2" applyFont="1" applyFill="1"/>
    <xf numFmtId="0" fontId="34" fillId="4" borderId="19" xfId="2" applyFont="1" applyFill="1" applyBorder="1" applyAlignment="1">
      <alignment horizontal="center"/>
    </xf>
    <xf numFmtId="0" fontId="34" fillId="4" borderId="20" xfId="2" applyFont="1" applyFill="1" applyBorder="1" applyAlignment="1">
      <alignment horizontal="center"/>
    </xf>
    <xf numFmtId="0" fontId="49" fillId="0" borderId="19" xfId="0" applyFont="1" applyBorder="1"/>
    <xf numFmtId="0" fontId="49" fillId="0" borderId="32" xfId="0" applyFont="1" applyBorder="1"/>
    <xf numFmtId="0" fontId="49" fillId="0" borderId="13" xfId="0" applyFont="1" applyBorder="1"/>
    <xf numFmtId="0" fontId="49" fillId="0" borderId="20" xfId="0" applyFont="1" applyBorder="1"/>
    <xf numFmtId="0" fontId="50" fillId="4" borderId="19" xfId="0" applyFont="1" applyFill="1" applyBorder="1"/>
    <xf numFmtId="0" fontId="50" fillId="4" borderId="20" xfId="0" applyFont="1" applyFill="1" applyBorder="1"/>
    <xf numFmtId="0" fontId="50" fillId="4" borderId="10" xfId="0" applyFont="1" applyFill="1" applyBorder="1"/>
    <xf numFmtId="0" fontId="50" fillId="4" borderId="29" xfId="0" applyFont="1" applyFill="1" applyBorder="1"/>
    <xf numFmtId="0" fontId="50" fillId="4" borderId="30" xfId="0" applyFont="1" applyFill="1" applyBorder="1"/>
    <xf numFmtId="0" fontId="50" fillId="4" borderId="31" xfId="0" applyFont="1" applyFill="1" applyBorder="1"/>
    <xf numFmtId="0" fontId="49" fillId="0" borderId="32" xfId="0" applyFont="1" applyBorder="1" applyAlignment="1">
      <alignment wrapText="1"/>
    </xf>
    <xf numFmtId="0" fontId="49" fillId="0" borderId="13" xfId="0" applyFont="1" applyBorder="1" applyAlignment="1">
      <alignment wrapText="1"/>
    </xf>
    <xf numFmtId="0" fontId="50" fillId="4" borderId="4" xfId="0" applyFont="1" applyFill="1" applyBorder="1"/>
    <xf numFmtId="0" fontId="50" fillId="4" borderId="5" xfId="0" applyFont="1" applyFill="1" applyBorder="1"/>
    <xf numFmtId="0" fontId="52" fillId="46" borderId="10" xfId="0" applyFont="1" applyFill="1" applyBorder="1"/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34" fillId="4" borderId="34" xfId="2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34" fillId="10" borderId="1" xfId="0" applyFont="1" applyFill="1" applyBorder="1" applyAlignment="1">
      <alignment horizontal="center"/>
    </xf>
    <xf numFmtId="0" fontId="35" fillId="11" borderId="2" xfId="0" applyFont="1" applyFill="1" applyBorder="1"/>
    <xf numFmtId="0" fontId="36" fillId="10" borderId="1" xfId="0" applyFont="1" applyFill="1" applyBorder="1" applyAlignment="1">
      <alignment horizontal="center"/>
    </xf>
    <xf numFmtId="0" fontId="34" fillId="4" borderId="8" xfId="0" applyFont="1" applyFill="1" applyBorder="1" applyAlignment="1">
      <alignment horizontal="center"/>
    </xf>
    <xf numFmtId="0" fontId="35" fillId="0" borderId="9" xfId="0" applyFont="1" applyBorder="1"/>
    <xf numFmtId="0" fontId="36" fillId="4" borderId="4" xfId="0" applyFont="1" applyFill="1" applyBorder="1" applyAlignment="1">
      <alignment horizontal="center"/>
    </xf>
    <xf numFmtId="0" fontId="35" fillId="0" borderId="5" xfId="0" applyFont="1" applyBorder="1"/>
    <xf numFmtId="0" fontId="34" fillId="4" borderId="4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36" fillId="14" borderId="10" xfId="0" applyFont="1" applyFill="1" applyBorder="1" applyAlignment="1">
      <alignment horizontal="center"/>
    </xf>
    <xf numFmtId="0" fontId="35" fillId="15" borderId="10" xfId="0" applyFont="1" applyFill="1" applyBorder="1"/>
    <xf numFmtId="0" fontId="38" fillId="5" borderId="12" xfId="0" applyFont="1" applyFill="1" applyBorder="1" applyAlignment="1">
      <alignment horizontal="center"/>
    </xf>
    <xf numFmtId="0" fontId="38" fillId="5" borderId="13" xfId="0" applyFont="1" applyFill="1" applyBorder="1" applyAlignment="1">
      <alignment horizontal="center"/>
    </xf>
    <xf numFmtId="0" fontId="38" fillId="5" borderId="4" xfId="0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34" fillId="14" borderId="10" xfId="0" applyFont="1" applyFill="1" applyBorder="1" applyAlignment="1">
      <alignment horizontal="center"/>
    </xf>
    <xf numFmtId="0" fontId="38" fillId="5" borderId="17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23" borderId="4" xfId="0" applyFont="1" applyFill="1" applyBorder="1" applyAlignment="1">
      <alignment horizontal="center"/>
    </xf>
    <xf numFmtId="0" fontId="38" fillId="23" borderId="5" xfId="0" applyFont="1" applyFill="1" applyBorder="1" applyAlignment="1">
      <alignment horizontal="center"/>
    </xf>
    <xf numFmtId="0" fontId="38" fillId="23" borderId="17" xfId="0" applyFont="1" applyFill="1" applyBorder="1" applyAlignment="1">
      <alignment horizontal="center"/>
    </xf>
    <xf numFmtId="0" fontId="38" fillId="23" borderId="18" xfId="0" applyFont="1" applyFill="1" applyBorder="1" applyAlignment="1">
      <alignment horizontal="center"/>
    </xf>
    <xf numFmtId="0" fontId="38" fillId="23" borderId="12" xfId="0" applyFont="1" applyFill="1" applyBorder="1" applyAlignment="1">
      <alignment horizontal="center"/>
    </xf>
    <xf numFmtId="0" fontId="38" fillId="23" borderId="13" xfId="0" applyFont="1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34" fillId="4" borderId="16" xfId="0" applyFont="1" applyFill="1" applyBorder="1" applyAlignment="1">
      <alignment horizontal="center"/>
    </xf>
    <xf numFmtId="0" fontId="38" fillId="23" borderId="21" xfId="0" applyFont="1" applyFill="1" applyBorder="1" applyAlignment="1">
      <alignment horizontal="center"/>
    </xf>
    <xf numFmtId="0" fontId="38" fillId="23" borderId="22" xfId="0" applyFont="1" applyFill="1" applyBorder="1" applyAlignment="1">
      <alignment horizontal="center"/>
    </xf>
    <xf numFmtId="0" fontId="35" fillId="0" borderId="10" xfId="0" applyFont="1" applyBorder="1"/>
    <xf numFmtId="0" fontId="34" fillId="30" borderId="10" xfId="0" applyFont="1" applyFill="1" applyBorder="1" applyAlignment="1">
      <alignment horizontal="center"/>
    </xf>
    <xf numFmtId="0" fontId="35" fillId="16" borderId="10" xfId="0" applyFont="1" applyFill="1" applyBorder="1"/>
    <xf numFmtId="0" fontId="38" fillId="23" borderId="23" xfId="0" applyFont="1" applyFill="1" applyBorder="1" applyAlignment="1">
      <alignment horizontal="center"/>
    </xf>
    <xf numFmtId="0" fontId="38" fillId="31" borderId="10" xfId="0" applyFont="1" applyFill="1" applyBorder="1" applyAlignment="1">
      <alignment horizontal="center"/>
    </xf>
    <xf numFmtId="0" fontId="38" fillId="23" borderId="10" xfId="0" applyFont="1" applyFill="1" applyBorder="1" applyAlignment="1">
      <alignment horizontal="center"/>
    </xf>
    <xf numFmtId="0" fontId="34" fillId="4" borderId="14" xfId="0" applyFont="1" applyFill="1" applyBorder="1" applyAlignment="1">
      <alignment horizontal="center"/>
    </xf>
    <xf numFmtId="0" fontId="35" fillId="0" borderId="14" xfId="0" applyFont="1" applyBorder="1"/>
    <xf numFmtId="0" fontId="38" fillId="23" borderId="14" xfId="0" applyFont="1" applyFill="1" applyBorder="1" applyAlignment="1">
      <alignment horizontal="center"/>
    </xf>
    <xf numFmtId="0" fontId="34" fillId="4" borderId="16" xfId="2" applyFont="1" applyFill="1" applyBorder="1" applyAlignment="1">
      <alignment horizontal="center"/>
    </xf>
    <xf numFmtId="0" fontId="25" fillId="23" borderId="10" xfId="2" applyFont="1" applyFill="1" applyAlignment="1">
      <alignment horizontal="center"/>
    </xf>
    <xf numFmtId="0" fontId="25" fillId="31" borderId="10" xfId="2" applyFont="1" applyFill="1" applyAlignment="1">
      <alignment horizontal="center"/>
    </xf>
    <xf numFmtId="0" fontId="25" fillId="23" borderId="14" xfId="2" applyFont="1" applyFill="1" applyBorder="1" applyAlignment="1">
      <alignment horizontal="center"/>
    </xf>
    <xf numFmtId="0" fontId="34" fillId="14" borderId="10" xfId="2" applyFont="1" applyFill="1" applyAlignment="1">
      <alignment horizontal="center"/>
    </xf>
    <xf numFmtId="0" fontId="34" fillId="30" borderId="10" xfId="2" applyFont="1" applyFill="1" applyAlignment="1">
      <alignment horizontal="center"/>
    </xf>
    <xf numFmtId="0" fontId="35" fillId="16" borderId="10" xfId="2" applyFont="1" applyFill="1"/>
    <xf numFmtId="0" fontId="34" fillId="14" borderId="14" xfId="2" applyFont="1" applyFill="1" applyBorder="1" applyAlignment="1">
      <alignment horizontal="center"/>
    </xf>
    <xf numFmtId="0" fontId="35" fillId="15" borderId="14" xfId="2" applyFont="1" applyFill="1" applyBorder="1"/>
    <xf numFmtId="0" fontId="23" fillId="0" borderId="19" xfId="2" applyFont="1" applyBorder="1" applyAlignment="1">
      <alignment horizontal="center"/>
    </xf>
    <xf numFmtId="0" fontId="23" fillId="0" borderId="20" xfId="2" applyFont="1" applyBorder="1" applyAlignment="1">
      <alignment horizontal="center"/>
    </xf>
    <xf numFmtId="0" fontId="23" fillId="0" borderId="26" xfId="2" applyFont="1" applyBorder="1" applyAlignment="1">
      <alignment horizontal="center"/>
    </xf>
    <xf numFmtId="0" fontId="23" fillId="0" borderId="27" xfId="2" applyFont="1" applyBorder="1" applyAlignment="1">
      <alignment horizontal="center"/>
    </xf>
    <xf numFmtId="0" fontId="23" fillId="0" borderId="28" xfId="2" applyFont="1" applyBorder="1" applyAlignment="1">
      <alignment horizontal="center"/>
    </xf>
    <xf numFmtId="0" fontId="43" fillId="0" borderId="26" xfId="2" applyBorder="1" applyAlignment="1">
      <alignment horizontal="center"/>
    </xf>
    <xf numFmtId="0" fontId="43" fillId="0" borderId="27" xfId="2" applyBorder="1" applyAlignment="1">
      <alignment horizontal="center"/>
    </xf>
    <xf numFmtId="0" fontId="43" fillId="0" borderId="28" xfId="2" applyBorder="1" applyAlignment="1">
      <alignment horizontal="center"/>
    </xf>
    <xf numFmtId="0" fontId="25" fillId="23" borderId="10" xfId="2" applyFont="1" applyFill="1" applyAlignment="1">
      <alignment horizontal="center" wrapText="1"/>
    </xf>
    <xf numFmtId="0" fontId="25" fillId="31" borderId="10" xfId="2" applyFont="1" applyFill="1" applyAlignment="1">
      <alignment horizontal="center" wrapText="1"/>
    </xf>
    <xf numFmtId="0" fontId="23" fillId="23" borderId="14" xfId="2" applyFont="1" applyFill="1" applyBorder="1" applyAlignment="1">
      <alignment horizontal="center"/>
    </xf>
    <xf numFmtId="0" fontId="34" fillId="4" borderId="25" xfId="2" applyFont="1" applyFill="1" applyBorder="1" applyAlignment="1">
      <alignment horizontal="center"/>
    </xf>
    <xf numFmtId="0" fontId="23" fillId="23" borderId="14" xfId="2" applyFont="1" applyFill="1" applyBorder="1" applyAlignment="1">
      <alignment horizontal="center" wrapText="1"/>
    </xf>
    <xf numFmtId="0" fontId="25" fillId="23" borderId="14" xfId="2" applyFont="1" applyFill="1" applyBorder="1" applyAlignment="1">
      <alignment horizontal="center" wrapText="1"/>
    </xf>
    <xf numFmtId="0" fontId="22" fillId="23" borderId="14" xfId="2" applyFont="1" applyFill="1" applyBorder="1" applyAlignment="1">
      <alignment horizontal="center"/>
    </xf>
    <xf numFmtId="0" fontId="22" fillId="0" borderId="19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2" fillId="23" borderId="14" xfId="2" applyFont="1" applyFill="1" applyBorder="1" applyAlignment="1">
      <alignment horizontal="center" wrapText="1"/>
    </xf>
    <xf numFmtId="0" fontId="21" fillId="0" borderId="19" xfId="2" applyFont="1" applyBorder="1" applyAlignment="1">
      <alignment horizontal="center"/>
    </xf>
    <xf numFmtId="0" fontId="20" fillId="0" borderId="19" xfId="2" applyFont="1" applyBorder="1" applyAlignment="1">
      <alignment horizontal="center"/>
    </xf>
    <xf numFmtId="0" fontId="20" fillId="0" borderId="26" xfId="2" applyFont="1" applyBorder="1" applyAlignment="1">
      <alignment horizontal="center"/>
    </xf>
    <xf numFmtId="0" fontId="21" fillId="0" borderId="26" xfId="2" applyFont="1" applyBorder="1"/>
    <xf numFmtId="0" fontId="21" fillId="0" borderId="28" xfId="2" applyFont="1" applyBorder="1"/>
    <xf numFmtId="0" fontId="20" fillId="0" borderId="19" xfId="2" applyFont="1" applyBorder="1"/>
    <xf numFmtId="0" fontId="21" fillId="0" borderId="20" xfId="2" applyFont="1" applyBorder="1"/>
    <xf numFmtId="0" fontId="19" fillId="0" borderId="19" xfId="2" applyFont="1" applyBorder="1" applyAlignment="1">
      <alignment horizontal="center"/>
    </xf>
    <xf numFmtId="0" fontId="19" fillId="0" borderId="19" xfId="2" applyFont="1" applyBorder="1"/>
    <xf numFmtId="0" fontId="19" fillId="0" borderId="26" xfId="2" applyFont="1" applyBorder="1" applyAlignment="1">
      <alignment horizontal="center"/>
    </xf>
    <xf numFmtId="0" fontId="19" fillId="0" borderId="26" xfId="2" applyFont="1" applyBorder="1"/>
    <xf numFmtId="0" fontId="43" fillId="0" borderId="29" xfId="2" applyBorder="1" applyAlignment="1">
      <alignment horizontal="center"/>
    </xf>
    <xf numFmtId="0" fontId="43" fillId="0" borderId="30" xfId="2" applyBorder="1" applyAlignment="1">
      <alignment horizontal="center"/>
    </xf>
    <xf numFmtId="0" fontId="43" fillId="0" borderId="31" xfId="2" applyBorder="1" applyAlignment="1">
      <alignment horizontal="center"/>
    </xf>
    <xf numFmtId="0" fontId="19" fillId="0" borderId="20" xfId="2" applyFont="1" applyBorder="1"/>
    <xf numFmtId="0" fontId="19" fillId="0" borderId="14" xfId="2" applyFont="1" applyBorder="1"/>
    <xf numFmtId="0" fontId="21" fillId="0" borderId="14" xfId="2" applyFont="1" applyBorder="1"/>
    <xf numFmtId="0" fontId="19" fillId="0" borderId="14" xfId="2" applyFont="1" applyBorder="1" applyAlignment="1">
      <alignment horizontal="center"/>
    </xf>
    <xf numFmtId="0" fontId="23" fillId="0" borderId="14" xfId="2" applyFont="1" applyBorder="1" applyAlignment="1">
      <alignment horizontal="center"/>
    </xf>
    <xf numFmtId="0" fontId="44" fillId="0" borderId="19" xfId="0" applyFont="1" applyBorder="1"/>
    <xf numFmtId="0" fontId="44" fillId="0" borderId="20" xfId="0" applyFont="1" applyBorder="1"/>
    <xf numFmtId="0" fontId="44" fillId="0" borderId="10" xfId="0" applyFont="1" applyBorder="1"/>
    <xf numFmtId="0" fontId="19" fillId="0" borderId="10" xfId="2" applyFont="1"/>
    <xf numFmtId="0" fontId="21" fillId="0" borderId="10" xfId="2" applyFont="1"/>
    <xf numFmtId="0" fontId="19" fillId="0" borderId="10" xfId="2" applyFont="1" applyAlignment="1">
      <alignment horizontal="center"/>
    </xf>
    <xf numFmtId="0" fontId="23" fillId="0" borderId="10" xfId="2" applyFont="1" applyAlignment="1">
      <alignment horizontal="center"/>
    </xf>
    <xf numFmtId="0" fontId="43" fillId="0" borderId="10" xfId="2" applyAlignment="1">
      <alignment horizontal="center"/>
    </xf>
    <xf numFmtId="0" fontId="20" fillId="0" borderId="10" xfId="2" applyFont="1" applyAlignment="1">
      <alignment horizontal="center"/>
    </xf>
    <xf numFmtId="0" fontId="18" fillId="0" borderId="14" xfId="2" applyFont="1" applyBorder="1" applyAlignment="1">
      <alignment horizontal="center"/>
    </xf>
    <xf numFmtId="0" fontId="18" fillId="0" borderId="14" xfId="2" applyFont="1" applyBorder="1"/>
    <xf numFmtId="0" fontId="20" fillId="0" borderId="14" xfId="2" applyFont="1" applyBorder="1" applyAlignment="1">
      <alignment horizontal="center"/>
    </xf>
    <xf numFmtId="0" fontId="43" fillId="0" borderId="14" xfId="2" applyBorder="1" applyAlignment="1">
      <alignment horizontal="center"/>
    </xf>
    <xf numFmtId="0" fontId="44" fillId="0" borderId="14" xfId="0" applyFont="1" applyBorder="1"/>
    <xf numFmtId="0" fontId="17" fillId="0" borderId="14" xfId="2" applyFont="1" applyBorder="1" applyAlignment="1">
      <alignment horizontal="center"/>
    </xf>
    <xf numFmtId="0" fontId="17" fillId="0" borderId="14" xfId="2" applyFont="1" applyBorder="1"/>
    <xf numFmtId="0" fontId="34" fillId="4" borderId="26" xfId="2" applyFont="1" applyFill="1" applyBorder="1" applyAlignment="1">
      <alignment horizontal="center"/>
    </xf>
    <xf numFmtId="0" fontId="34" fillId="4" borderId="27" xfId="2" applyFont="1" applyFill="1" applyBorder="1" applyAlignment="1">
      <alignment horizontal="center"/>
    </xf>
    <xf numFmtId="0" fontId="16" fillId="0" borderId="14" xfId="2" applyFont="1" applyBorder="1" applyAlignment="1">
      <alignment horizontal="center"/>
    </xf>
    <xf numFmtId="0" fontId="16" fillId="0" borderId="14" xfId="2" applyFont="1" applyBorder="1"/>
    <xf numFmtId="0" fontId="15" fillId="0" borderId="14" xfId="2" applyFont="1" applyBorder="1"/>
    <xf numFmtId="0" fontId="15" fillId="0" borderId="14" xfId="2" applyFont="1" applyBorder="1" applyAlignment="1">
      <alignment horizontal="center"/>
    </xf>
    <xf numFmtId="0" fontId="45" fillId="0" borderId="19" xfId="0" applyFont="1" applyBorder="1"/>
    <xf numFmtId="0" fontId="45" fillId="0" borderId="32" xfId="0" applyFont="1" applyBorder="1"/>
    <xf numFmtId="0" fontId="45" fillId="0" borderId="20" xfId="0" applyFont="1" applyBorder="1"/>
    <xf numFmtId="0" fontId="14" fillId="0" borderId="14" xfId="2" applyFont="1" applyBorder="1"/>
    <xf numFmtId="0" fontId="45" fillId="0" borderId="19" xfId="0" applyFont="1" applyBorder="1" applyAlignment="1">
      <alignment horizontal="center"/>
    </xf>
    <xf numFmtId="0" fontId="45" fillId="0" borderId="32" xfId="0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18" fillId="0" borderId="10" xfId="2" applyFont="1"/>
    <xf numFmtId="0" fontId="17" fillId="0" borderId="10" xfId="2" applyFont="1" applyAlignment="1">
      <alignment horizontal="center"/>
    </xf>
    <xf numFmtId="0" fontId="15" fillId="0" borderId="10" xfId="2" applyFont="1" applyAlignment="1">
      <alignment horizontal="center"/>
    </xf>
    <xf numFmtId="0" fontId="15" fillId="0" borderId="10" xfId="2" applyFont="1"/>
    <xf numFmtId="0" fontId="45" fillId="0" borderId="10" xfId="0" applyFont="1" applyBorder="1"/>
    <xf numFmtId="0" fontId="14" fillId="0" borderId="10" xfId="2" applyFont="1"/>
    <xf numFmtId="0" fontId="45" fillId="0" borderId="14" xfId="0" applyFont="1" applyBorder="1"/>
    <xf numFmtId="0" fontId="45" fillId="0" borderId="14" xfId="0" applyFont="1" applyBorder="1" applyAlignment="1">
      <alignment horizontal="left"/>
    </xf>
    <xf numFmtId="0" fontId="11" fillId="0" borderId="14" xfId="2" applyFont="1" applyBorder="1"/>
    <xf numFmtId="0" fontId="11" fillId="0" borderId="14" xfId="0" applyFont="1" applyBorder="1" applyAlignment="1">
      <alignment horizontal="left"/>
    </xf>
    <xf numFmtId="0" fontId="11" fillId="0" borderId="14" xfId="2" applyFont="1" applyBorder="1" applyAlignment="1">
      <alignment horizontal="center"/>
    </xf>
    <xf numFmtId="0" fontId="49" fillId="0" borderId="14" xfId="0" applyFont="1" applyBorder="1" applyAlignment="1">
      <alignment horizontal="center"/>
    </xf>
    <xf numFmtId="0" fontId="49" fillId="0" borderId="19" xfId="0" applyFont="1" applyBorder="1" applyAlignment="1">
      <alignment horizontal="left"/>
    </xf>
    <xf numFmtId="0" fontId="49" fillId="0" borderId="32" xfId="0" applyFont="1" applyBorder="1" applyAlignment="1">
      <alignment horizontal="left"/>
    </xf>
    <xf numFmtId="0" fontId="49" fillId="0" borderId="20" xfId="0" applyFont="1" applyBorder="1" applyAlignment="1">
      <alignment horizontal="left"/>
    </xf>
    <xf numFmtId="0" fontId="49" fillId="0" borderId="14" xfId="0" applyFont="1" applyBorder="1" applyAlignment="1">
      <alignment horizontal="left"/>
    </xf>
    <xf numFmtId="0" fontId="49" fillId="0" borderId="10" xfId="0" applyFont="1" applyBorder="1" applyAlignment="1">
      <alignment horizontal="center"/>
    </xf>
    <xf numFmtId="0" fontId="49" fillId="0" borderId="10" xfId="0" applyFont="1" applyBorder="1" applyAlignment="1">
      <alignment horizontal="left"/>
    </xf>
    <xf numFmtId="0" fontId="11" fillId="0" borderId="10" xfId="2" applyFont="1" applyAlignment="1">
      <alignment horizontal="center"/>
    </xf>
    <xf numFmtId="0" fontId="7" fillId="0" borderId="14" xfId="2" applyFont="1" applyBorder="1" applyAlignment="1">
      <alignment horizontal="center"/>
    </xf>
  </cellXfs>
  <cellStyles count="4">
    <cellStyle name="Millares" xfId="3" builtinId="3"/>
    <cellStyle name="Normal" xfId="0" builtinId="0"/>
    <cellStyle name="Normal 2" xfId="2" xr:uid="{668079EC-D090-4074-BE67-3FEEE6899D0F}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A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customschemas.google.com/relationships/workbookmetadata" Target="metadata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Guerra" id="{ABC4D1D1-AEDA-4575-B1A5-71BBE9673B84}" userId="S-1-5-21-1889546966-608186422-1204905790-1144" providerId="AD"/>
  <person displayName="Contrataciones Montolivo" id="{53A14A0C-7BD9-462E-A2EC-B7F49F1D1475}" userId="S::contrataciones@restaurantemontolivo.com::1697f2dc-690d-43d7-908f-0cc84ade01f5" providerId="AD"/>
  <person displayName="FLOR LONDOÑO" id="{8CBA9FCE-F6AE-4F8A-B2E7-C39F2A1E1F52}" userId="S::liderseleccion@restaurantemontolivo.com::543b8b5d-f155-4c4b-a2d8-88a571b8336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6-07-14T19:28:11.81" personId="{8CBA9FCE-F6AE-4F8A-B2E7-C39F2A1E1F52}" id="{BCA757EF-9442-48C4-9038-9677E4B79FC4}">
    <text>PINO SANTOS ALBA MARIA</text>
  </threadedComment>
  <threadedComment ref="H21" dT="2026-07-14T19:28:01.33" personId="{8CBA9FCE-F6AE-4F8A-B2E7-C39F2A1E1F52}" id="{C1AD1567-B64D-4F28-85B7-06BD042802CF}">
    <text>CORTES SUAREZ GREINS DAMARIS</text>
  </threadedComment>
  <threadedComment ref="B32" dT="2026-07-14T19:40:55.75" personId="{8CBA9FCE-F6AE-4F8A-B2E7-C39F2A1E1F52}" id="{E3BE644E-D0EA-4E36-AD3F-1E7601098CD2}">
    <text xml:space="preserve">FORONDA RIOS SOFIA- Medellin 
RIOS VALENCIA GABRIEL ENRIQUE- Barranquilla
LUJAN CARMEN LADY JOHANA- Mall plaza cali
PALACIOS ASPRILLA YANCY KARINA- Florida 1
</text>
  </threadedComment>
  <threadedComment ref="H37" dT="2026-07-14T19:45:51.64" personId="{8CBA9FCE-F6AE-4F8A-B2E7-C39F2A1E1F52}" id="{5A490B70-BE6A-4CAA-8716-1048A4427902}">
    <text>OCHOA MATAPI MICHEL XIOMARA</text>
  </threadedComment>
  <threadedComment ref="E42" dT="2026-07-14T18:55:31.96" personId="{8CBA9FCE-F6AE-4F8A-B2E7-C39F2A1E1F52}" id="{07E3007D-C03C-4701-87FD-C44418A62551}">
    <text>VELEZ QUICENO KEVIN ANDRES</text>
  </threadedComment>
  <threadedComment ref="H42" dT="2026-07-14T18:56:11.51" personId="{8CBA9FCE-F6AE-4F8A-B2E7-C39F2A1E1F52}" id="{202A83E2-3BE3-4DA4-945D-4EC8E61E0556}">
    <text>ORTEGA LOZANO VICTOR DANILO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1" dT="2024-07-08T20:37:34.67" personId="{53A14A0C-7BD9-462E-A2EC-B7F49F1D1475}" id="{EDA18843-350C-4D3B-BECE-A4D8FB7E5B17}">
    <text>SEBASTIAN HINESTROZA 
DIEGO RUIZ
DIANA MONSALVE</text>
  </threadedComment>
  <threadedComment ref="B47" dT="2024-07-08T20:39:33.55" personId="{53A14A0C-7BD9-462E-A2EC-B7F49F1D1475}" id="{3226BA7F-6B49-4D2C-96FE-5DE8D0BD4E7D}">
    <text>JUAN CAMILO VELASQUEZ
KEVIN ALEXIS RESTREPO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6" dT="2024-07-08T20:37:34.67" personId="{53A14A0C-7BD9-462E-A2EC-B7F49F1D1475}" id="{4F4F796D-1C20-4779-A02A-FA2BEA5C1CB9}">
    <text>ISABEL CRISTINA PALACIO ENTRENADORA</text>
  </threadedComment>
  <threadedComment ref="B41" dT="2024-07-08T20:39:33.55" personId="{53A14A0C-7BD9-462E-A2EC-B7F49F1D1475}" id="{4F17337E-B574-4B46-A51E-29445C0B2067}">
    <text>MARIA ENNI LEIVA
NORVICT GARCIA SEPULVEDA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6" dT="2024-07-08T20:37:34.67" personId="{53A14A0C-7BD9-462E-A2EC-B7F49F1D1475}" id="{667C8628-40DB-48E8-8554-ED728545B96A}">
    <text xml:space="preserve">JAILER MAURICIO ALVAREZ PEREZ MAYORK
</text>
  </threadedComment>
  <threadedComment ref="B41" dT="2024-09-05T22:12:13.16" personId="{53A14A0C-7BD9-462E-A2EC-B7F49F1D1475}" id="{2F108849-40F8-4753-9CD3-89D47CE400F8}">
    <text>DARIO JOSE PALENCIA BURGOS BOGOTA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1" dT="2024-10-07T20:11:24.20" personId="{53A14A0C-7BD9-462E-A2EC-B7F49F1D1475}" id="{FF5BE31F-1DCA-41DC-857C-C17E795C589A}">
    <text>MARIA CAMILA LONDOÑO MEDELLIN
IVONNE NATALIA BOGOTÁ
CLEMENCIA MONPOTES CALI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36" dT="2024-11-08T16:44:49.51" personId="{ABC4D1D1-AEDA-4575-B1A5-71BBE9673B84}" id="{D8E48CBF-8A79-4BBB-AC7D-23C924D24126}">
    <text>MARIA DEL CARMEN FIGUEROA</text>
  </threadedComment>
  <threadedComment ref="B41" dT="2024-11-08T19:55:04.87" personId="{ABC4D1D1-AEDA-4575-B1A5-71BBE9673B84}" id="{C8DF24A4-FBA2-43DC-84D8-7CD6CB1B40F9}">
    <text>JAIME JOSE BRACHO CALI
JUAN DAVID SUAREZ BOGOTÁ
INES MARIA PASTRNA MEDELLIN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36" dT="2024-11-08T16:44:49.51" personId="{ABC4D1D1-AEDA-4575-B1A5-71BBE9673B84}" id="{9E38A20D-FDEB-4ABA-A6AB-B788268C81E8}">
    <text>MARIA DEL CARMEN FIGUEROA</text>
  </threadedComment>
  <threadedComment ref="B41" dT="2024-12-11T20:08:28.69" personId="{8CBA9FCE-F6AE-4F8A-B2E7-C39F2A1E1F52}" id="{5CFDCBF2-0A24-47DD-95CA-F8196F1ADE74}">
    <text>VIVANA ANDREA NARVAEZ BOGOTÁ 
SILVIA MORRILLO PEREIRA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41" dT="2024-12-11T20:08:28.69" personId="{8CBA9FCE-F6AE-4F8A-B2E7-C39F2A1E1F52}" id="{136711CD-8594-43B4-A7D8-3F178C344C6B}">
    <text>MIGUEL DURANGO MEDELLIN
NATALIA SERNA PEREIRA
GLADIS BLANDON MEDELLIN
DAHIANA CARDONA MEDELLIN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41" dT="2024-12-11T20:08:28.69" personId="{8CBA9FCE-F6AE-4F8A-B2E7-C39F2A1E1F52}" id="{B544DD48-16B4-4C40-8E41-BC552EE3DDF5}">
    <text>OMAIRA GARCIA MEDELLIN
CARLOS JAVIER CASTAÑEDA BOGOTÁ
JOHAN SEBASTIAN QUIROZ BOGOTÁ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20" dT="2025-03-05T22:01:44.82" personId="{8CBA9FCE-F6AE-4F8A-B2E7-C39F2A1E1F52}" id="{580BABE6-6543-4D71-A5B5-F69322591336}">
    <text>FABIAN MAURICO AGUIRRE CALI</text>
  </threadedComment>
  <threadedComment ref="B36" dT="2025-03-05T22:20:34.01" personId="{8CBA9FCE-F6AE-4F8A-B2E7-C39F2A1E1F52}" id="{606E5C06-9E6A-4F2A-9F55-E643F4137ACA}">
    <text>VICTOR HUGO ZAPATA 
SEBASTIAN OROZCO</text>
  </threadedComment>
  <threadedComment ref="B41" dT="2024-12-11T20:08:28.69" personId="{8CBA9FCE-F6AE-4F8A-B2E7-C39F2A1E1F52}" id="{99CC6CDE-6E1C-4422-B5C4-BD49CBF3B53B}">
    <text>HECTOR FABIO QUIGUANAS CALI
VERONICA MORALES MANIZALES
ALEXI ARRRIETA MEDELLIN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20" dT="2025-03-05T22:01:44.82" personId="{8CBA9FCE-F6AE-4F8A-B2E7-C39F2A1E1F52}" id="{7EB6D2AA-2CBE-48D4-97B9-A06471217EBE}">
    <text>CINDY LINEY QUICENO
DANIELA ALEXANDRA DURANGO</text>
  </threadedComment>
  <threadedComment ref="B36" dT="2025-03-05T22:20:34.01" personId="{8CBA9FCE-F6AE-4F8A-B2E7-C39F2A1E1F52}" id="{93F2D0AF-CEE5-4DE9-87F9-E5D0C5058D29}">
    <text>JAROL POSADA DE SAN DIEGO
LUIS ALEJANDRO GUZMAN TESORO</text>
  </threadedComment>
  <threadedComment ref="B41" dT="2025-04-02T19:53:13.82" personId="{8CBA9FCE-F6AE-4F8A-B2E7-C39F2A1E1F52}" id="{87E75D31-1F87-4A86-A057-1DFFB8C1A5AA}">
    <text>MARIA LILIANA MURILLO LA CENTRAL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E20" dT="2025-03-05T22:01:44.82" personId="{8CBA9FCE-F6AE-4F8A-B2E7-C39F2A1E1F52}" id="{EDC2D10D-6BB9-4C89-9800-6579DAA27F56}">
    <text>Bayan David Vela
Jose Gregorio ortega</text>
  </threadedComment>
  <threadedComment ref="H20" dT="2025-05-05T19:17:46.29" personId="{8CBA9FCE-F6AE-4F8A-B2E7-C39F2A1E1F52}" id="{4C61A66B-9EC3-4631-A349-9157B240CB70}">
    <text>Dayana Vega</text>
  </threadedComment>
  <threadedComment ref="B36" dT="2025-03-05T22:20:34.01" personId="{8CBA9FCE-F6AE-4F8A-B2E7-C39F2A1E1F52}" id="{A2ABCB6F-8C27-4958-9B89-BC0E943E4192}">
    <text>JUNIOR BALTASAR GIRALDO</text>
  </threadedComment>
  <threadedComment ref="B41" dT="2025-04-02T19:53:13.82" personId="{8CBA9FCE-F6AE-4F8A-B2E7-C39F2A1E1F52}" id="{9D8806A6-DFB2-44E1-BA8D-26D285B12B5C}">
    <text>Yanibis florez
Victor Hugo Zapata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20" dT="2025-06-06T15:39:22.81" personId="{8CBA9FCE-F6AE-4F8A-B2E7-C39F2A1E1F52}" id="{190CBA39-D7A9-462A-BE44-6A2DE3B7BF54}">
    <text>Mateo Bedoya Ospina (Terminación de C)</text>
  </threadedComment>
  <threadedComment ref="E41" dT="2025-06-06T15:47:50.22" personId="{8CBA9FCE-F6AE-4F8A-B2E7-C39F2A1E1F52}" id="{5485EBC2-2258-466F-B67F-EC96392AA854}">
    <text>JUAN FERNANDO BRAVO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20" dT="2025-06-06T15:39:22.81" personId="{8CBA9FCE-F6AE-4F8A-B2E7-C39F2A1E1F52}" id="{02EF94FE-02DF-40EC-B503-5CF5E392B394}">
    <text>KARIANA SEGURA VILORIA Rionegro</text>
  </threadedComment>
  <threadedComment ref="E36" dT="2025-07-10T17:33:12.35" personId="{8CBA9FCE-F6AE-4F8A-B2E7-C39F2A1E1F52}" id="{FCC9CB60-3185-4E3D-A1A7-80B5623B1AF7}">
    <text>EVELYN YESENIA CUERO RODRIGUEZ</text>
  </threadedComment>
  <threadedComment ref="Q36" dT="2025-07-10T17:37:16.62" personId="{8CBA9FCE-F6AE-4F8A-B2E7-C39F2A1E1F52}" id="{B59170C1-D5AA-45F1-B41D-2B9FCF839314}">
    <text xml:space="preserve">ANYI PAOLA MURILLO SINISTERRA 
ANDRI PAOLA VIVEROS HERNANDEZ
</text>
  </threadedComment>
  <threadedComment ref="E41" dT="2025-06-06T15:47:50.22" personId="{8CBA9FCE-F6AE-4F8A-B2E7-C39F2A1E1F52}" id="{823E48AB-2E20-4C99-B11C-5F0551DDBF42}">
    <text xml:space="preserve">SUSANA GUTIERREZ GODOY
SANDRA MILENA MONTES GONZALEZ
KELLY JHOANA PALACIO ZULETA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E20" dT="2025-06-06T15:39:22.81" personId="{8CBA9FCE-F6AE-4F8A-B2E7-C39F2A1E1F52}" id="{FC929C19-2144-453E-A3FF-A1B3A9F8197D}">
    <text xml:space="preserve">YUDY CAROLINA SEPULVEDA LOPERA 
MARIANA MUÑOZ BETANCOURT </text>
  </threadedComment>
  <threadedComment ref="H20" dT="2025-08-11T20:43:34.22" personId="{8CBA9FCE-F6AE-4F8A-B2E7-C39F2A1E1F52}" id="{EBDEBD62-FFA6-44F8-ACDC-E80A6C68A3FF}">
    <text xml:space="preserve">CRISTIAN FELIPE TRUJILLO ROMERO </text>
  </threadedComment>
  <threadedComment ref="H36" dT="2025-08-11T20:55:05.96" personId="{8CBA9FCE-F6AE-4F8A-B2E7-C39F2A1E1F52}" id="{5035009F-1EC6-4B89-990F-4E16B6CA3A12}">
    <text>TONY RAFAEL SIFONTES SEGOVIA</text>
  </threadedComment>
  <threadedComment ref="E41" dT="2025-08-11T20:56:55.71" personId="{8CBA9FCE-F6AE-4F8A-B2E7-C39F2A1E1F52}" id="{E6E92E86-5B20-4A80-BBF0-8B5058B383B2}">
    <text xml:space="preserve">MARIA PAULA ARBOLEDA RODRIGUEZ 
LUISA MARIA DIAZ DELAGADO 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3D81FFDF-506A-4A30-8B52-2BD7300A2B44}">
    <text>Jean Carlos Payares</text>
  </threadedComment>
  <threadedComment ref="E36" dT="2025-09-10T15:27:30.28" personId="{8CBA9FCE-F6AE-4F8A-B2E7-C39F2A1E1F52}" id="{F5CBBE38-6784-491B-A8FD-6B97759BB257}">
    <text>JOSE ANTONIO ROJAS CANTILLO</text>
  </threadedComment>
  <threadedComment ref="E41" dT="2025-09-10T15:29:06.22" personId="{8CBA9FCE-F6AE-4F8A-B2E7-C39F2A1E1F52}" id="{CE556CE5-B76F-4BDD-9D99-F0051C9BC9C0}">
    <text xml:space="preserve">ALEX DAVID SIERRA MEJIA 
ELIZABETH LAZARO HERNANDEZ 
MARIA INES ORTEGA PAEZ 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6893B83B-0A49-4D5D-ADAE-B38190EE9DC9}">
    <text xml:space="preserve">YURLEY TATIANA LEAL
DEILIS ELIANA ARIAS
TEHERAN ACUÑA YORDIS MANUEL
MARTINEZ YAMARTE MAYSBEL
</text>
  </threadedComment>
  <threadedComment ref="E36" dT="2025-09-10T15:27:30.28" personId="{8CBA9FCE-F6AE-4F8A-B2E7-C39F2A1E1F52}" id="{4B060740-6E53-440F-86DC-C1E46E083EA0}">
    <text>YULIANA RESTREPO AGUILAR</text>
  </threadedComment>
  <threadedComment ref="N36" dT="2025-10-08T21:04:42.86" personId="{8CBA9FCE-F6AE-4F8A-B2E7-C39F2A1E1F52}" id="{478B6662-5B84-4202-8434-00795A5F3F55}">
    <text>YOANDER JAVIER PEREZ HERRERA</text>
  </threadedComment>
  <threadedComment ref="E41" dT="2025-09-10T15:29:06.22" personId="{8CBA9FCE-F6AE-4F8A-B2E7-C39F2A1E1F52}" id="{02BF4DF6-B892-4E78-926D-4A0953CADCA1}">
    <text xml:space="preserve">JHON FREDDY MELENDEZ CORRO 
LUIS ENRIQUE RODRIGUEZ RIVERA </text>
  </threadedComment>
  <threadedComment ref="N41" dT="2025-10-08T21:06:17.36" personId="{8CBA9FCE-F6AE-4F8A-B2E7-C39F2A1E1F52}" id="{C887F3BD-0468-444D-9FA1-E776405B1BC7}">
    <text xml:space="preserve">JOAN JOSE STEEL ROSALES 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A0648E4E-6F5E-46C8-9440-A8E143AD0223}">
    <text xml:space="preserve">JUAN SEBASTIAN CASTAÑEDA 
JUAN FERNANDO ROJAS 
</text>
  </threadedComment>
  <threadedComment ref="H20" dT="2025-11-11T16:05:11.70" personId="{8CBA9FCE-F6AE-4F8A-B2E7-C39F2A1E1F52}" id="{BBFBB7BD-E764-46B3-A055-16AE91083CCA}">
    <text xml:space="preserve">MEGAN SOFIA SUAREZ PULIDO </text>
  </threadedComment>
  <threadedComment ref="E36" dT="2025-09-10T15:27:30.28" personId="{8CBA9FCE-F6AE-4F8A-B2E7-C39F2A1E1F52}" id="{855B5854-2344-42CA-80E0-9A1EBCE341C7}">
    <text>DIEGO ALEXANDER GRACIANO</text>
  </threadedComment>
  <threadedComment ref="H36" dT="2025-11-11T15:53:48.79" personId="{8CBA9FCE-F6AE-4F8A-B2E7-C39F2A1E1F52}" id="{6AA9F905-9931-44A8-87C9-706519126B12}">
    <text>GRACIANO SIERRA DIEGO ALEXANDER</text>
  </threadedComment>
  <threadedComment ref="E41" dT="2025-09-10T15:29:06.22" personId="{8CBA9FCE-F6AE-4F8A-B2E7-C39F2A1E1F52}" id="{AA20AE8A-9C22-4D9E-A606-581A6401B714}">
    <text>NUÑES HORTA MARIA JOSE
GARCIA HERNANDEZ DAVID JOSUE
CASTAÑO MUÑOZ SARA ALEJANDRA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A55B59CB-6A42-4FBB-9607-EDD22C576F7F}">
    <text>DANIELA DEL CARMEN JACOME VALDES</text>
  </threadedComment>
  <threadedComment ref="T20" dT="2025-12-16T19:41:17.28" personId="{8CBA9FCE-F6AE-4F8A-B2E7-C39F2A1E1F52}" id="{1CD17A32-6ED2-468C-9792-03275E02EC2D}">
    <text>LUNA YURANNI GOMEZ HERNANDEZ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2D396423-5955-4256-91D5-A815BF9A6B8D}">
    <text>MISHELL HERNANDEZ BEDOYA
JHOAN ESTEBAN VELEZ MONTOYA</text>
  </threadedComment>
  <threadedComment ref="H20" dT="2026-01-16T15:17:06.69" personId="{8CBA9FCE-F6AE-4F8A-B2E7-C39F2A1E1F52}" id="{9A5F5CFE-85DE-421A-AE4B-76ABF88C52EB}">
    <text>JHOAN ESTEBAN VELEZ MONTOYA</text>
  </threadedComment>
  <threadedComment ref="E36" dT="2026-01-16T15:26:11.74" personId="{8CBA9FCE-F6AE-4F8A-B2E7-C39F2A1E1F52}" id="{FAA66E4C-781E-44B1-B024-8CDB2DF1F84C}">
    <text>NICK MICHELL FUENTES NARANJO
GERALDINE MAHECHA TRIANA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E20" dT="2025-09-10T13:11:32.34" personId="{8CBA9FCE-F6AE-4F8A-B2E7-C39F2A1E1F52}" id="{52B6731E-3D39-4415-9974-E8DC631F37A7}">
    <text xml:space="preserve">1.PEREIRA MARRUGO JHOGEIDIS MARIA.
2.CARMONA JIMENEZ VALENTINA.
</text>
  </threadedComment>
  <threadedComment ref="N20" dT="2026-02-16T22:08:39.02" personId="{8CBA9FCE-F6AE-4F8A-B2E7-C39F2A1E1F52}" id="{2983BB1A-33B6-4F7D-B9DF-673C35F0C653}">
    <text>1.COLON BERRIO YESICA PATRICIA
Vencimiento de termino de contrato</text>
  </threadedComment>
  <threadedComment ref="Q20" dT="2026-02-20T14:34:31.09" personId="{8CBA9FCE-F6AE-4F8A-B2E7-C39F2A1E1F52}" id="{BCF155DE-F20F-4B82-95CE-69E9F002407F}">
    <text>MOSQUERA  BUENO JUAN DAVID</text>
  </threadedComment>
  <threadedComment ref="E41" dT="2026-02-17T15:16:06.48" personId="{8CBA9FCE-F6AE-4F8A-B2E7-C39F2A1E1F52}" id="{38DE4091-E58D-4C04-83D5-B446373F91CD}">
    <text>1.URUETA SALGADO OLIVER JOSE
2.URUETA SALGADO OLIVER JOSE</text>
  </threadedComment>
  <threadedComment ref="T41" dT="2026-02-17T15:22:51.44" personId="{8CBA9FCE-F6AE-4F8A-B2E7-C39F2A1E1F52}" id="{EF1F07CF-8CBC-494E-B9C3-BB066A97BDB6}">
    <text>GRISALES LOPEZ JUAN FERNANDO</text>
  </threadedComment>
  <threadedComment ref="B50" dT="2026-02-17T15:30:20.01" personId="{8CBA9FCE-F6AE-4F8A-B2E7-C39F2A1E1F52}" id="{FF3090A7-C5E3-429C-BE6A-B9027ABB77A5}">
    <text xml:space="preserve">1.LONDOÑO ORTIZ MONICA LIS.
2.ALVAREZ JARAMILLO JUAN GABRIEL
3.MUÑOZ LOPEZ GIOVANNY ALONSO
</text>
  </threadedComment>
  <threadedComment ref="E50" dT="2026-02-17T15:29:03.64" personId="{8CBA9FCE-F6AE-4F8A-B2E7-C39F2A1E1F52}" id="{2D72A207-BFA2-4F21-B444-E4634DE0E70A}">
    <text>BURITICA GIL JHON EIDER.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E20" dT="2026-03-03T21:34:56.38" personId="{8CBA9FCE-F6AE-4F8A-B2E7-C39F2A1E1F52}" id="{13085E60-ACC3-4F0E-BA36-34BF9F0C36D4}">
    <text>VERA ATENCIO ANAHYS PAOLA- CAJERA SAN NICOLAS</text>
  </threadedComment>
  <threadedComment ref="H20" dT="2026-03-03T21:42:58.71" personId="{8CBA9FCE-F6AE-4F8A-B2E7-C39F2A1E1F52}" id="{E74FCBF0-AE07-4B75-9B92-6D0118FC35D5}">
    <text>MENDEZ CIFUENTES CAROL YINETH</text>
  </threadedComment>
  <threadedComment ref="Q20" dT="2026-03-03T21:57:10.84" personId="{8CBA9FCE-F6AE-4F8A-B2E7-C39F2A1E1F52}" id="{B87F0021-454A-49EE-98D5-B11C5209A324}">
    <text>HURTADO  DARLY JULIANA</text>
  </threadedComment>
  <threadedComment ref="E41" dT="2026-03-04T20:37:31.44" personId="{8CBA9FCE-F6AE-4F8A-B2E7-C39F2A1E1F52}" id="{3B745529-6EDD-429D-980F-5743F729C12A}">
    <text xml:space="preserve">1.GONZALES SEGURO DANIEL
2.TORRES TORIN MARY MARLIN
</text>
  </threadedComment>
  <threadedComment ref="B50" dT="2026-03-04T20:48:53.97" personId="{8CBA9FCE-F6AE-4F8A-B2E7-C39F2A1E1F52}" id="{19C1EF91-CBAB-4A9F-9391-7558F25F791B}">
    <text xml:space="preserve">1.MANCO GARCIA ARLINSON DAVID.
2.JIMENEZ SALCEDO ALBERTO SANTOS JR
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E20" dT="2026-04-08T16:37:19.97" personId="{8CBA9FCE-F6AE-4F8A-B2E7-C39F2A1E1F52}" id="{57D5743B-AED2-467F-873A-B448FB670044}">
    <text xml:space="preserve">ARBELAEZ GRANADA LUISA FERNANDA
ZEA CATAÑO KAREN SUSANA
</text>
  </threadedComment>
  <threadedComment ref="Q20" dT="2026-04-16T19:54:46.46" personId="{8CBA9FCE-F6AE-4F8A-B2E7-C39F2A1E1F52}" id="{7894BB11-A95E-48AD-BCE9-62F302A19DB7}">
    <text>CASTILLO BANDERAS ANDRES DAVID</text>
  </threadedComment>
  <threadedComment ref="B31" dT="2026-04-09T16:35:57.73" personId="{8CBA9FCE-F6AE-4F8A-B2E7-C39F2A1E1F52}" id="{95AA7126-A154-4C9A-AC33-F91FFD608EC2}">
    <text xml:space="preserve">PERFILES: 
GRANADOS CRUZ ROSMARY RAQUEL.
CAMARGO GALINDO CARMEN BEATRIZ
</text>
  </threadedComment>
  <threadedComment ref="E36" dT="2026-04-16T17:48:54.78" personId="{8CBA9FCE-F6AE-4F8A-B2E7-C39F2A1E1F52}" id="{E2512787-91C8-44AD-A686-446F9F2B9A01}">
    <text>ROMERO TERAN JOSE ESTEBAN</text>
  </threadedComment>
  <threadedComment ref="E41" dT="2026-04-16T17:52:25.11" personId="{8CBA9FCE-F6AE-4F8A-B2E7-C39F2A1E1F52}" id="{E2892DF4-0024-4C26-825D-D3FD7E0F57C5}">
    <text xml:space="preserve">DIAZ DELGADO LUISA MARIANA
NUÑEZ DE HORTA MARIA JOSE
OQUENDO HIGUITA YULIETH ALEJANDRA
ARCHILA ALVAREZ VICTOR HUGO
</text>
  </threadedComment>
  <threadedComment ref="H41" dT="2026-04-16T17:51:09.57" personId="{8CBA9FCE-F6AE-4F8A-B2E7-C39F2A1E1F52}" id="{D14F5E8D-CF75-4240-B8C0-E93D4886AC59}">
    <text>HERNANDEZ BERNATES NATALIA ANDREA</text>
  </threadedComment>
  <threadedComment ref="B50" dT="2026-03-04T20:48:53.97" personId="{8CBA9FCE-F6AE-4F8A-B2E7-C39F2A1E1F52}" id="{2B692EA8-2EE7-4C46-BA11-49D9E1A00582}">
    <text xml:space="preserve">MARTINEZ DEL CASTILLO SEBASTIAN
GARCIA RUIZ ASLHYN
CORREA JARAMILLO JUAN CARLOS.
CASTAÑO NIETO JUAN PABLO
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E21" dT="2026-05-08T19:31:38.43" personId="{8CBA9FCE-F6AE-4F8A-B2E7-C39F2A1E1F52}" id="{828D133B-688A-4B2D-B63A-5B8D2B0FF6B8}">
    <text>RUA OCAMPO LIZETH DANIELA</text>
  </threadedComment>
  <threadedComment ref="E32" dT="2026-05-13T15:34:10.99" personId="{8CBA9FCE-F6AE-4F8A-B2E7-C39F2A1E1F52}" id="{3C82AA08-7C4F-4121-9C60-6A6E93BBDD60}">
    <text>EXPOSITO GARZON JUAN DAVID-UCROS REVUELTA JAHIR ANDRES</text>
  </threadedComment>
  <threadedComment ref="H32" dT="2026-05-13T15:34:53.96" personId="{8CBA9FCE-F6AE-4F8A-B2E7-C39F2A1E1F52}" id="{FBF724B3-52A9-4D08-BE8A-73B2B0822170}">
    <text>DURAN VERA JUAN ANDRES</text>
  </threadedComment>
  <threadedComment ref="H42" dT="2026-05-08T20:51:15.19" personId="{8CBA9FCE-F6AE-4F8A-B2E7-C39F2A1E1F52}" id="{88EB90CD-2B71-4FDD-B3C1-7B1FA1A6C7E0}">
    <text>PERTUZ ARIAS ADRIANA LUCIA</text>
  </threadedComment>
  <threadedComment ref="K42" dT="2026-05-08T20:53:22.72" personId="{8CBA9FCE-F6AE-4F8A-B2E7-C39F2A1E1F52}" id="{DDFE4A37-95B4-4E78-8588-085E22B57495}">
    <text>MONTES OSORIO CRISTIAN CAMILO</text>
  </threadedComment>
  <threadedComment ref="N42" dT="2026-05-08T20:52:38.35" personId="{8CBA9FCE-F6AE-4F8A-B2E7-C39F2A1E1F52}" id="{C9C1FB13-1285-486A-B1C0-FC1F2E69C33A}">
    <text>BASTIDAS KLEVER YENIFER DEL CARMEN</text>
  </threadedComment>
  <threadedComment ref="B51" dT="2026-05-08T21:15:58.15" personId="{8CBA9FCE-F6AE-4F8A-B2E7-C39F2A1E1F52}" id="{8B558D94-A397-4129-9076-CA8A9D84C48A}">
    <text>MUÑOZ MUNERA VICTOR MANUEL      DIAZ GONZALEZ OLGA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E21" dT="2026-05-08T19:31:38.43" personId="{8CBA9FCE-F6AE-4F8A-B2E7-C39F2A1E1F52}" id="{858B5FFC-4785-401F-A327-98E2C1E04E92}">
    <text>RUA OCAMPO LIZETH DANIELA</text>
  </threadedComment>
  <threadedComment ref="E32" dT="2026-05-13T15:34:10.99" personId="{8CBA9FCE-F6AE-4F8A-B2E7-C39F2A1E1F52}" id="{B27ECDC2-A898-425B-9FCF-7AC3E17423CF}">
    <text>EXPOSITO GARZON JUAN DAVID-UCROS REVUELTA JAHIR ANDRES</text>
  </threadedComment>
  <threadedComment ref="H32" dT="2026-05-13T15:34:53.96" personId="{8CBA9FCE-F6AE-4F8A-B2E7-C39F2A1E1F52}" id="{F2B2D90A-C16A-4FDE-9303-FA9EDD56C0BF}">
    <text>DURAN VERA JUAN ANDRES</text>
  </threadedComment>
  <threadedComment ref="H42" dT="2026-05-08T20:51:15.19" personId="{8CBA9FCE-F6AE-4F8A-B2E7-C39F2A1E1F52}" id="{499282C3-D474-4509-82C2-BF92521A2CB1}">
    <text>PERTUZ ARIAS ADRIANA LUCIA</text>
  </threadedComment>
  <threadedComment ref="K42" dT="2026-05-08T20:53:22.72" personId="{8CBA9FCE-F6AE-4F8A-B2E7-C39F2A1E1F52}" id="{E7580280-92D9-4212-AE43-9B767A838B17}">
    <text>MONTES OSORIO CRISTIAN CAMILO</text>
  </threadedComment>
  <threadedComment ref="N42" dT="2026-05-08T20:52:38.35" personId="{8CBA9FCE-F6AE-4F8A-B2E7-C39F2A1E1F52}" id="{31C1E6C8-1389-4EB6-A60D-E8D3F2E3FA46}">
    <text>BASTIDAS KLEVER YENIFER DEL CARMEN</text>
  </threadedComment>
  <threadedComment ref="B51" dT="2026-05-08T21:15:58.15" personId="{8CBA9FCE-F6AE-4F8A-B2E7-C39F2A1E1F52}" id="{5A564381-E5FC-4CB8-9F12-9BD508C33AB5}">
    <text>MUÑOZ MUNERA VICTOR MANUEL      DIAZ GONZALEZ OLGA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E21" dT="2026-05-08T19:31:38.43" personId="{8CBA9FCE-F6AE-4F8A-B2E7-C39F2A1E1F52}" id="{FA957348-8259-404E-BD56-C208DBC1AF0F}">
    <text>RENDON MUÑOZ KATHERINNE- TEHERAN ACUÑA YORDIS MANUEL</text>
  </threadedComment>
  <threadedComment ref="E32" dT="2026-05-13T15:34:10.99" personId="{8CBA9FCE-F6AE-4F8A-B2E7-C39F2A1E1F52}" id="{6ED0275C-BC6A-43A7-88C8-4DF8F69E7C65}">
    <text xml:space="preserve">PERFILES: 
JARAMILLO SOSA SARA PAULINA
LOZADA MORALES DERLY ANDREA
SUAREZ CORREA ANGIE PAOLA
SALCEDO HERNANDEZ MARIA EUGENIA
PEREZ NIZPERUSA JUANA ESPERANZA
</text>
  </threadedComment>
  <threadedComment ref="H32" dT="2026-05-13T15:34:53.96" personId="{8CBA9FCE-F6AE-4F8A-B2E7-C39F2A1E1F52}" id="{A4EA0A51-9FFF-4703-A379-0789752D0577}">
    <text>-PINZON AVILA DANIEL CAMILO
-RODRIGUEZ CASTILLO MARTA CATALINA
-MENDOZA MORALES KARLA ESTEFANIA</text>
  </threadedComment>
  <threadedComment ref="N37" dT="2026-06-09T14:04:26.97" personId="{8CBA9FCE-F6AE-4F8A-B2E7-C39F2A1E1F52}" id="{B6378B27-852A-4783-9D4E-B7175017D532}">
    <text>ARIAS MONTES ADRIANA MARCELA</text>
  </threadedComment>
  <threadedComment ref="E42" dT="2026-06-09T14:09:58.20" personId="{8CBA9FCE-F6AE-4F8A-B2E7-C39F2A1E1F52}" id="{58A23FC3-5C55-43FD-B098-D1D78BB14A69}">
    <text>ARBOLEDA RODRIGUEZ MARIA PAULA</text>
  </threadedComment>
  <threadedComment ref="B51" dT="2026-06-09T14:14:39.70" personId="{8CBA9FCE-F6AE-4F8A-B2E7-C39F2A1E1F52}" id="{A9707F7C-C99B-4264-AE35-536F8BD19A54}">
    <text>AVILA GAZABON LEONARDO FABIO</text>
  </threadedComment>
  <threadedComment ref="E51" dT="2026-06-09T14:16:03.96" personId="{8CBA9FCE-F6AE-4F8A-B2E7-C39F2A1E1F52}" id="{DC86CB9C-12C6-42CA-A4C4-649B0E18D60C}">
    <text>RAMIREZ ARANGO ALEJANDRO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E21" dT="2026-07-14T19:28:11.81" personId="{8CBA9FCE-F6AE-4F8A-B2E7-C39F2A1E1F52}" id="{AB81280D-DCFF-4FE7-9BD7-648A139EAE7F}">
    <text>PINO SANTOS ALBA MARIA</text>
  </threadedComment>
  <threadedComment ref="H21" dT="2026-07-14T19:28:01.33" personId="{8CBA9FCE-F6AE-4F8A-B2E7-C39F2A1E1F52}" id="{6970753F-BD3B-4674-B387-35888C341A04}">
    <text>CORTES SUAREZ GREINS DAMARIS</text>
  </threadedComment>
  <threadedComment ref="B32" dT="2026-07-14T19:40:55.75" personId="{8CBA9FCE-F6AE-4F8A-B2E7-C39F2A1E1F52}" id="{8B20EFA0-AF68-42DC-BFBD-0D4339403766}">
    <text xml:space="preserve">FORONDA RIOS SOFIA- Medellin 
RIOS VALENCIA GABRIEL ENRIQUE- Barranquilla
LUJAN CARMEN LADY JOHANA- Mall plaza cali
PALACIOS ASPRILLA YANCY KARINA- Florida 1
</text>
  </threadedComment>
  <threadedComment ref="H37" dT="2026-07-14T19:45:51.64" personId="{8CBA9FCE-F6AE-4F8A-B2E7-C39F2A1E1F52}" id="{2E5960CA-F5E5-47F4-9D5C-8337E9EF6A00}">
    <text>OCHOA MATAPI MICHEL XIOMARA</text>
  </threadedComment>
  <threadedComment ref="E42" dT="2026-07-14T18:55:31.96" personId="{8CBA9FCE-F6AE-4F8A-B2E7-C39F2A1E1F52}" id="{9CED6497-68F6-47AF-AA1E-ADB29408FBF9}">
    <text>VELEZ QUICENO KEVIN ANDRES</text>
  </threadedComment>
  <threadedComment ref="H42" dT="2026-07-14T18:56:11.51" personId="{8CBA9FCE-F6AE-4F8A-B2E7-C39F2A1E1F52}" id="{40D6B135-26B4-4E43-9E2B-F80DFEA8F9A3}">
    <text>ORTEGA LOZANO VICTOR DANILO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1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1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19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20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1.x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5.xml"/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7.xml"/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BCD7-00F5-4B60-831F-A1E161F62E2B}">
  <dimension ref="A1:T62"/>
  <sheetViews>
    <sheetView topLeftCell="A48" workbookViewId="0">
      <selection activeCell="G2" sqref="G2"/>
    </sheetView>
  </sheetViews>
  <sheetFormatPr baseColWidth="10" defaultRowHeight="15" x14ac:dyDescent="0.25"/>
  <sheetData>
    <row r="1" spans="1:20" ht="33.75" x14ac:dyDescent="0.5">
      <c r="A1" s="335" t="s">
        <v>18</v>
      </c>
      <c r="B1" s="336"/>
      <c r="C1" s="222" t="s">
        <v>269</v>
      </c>
      <c r="D1" s="337" t="s">
        <v>269</v>
      </c>
      <c r="E1" s="337"/>
      <c r="F1" s="222" t="s">
        <v>269</v>
      </c>
      <c r="G1" s="222" t="s">
        <v>269</v>
      </c>
      <c r="H1" s="222" t="s">
        <v>269</v>
      </c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</row>
    <row r="2" spans="1:20" x14ac:dyDescent="0.25">
      <c r="A2" s="223" t="s">
        <v>29</v>
      </c>
      <c r="B2" s="224">
        <v>600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</row>
    <row r="3" spans="1:20" x14ac:dyDescent="0.25">
      <c r="A3" s="223" t="s">
        <v>30</v>
      </c>
      <c r="B3" s="225">
        <v>0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</row>
    <row r="4" spans="1:20" x14ac:dyDescent="0.25">
      <c r="A4" s="223" t="s">
        <v>3</v>
      </c>
      <c r="B4" s="226">
        <v>600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</row>
    <row r="5" spans="1:20" x14ac:dyDescent="0.25">
      <c r="A5" s="203"/>
      <c r="B5" s="227" t="s">
        <v>269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</row>
    <row r="6" spans="1:20" x14ac:dyDescent="0.25">
      <c r="A6" s="228" t="s">
        <v>42</v>
      </c>
      <c r="B6" s="229">
        <v>68</v>
      </c>
      <c r="C6" s="203"/>
      <c r="D6" s="228" t="s">
        <v>43</v>
      </c>
      <c r="E6" s="230" t="s">
        <v>269</v>
      </c>
      <c r="F6" s="203"/>
      <c r="G6" s="231" t="s">
        <v>44</v>
      </c>
      <c r="H6" s="230">
        <v>68</v>
      </c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</row>
    <row r="7" spans="1:20" x14ac:dyDescent="0.25">
      <c r="A7" s="203"/>
      <c r="B7" s="232" t="s">
        <v>269</v>
      </c>
      <c r="C7" s="203"/>
      <c r="D7" s="203"/>
      <c r="E7" s="203"/>
      <c r="F7" s="203"/>
      <c r="G7" s="223" t="s">
        <v>5</v>
      </c>
      <c r="H7" s="233">
        <v>11.3</v>
      </c>
      <c r="I7" s="203"/>
      <c r="J7" s="234"/>
      <c r="K7" s="203"/>
      <c r="L7" s="203"/>
      <c r="M7" s="203"/>
      <c r="N7" s="203"/>
      <c r="O7" s="203"/>
      <c r="P7" s="203"/>
      <c r="Q7" s="203"/>
      <c r="R7" s="203"/>
      <c r="S7" s="203"/>
      <c r="T7" s="203"/>
    </row>
    <row r="8" spans="1:20" x14ac:dyDescent="0.25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</row>
    <row r="9" spans="1:20" x14ac:dyDescent="0.25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</row>
    <row r="10" spans="1:20" x14ac:dyDescent="0.25">
      <c r="A10" s="335" t="s">
        <v>65</v>
      </c>
      <c r="B10" s="336"/>
      <c r="C10" s="203"/>
      <c r="D10" s="327" t="s">
        <v>24</v>
      </c>
      <c r="E10" s="328"/>
      <c r="F10" s="203"/>
      <c r="G10" s="327" t="s">
        <v>25</v>
      </c>
      <c r="H10" s="328"/>
      <c r="I10" s="203"/>
      <c r="J10" s="327" t="s">
        <v>113</v>
      </c>
      <c r="K10" s="328"/>
      <c r="L10" s="203"/>
      <c r="M10" s="327" t="s">
        <v>27</v>
      </c>
      <c r="N10" s="328"/>
      <c r="O10" s="203"/>
      <c r="P10" s="327" t="s">
        <v>114</v>
      </c>
      <c r="Q10" s="328"/>
      <c r="R10" s="203"/>
      <c r="S10" s="329" t="s">
        <v>115</v>
      </c>
      <c r="T10" s="329"/>
    </row>
    <row r="11" spans="1:20" x14ac:dyDescent="0.25">
      <c r="A11" s="223" t="s">
        <v>28</v>
      </c>
      <c r="B11" s="235">
        <v>89</v>
      </c>
      <c r="C11" s="203"/>
      <c r="D11" s="223" t="s">
        <v>29</v>
      </c>
      <c r="E11" s="235">
        <v>43</v>
      </c>
      <c r="F11" s="203"/>
      <c r="G11" s="223" t="s">
        <v>29</v>
      </c>
      <c r="H11" s="235">
        <v>23</v>
      </c>
      <c r="I11" s="203"/>
      <c r="J11" s="223" t="s">
        <v>29</v>
      </c>
      <c r="K11" s="235">
        <v>5</v>
      </c>
      <c r="L11" s="203"/>
      <c r="M11" s="223" t="s">
        <v>29</v>
      </c>
      <c r="N11" s="235">
        <v>3</v>
      </c>
      <c r="O11" s="203"/>
      <c r="P11" s="223" t="s">
        <v>29</v>
      </c>
      <c r="Q11" s="235">
        <v>11</v>
      </c>
      <c r="R11" s="203"/>
      <c r="S11" s="231" t="s">
        <v>29</v>
      </c>
      <c r="T11" s="236">
        <v>4</v>
      </c>
    </row>
    <row r="12" spans="1:20" x14ac:dyDescent="0.25">
      <c r="A12" s="223" t="s">
        <v>30</v>
      </c>
      <c r="B12" s="235">
        <v>0</v>
      </c>
      <c r="C12" s="203"/>
      <c r="D12" s="223" t="s">
        <v>30</v>
      </c>
      <c r="E12" s="237">
        <v>0</v>
      </c>
      <c r="F12" s="203"/>
      <c r="G12" s="223" t="s">
        <v>30</v>
      </c>
      <c r="H12" s="235">
        <v>0</v>
      </c>
      <c r="I12" s="203"/>
      <c r="J12" s="223" t="s">
        <v>30</v>
      </c>
      <c r="K12" s="235">
        <v>0</v>
      </c>
      <c r="L12" s="203"/>
      <c r="M12" s="223" t="s">
        <v>30</v>
      </c>
      <c r="N12" s="235">
        <v>0</v>
      </c>
      <c r="O12" s="203"/>
      <c r="P12" s="223" t="s">
        <v>30</v>
      </c>
      <c r="Q12" s="235">
        <v>0</v>
      </c>
      <c r="R12" s="203"/>
      <c r="S12" s="223" t="s">
        <v>30</v>
      </c>
      <c r="T12" s="235">
        <v>0</v>
      </c>
    </row>
    <row r="13" spans="1:20" x14ac:dyDescent="0.25">
      <c r="A13" s="238" t="s">
        <v>125</v>
      </c>
      <c r="B13" s="239">
        <v>89</v>
      </c>
      <c r="C13" s="203"/>
      <c r="D13" s="238" t="s">
        <v>125</v>
      </c>
      <c r="E13" s="239">
        <v>43</v>
      </c>
      <c r="F13" s="203"/>
      <c r="G13" s="238" t="s">
        <v>125</v>
      </c>
      <c r="H13" s="239">
        <v>23</v>
      </c>
      <c r="I13" s="203"/>
      <c r="J13" s="238" t="s">
        <v>125</v>
      </c>
      <c r="K13" s="239">
        <v>5</v>
      </c>
      <c r="L13" s="203"/>
      <c r="M13" s="238" t="s">
        <v>125</v>
      </c>
      <c r="N13" s="239">
        <v>3</v>
      </c>
      <c r="O13" s="203"/>
      <c r="P13" s="238" t="s">
        <v>125</v>
      </c>
      <c r="Q13" s="239">
        <v>11</v>
      </c>
      <c r="R13" s="203"/>
      <c r="S13" s="238" t="s">
        <v>125</v>
      </c>
      <c r="T13" s="239">
        <v>4</v>
      </c>
    </row>
    <row r="14" spans="1:20" x14ac:dyDescent="0.25">
      <c r="A14" s="223" t="s">
        <v>66</v>
      </c>
      <c r="B14" s="240">
        <v>13</v>
      </c>
      <c r="C14" s="203"/>
      <c r="D14" s="223" t="s">
        <v>136</v>
      </c>
      <c r="E14" s="240">
        <v>4</v>
      </c>
      <c r="F14" s="203"/>
      <c r="G14" s="223" t="s">
        <v>136</v>
      </c>
      <c r="H14" s="240">
        <v>5</v>
      </c>
      <c r="I14" s="203"/>
      <c r="J14" s="223" t="s">
        <v>4</v>
      </c>
      <c r="K14" s="240">
        <v>2</v>
      </c>
      <c r="L14" s="203"/>
      <c r="M14" s="223" t="s">
        <v>136</v>
      </c>
      <c r="N14" s="240">
        <v>1</v>
      </c>
      <c r="O14" s="203"/>
      <c r="P14" s="223" t="s">
        <v>136</v>
      </c>
      <c r="Q14" s="240">
        <v>1</v>
      </c>
      <c r="R14" s="203"/>
      <c r="S14" s="223" t="s">
        <v>4</v>
      </c>
      <c r="T14" s="241">
        <v>0</v>
      </c>
    </row>
    <row r="15" spans="1:20" x14ac:dyDescent="0.25">
      <c r="A15" s="223" t="s">
        <v>5</v>
      </c>
      <c r="B15" s="242">
        <v>14.6</v>
      </c>
      <c r="C15" s="203"/>
      <c r="D15" s="223" t="s">
        <v>5</v>
      </c>
      <c r="E15" s="242">
        <v>9.3000000000000007</v>
      </c>
      <c r="F15" s="203"/>
      <c r="G15" s="223" t="s">
        <v>5</v>
      </c>
      <c r="H15" s="242">
        <v>21.7</v>
      </c>
      <c r="I15" s="203"/>
      <c r="J15" s="223" t="s">
        <v>5</v>
      </c>
      <c r="K15" s="243">
        <v>40</v>
      </c>
      <c r="L15" s="203"/>
      <c r="M15" s="223" t="s">
        <v>5</v>
      </c>
      <c r="N15" s="243">
        <v>33.299999999999997</v>
      </c>
      <c r="O15" s="203"/>
      <c r="P15" s="223" t="s">
        <v>5</v>
      </c>
      <c r="Q15" s="244">
        <v>9.1</v>
      </c>
      <c r="R15" s="203"/>
      <c r="S15" s="223" t="s">
        <v>5</v>
      </c>
      <c r="T15" s="243">
        <v>0</v>
      </c>
    </row>
    <row r="16" spans="1:20" x14ac:dyDescent="0.25">
      <c r="A16" s="203"/>
      <c r="B16" s="203"/>
      <c r="C16" s="203"/>
      <c r="D16" s="203"/>
      <c r="E16" s="245" t="s">
        <v>269</v>
      </c>
      <c r="F16" s="203"/>
      <c r="G16" s="246" t="s">
        <v>269</v>
      </c>
      <c r="H16" s="245" t="s">
        <v>269</v>
      </c>
      <c r="I16" s="203"/>
      <c r="J16" s="246" t="s">
        <v>269</v>
      </c>
      <c r="K16" s="247" t="s">
        <v>269</v>
      </c>
      <c r="L16" s="246" t="s">
        <v>269</v>
      </c>
      <c r="M16" s="203"/>
      <c r="N16" s="248"/>
      <c r="O16" s="203"/>
      <c r="P16" s="203"/>
      <c r="Q16" s="203"/>
      <c r="R16" s="203"/>
      <c r="S16" s="203"/>
      <c r="T16" s="203"/>
    </row>
    <row r="17" spans="1:20" x14ac:dyDescent="0.25">
      <c r="A17" s="203"/>
      <c r="B17" s="203"/>
      <c r="C17" s="203"/>
      <c r="D17" s="203"/>
      <c r="E17" s="203"/>
      <c r="F17" s="203"/>
      <c r="G17" s="246" t="s">
        <v>269</v>
      </c>
      <c r="H17" s="246" t="s">
        <v>269</v>
      </c>
      <c r="I17" s="203"/>
      <c r="J17" s="246" t="s">
        <v>269</v>
      </c>
      <c r="K17" s="246" t="s">
        <v>269</v>
      </c>
      <c r="L17" s="246" t="s">
        <v>269</v>
      </c>
      <c r="M17" s="203"/>
      <c r="N17" s="203"/>
      <c r="O17" s="203"/>
      <c r="P17" s="203"/>
      <c r="Q17" s="203"/>
      <c r="R17" s="203"/>
      <c r="S17" s="203"/>
      <c r="T17" s="203"/>
    </row>
    <row r="18" spans="1:20" x14ac:dyDescent="0.25">
      <c r="A18" s="335" t="s">
        <v>71</v>
      </c>
      <c r="B18" s="336"/>
      <c r="C18" s="203"/>
      <c r="D18" s="335" t="s">
        <v>61</v>
      </c>
      <c r="E18" s="336"/>
      <c r="F18" s="203"/>
      <c r="G18" s="335" t="s">
        <v>62</v>
      </c>
      <c r="H18" s="336"/>
      <c r="I18" s="203"/>
      <c r="J18" s="335" t="s">
        <v>92</v>
      </c>
      <c r="K18" s="336"/>
      <c r="L18" s="203"/>
      <c r="M18" s="327" t="s">
        <v>64</v>
      </c>
      <c r="N18" s="328"/>
      <c r="O18" s="203"/>
      <c r="P18" s="327" t="s">
        <v>90</v>
      </c>
      <c r="Q18" s="328"/>
      <c r="R18" s="203"/>
      <c r="S18" s="327" t="s">
        <v>91</v>
      </c>
      <c r="T18" s="328"/>
    </row>
    <row r="19" spans="1:20" x14ac:dyDescent="0.25">
      <c r="A19" s="249" t="s">
        <v>29</v>
      </c>
      <c r="B19" s="250">
        <v>45</v>
      </c>
      <c r="C19" s="246" t="s">
        <v>269</v>
      </c>
      <c r="D19" s="251" t="s">
        <v>29</v>
      </c>
      <c r="E19" s="252">
        <v>26</v>
      </c>
      <c r="F19" s="203"/>
      <c r="G19" s="251" t="s">
        <v>29</v>
      </c>
      <c r="H19" s="252">
        <v>7</v>
      </c>
      <c r="I19" s="203"/>
      <c r="J19" s="251" t="s">
        <v>29</v>
      </c>
      <c r="K19" s="252">
        <v>1</v>
      </c>
      <c r="L19" s="203"/>
      <c r="M19" s="251" t="s">
        <v>29</v>
      </c>
      <c r="N19" s="252">
        <v>2</v>
      </c>
      <c r="O19" s="203"/>
      <c r="P19" s="251" t="s">
        <v>29</v>
      </c>
      <c r="Q19" s="252">
        <v>7</v>
      </c>
      <c r="R19" s="203"/>
      <c r="S19" s="251" t="s">
        <v>29</v>
      </c>
      <c r="T19" s="252">
        <v>2</v>
      </c>
    </row>
    <row r="20" spans="1:20" x14ac:dyDescent="0.25">
      <c r="A20" s="238" t="s">
        <v>125</v>
      </c>
      <c r="B20" s="253">
        <v>45</v>
      </c>
      <c r="C20" s="203"/>
      <c r="D20" s="238" t="s">
        <v>125</v>
      </c>
      <c r="E20" s="253">
        <v>26</v>
      </c>
      <c r="F20" s="203"/>
      <c r="G20" s="238" t="s">
        <v>125</v>
      </c>
      <c r="H20" s="253">
        <v>7</v>
      </c>
      <c r="I20" s="203"/>
      <c r="J20" s="238" t="s">
        <v>125</v>
      </c>
      <c r="K20" s="253">
        <v>1</v>
      </c>
      <c r="L20" s="203"/>
      <c r="M20" s="238" t="s">
        <v>125</v>
      </c>
      <c r="N20" s="253">
        <v>2</v>
      </c>
      <c r="O20" s="203"/>
      <c r="P20" s="254" t="s">
        <v>125</v>
      </c>
      <c r="Q20" s="253">
        <v>7</v>
      </c>
      <c r="R20" s="203"/>
      <c r="S20" s="254" t="s">
        <v>125</v>
      </c>
      <c r="T20" s="252">
        <v>2</v>
      </c>
    </row>
    <row r="21" spans="1:20" x14ac:dyDescent="0.25">
      <c r="A21" s="223" t="s">
        <v>72</v>
      </c>
      <c r="B21" s="240">
        <v>3</v>
      </c>
      <c r="C21" s="203"/>
      <c r="D21" s="223" t="s">
        <v>73</v>
      </c>
      <c r="E21" s="240">
        <v>2</v>
      </c>
      <c r="F21" s="203"/>
      <c r="G21" s="223" t="s">
        <v>74</v>
      </c>
      <c r="H21" s="239">
        <v>1</v>
      </c>
      <c r="I21" s="203"/>
      <c r="J21" s="223" t="s">
        <v>75</v>
      </c>
      <c r="K21" s="239">
        <v>0</v>
      </c>
      <c r="L21" s="203"/>
      <c r="M21" s="223" t="s">
        <v>76</v>
      </c>
      <c r="N21" s="239">
        <v>0</v>
      </c>
      <c r="O21" s="203"/>
      <c r="P21" s="251" t="s">
        <v>245</v>
      </c>
      <c r="Q21" s="255">
        <v>0</v>
      </c>
      <c r="R21" s="203"/>
      <c r="S21" s="251" t="s">
        <v>133</v>
      </c>
      <c r="T21" s="255">
        <v>0</v>
      </c>
    </row>
    <row r="22" spans="1:20" x14ac:dyDescent="0.25">
      <c r="A22" s="256" t="s">
        <v>5</v>
      </c>
      <c r="B22" s="244">
        <v>6.7</v>
      </c>
      <c r="C22" s="203"/>
      <c r="D22" s="223" t="s">
        <v>5</v>
      </c>
      <c r="E22" s="257">
        <v>7.7</v>
      </c>
      <c r="F22" s="203"/>
      <c r="G22" s="223" t="s">
        <v>5</v>
      </c>
      <c r="H22" s="244">
        <v>14.3</v>
      </c>
      <c r="I22" s="203"/>
      <c r="J22" s="223" t="s">
        <v>5</v>
      </c>
      <c r="K22" s="244">
        <v>0</v>
      </c>
      <c r="L22" s="203"/>
      <c r="M22" s="223" t="s">
        <v>5</v>
      </c>
      <c r="N22" s="244">
        <v>0</v>
      </c>
      <c r="O22" s="203"/>
      <c r="P22" s="251" t="s">
        <v>5</v>
      </c>
      <c r="Q22" s="244">
        <v>0</v>
      </c>
      <c r="R22" s="203"/>
      <c r="S22" s="223" t="s">
        <v>5</v>
      </c>
      <c r="T22" s="243">
        <v>0</v>
      </c>
    </row>
    <row r="23" spans="1:20" x14ac:dyDescent="0.25">
      <c r="A23" s="246" t="s">
        <v>269</v>
      </c>
      <c r="B23" s="258" t="s">
        <v>269</v>
      </c>
      <c r="C23" s="203"/>
      <c r="D23" s="203"/>
      <c r="E23" s="203"/>
      <c r="F23" s="203"/>
      <c r="G23" s="203"/>
      <c r="H23" s="248"/>
      <c r="I23" s="203"/>
      <c r="J23" s="203"/>
      <c r="K23" s="248"/>
      <c r="L23" s="203"/>
      <c r="M23" s="203"/>
      <c r="N23" s="248"/>
      <c r="O23" s="203"/>
      <c r="P23" s="203"/>
      <c r="Q23" s="203"/>
      <c r="R23" s="203"/>
      <c r="S23" s="203"/>
      <c r="T23" s="203"/>
    </row>
    <row r="24" spans="1:20" x14ac:dyDescent="0.25">
      <c r="A24" s="259" t="s">
        <v>126</v>
      </c>
      <c r="B24" s="198">
        <v>134</v>
      </c>
      <c r="C24" s="203"/>
      <c r="D24" s="203"/>
      <c r="E24" s="203"/>
      <c r="F24" s="203"/>
      <c r="G24" s="203"/>
      <c r="H24" s="248"/>
      <c r="I24" s="203"/>
      <c r="J24" s="203"/>
      <c r="K24" s="248"/>
      <c r="L24" s="203"/>
      <c r="M24" s="203"/>
      <c r="N24" s="248"/>
      <c r="O24" s="203"/>
      <c r="P24" s="203"/>
      <c r="Q24" s="203"/>
      <c r="R24" s="203"/>
      <c r="S24" s="203"/>
      <c r="T24" s="203"/>
    </row>
    <row r="25" spans="1:20" x14ac:dyDescent="0.25">
      <c r="A25" s="251" t="s">
        <v>44</v>
      </c>
      <c r="B25" s="253">
        <v>16</v>
      </c>
      <c r="C25" s="203"/>
      <c r="D25" s="203"/>
      <c r="E25" s="203"/>
      <c r="F25" s="203"/>
      <c r="G25" s="203"/>
      <c r="H25" s="248"/>
      <c r="I25" s="203"/>
      <c r="J25" s="203"/>
      <c r="K25" s="248"/>
      <c r="L25" s="203"/>
      <c r="M25" s="203"/>
      <c r="N25" s="248"/>
      <c r="O25" s="203"/>
      <c r="P25" s="203"/>
      <c r="Q25" s="203"/>
      <c r="R25" s="203"/>
      <c r="S25" s="203"/>
      <c r="T25" s="203"/>
    </row>
    <row r="26" spans="1:20" x14ac:dyDescent="0.25">
      <c r="A26" s="260" t="s">
        <v>83</v>
      </c>
      <c r="B26" s="261">
        <v>11.9</v>
      </c>
      <c r="C26" s="203"/>
      <c r="D26" s="203"/>
      <c r="E26" s="203"/>
      <c r="F26" s="203"/>
      <c r="G26" s="203"/>
      <c r="H26" s="248"/>
      <c r="I26" s="203"/>
      <c r="J26" s="203"/>
      <c r="K26" s="248"/>
      <c r="L26" s="203"/>
      <c r="M26" s="203"/>
      <c r="N26" s="248"/>
      <c r="O26" s="203"/>
      <c r="P26" s="203"/>
      <c r="Q26" s="203"/>
      <c r="R26" s="203"/>
      <c r="S26" s="203"/>
      <c r="T26" s="203"/>
    </row>
    <row r="27" spans="1:20" x14ac:dyDescent="0.2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46" t="s">
        <v>269</v>
      </c>
      <c r="L27" s="203"/>
      <c r="M27" s="203"/>
      <c r="N27" s="203"/>
      <c r="O27" s="203"/>
      <c r="P27" s="203"/>
      <c r="Q27" s="203"/>
      <c r="R27" s="203"/>
      <c r="S27" s="203"/>
      <c r="T27" s="203"/>
    </row>
    <row r="28" spans="1:20" x14ac:dyDescent="0.25">
      <c r="A28" s="327" t="s">
        <v>137</v>
      </c>
      <c r="B28" s="328"/>
      <c r="C28" s="203"/>
      <c r="D28" s="327" t="s">
        <v>104</v>
      </c>
      <c r="E28" s="328"/>
      <c r="F28" s="203"/>
      <c r="G28" s="327" t="s">
        <v>105</v>
      </c>
      <c r="H28" s="328"/>
      <c r="I28" s="203"/>
      <c r="J28" s="327" t="s">
        <v>106</v>
      </c>
      <c r="K28" s="328"/>
      <c r="L28" s="203"/>
      <c r="M28" s="327" t="s">
        <v>36</v>
      </c>
      <c r="N28" s="328"/>
      <c r="O28" s="203"/>
      <c r="P28" s="327" t="s">
        <v>93</v>
      </c>
      <c r="Q28" s="328"/>
      <c r="R28" s="203"/>
      <c r="S28" s="327" t="s">
        <v>94</v>
      </c>
      <c r="T28" s="328"/>
    </row>
    <row r="29" spans="1:20" x14ac:dyDescent="0.25">
      <c r="A29" s="262" t="s">
        <v>28</v>
      </c>
      <c r="B29" s="263">
        <v>255</v>
      </c>
      <c r="C29" s="203"/>
      <c r="D29" s="223" t="s">
        <v>28</v>
      </c>
      <c r="E29" s="235">
        <v>139</v>
      </c>
      <c r="F29" s="203"/>
      <c r="G29" s="223" t="s">
        <v>28</v>
      </c>
      <c r="H29" s="235">
        <v>60</v>
      </c>
      <c r="I29" s="203"/>
      <c r="J29" s="223" t="s">
        <v>28</v>
      </c>
      <c r="K29" s="235">
        <v>10</v>
      </c>
      <c r="L29" s="203"/>
      <c r="M29" s="223" t="s">
        <v>28</v>
      </c>
      <c r="N29" s="235">
        <v>11</v>
      </c>
      <c r="O29" s="203"/>
      <c r="P29" s="223" t="s">
        <v>28</v>
      </c>
      <c r="Q29" s="235">
        <v>24</v>
      </c>
      <c r="R29" s="203"/>
      <c r="S29" s="223" t="s">
        <v>28</v>
      </c>
      <c r="T29" s="235">
        <v>11</v>
      </c>
    </row>
    <row r="30" spans="1:20" x14ac:dyDescent="0.25">
      <c r="A30" s="262" t="s">
        <v>30</v>
      </c>
      <c r="B30" s="251">
        <v>0</v>
      </c>
      <c r="C30" s="203"/>
      <c r="D30" s="223" t="s">
        <v>30</v>
      </c>
      <c r="E30" s="237">
        <v>0</v>
      </c>
      <c r="F30" s="203"/>
      <c r="G30" s="223" t="s">
        <v>30</v>
      </c>
      <c r="H30" s="237">
        <v>0</v>
      </c>
      <c r="I30" s="203"/>
      <c r="J30" s="223" t="s">
        <v>30</v>
      </c>
      <c r="K30" s="235">
        <v>0</v>
      </c>
      <c r="L30" s="203"/>
      <c r="M30" s="223" t="s">
        <v>30</v>
      </c>
      <c r="N30" s="235">
        <v>0</v>
      </c>
      <c r="O30" s="203"/>
      <c r="P30" s="223" t="s">
        <v>30</v>
      </c>
      <c r="Q30" s="235">
        <v>0</v>
      </c>
      <c r="R30" s="203"/>
      <c r="S30" s="223" t="s">
        <v>30</v>
      </c>
      <c r="T30" s="235">
        <v>0</v>
      </c>
    </row>
    <row r="31" spans="1:20" x14ac:dyDescent="0.25">
      <c r="A31" s="264" t="s">
        <v>125</v>
      </c>
      <c r="B31" s="265">
        <v>255</v>
      </c>
      <c r="C31" s="203"/>
      <c r="D31" s="266" t="s">
        <v>125</v>
      </c>
      <c r="E31" s="267">
        <v>139</v>
      </c>
      <c r="F31" s="203"/>
      <c r="G31" s="266" t="s">
        <v>125</v>
      </c>
      <c r="H31" s="267">
        <v>60</v>
      </c>
      <c r="I31" s="203"/>
      <c r="J31" s="266" t="s">
        <v>125</v>
      </c>
      <c r="K31" s="267">
        <v>10</v>
      </c>
      <c r="L31" s="203"/>
      <c r="M31" s="266" t="s">
        <v>125</v>
      </c>
      <c r="N31" s="267">
        <v>11</v>
      </c>
      <c r="O31" s="203"/>
      <c r="P31" s="266" t="s">
        <v>125</v>
      </c>
      <c r="Q31" s="267">
        <v>24</v>
      </c>
      <c r="R31" s="203"/>
      <c r="S31" s="266" t="s">
        <v>125</v>
      </c>
      <c r="T31" s="267">
        <v>11</v>
      </c>
    </row>
    <row r="32" spans="1:20" x14ac:dyDescent="0.25">
      <c r="A32" s="262" t="s">
        <v>4</v>
      </c>
      <c r="B32" s="268">
        <v>41</v>
      </c>
      <c r="C32" s="203"/>
      <c r="D32" s="223" t="s">
        <v>4</v>
      </c>
      <c r="E32" s="269">
        <v>26</v>
      </c>
      <c r="F32" s="203"/>
      <c r="G32" s="223" t="s">
        <v>4</v>
      </c>
      <c r="H32" s="270">
        <v>9</v>
      </c>
      <c r="I32" s="203"/>
      <c r="J32" s="223" t="s">
        <v>4</v>
      </c>
      <c r="K32" s="271">
        <v>2</v>
      </c>
      <c r="L32" s="203"/>
      <c r="M32" s="223" t="s">
        <v>4</v>
      </c>
      <c r="N32" s="272">
        <v>1</v>
      </c>
      <c r="O32" s="203"/>
      <c r="P32" s="223" t="s">
        <v>4</v>
      </c>
      <c r="Q32" s="272">
        <v>2</v>
      </c>
      <c r="R32" s="203"/>
      <c r="S32" s="223" t="s">
        <v>4</v>
      </c>
      <c r="T32" s="272">
        <v>1</v>
      </c>
    </row>
    <row r="33" spans="1:20" x14ac:dyDescent="0.25">
      <c r="A33" s="262" t="s">
        <v>5</v>
      </c>
      <c r="B33" s="273">
        <v>16.100000000000001</v>
      </c>
      <c r="C33" s="203"/>
      <c r="D33" s="223" t="s">
        <v>5</v>
      </c>
      <c r="E33" s="261">
        <v>18.7</v>
      </c>
      <c r="F33" s="203"/>
      <c r="G33" s="223" t="s">
        <v>5</v>
      </c>
      <c r="H33" s="244">
        <v>15</v>
      </c>
      <c r="I33" s="203"/>
      <c r="J33" s="223" t="s">
        <v>5</v>
      </c>
      <c r="K33" s="244">
        <v>20</v>
      </c>
      <c r="L33" s="203"/>
      <c r="M33" s="223" t="s">
        <v>5</v>
      </c>
      <c r="N33" s="244">
        <v>9.1</v>
      </c>
      <c r="O33" s="203"/>
      <c r="P33" s="223" t="s">
        <v>5</v>
      </c>
      <c r="Q33" s="244">
        <v>8.3000000000000007</v>
      </c>
      <c r="R33" s="203"/>
      <c r="S33" s="223" t="s">
        <v>5</v>
      </c>
      <c r="T33" s="244">
        <v>9.1</v>
      </c>
    </row>
    <row r="34" spans="1:20" x14ac:dyDescent="0.25">
      <c r="A34" s="203"/>
      <c r="B34" s="203"/>
      <c r="C34" s="203"/>
      <c r="D34" s="203"/>
      <c r="E34" s="203"/>
      <c r="F34" s="246" t="s">
        <v>269</v>
      </c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</row>
    <row r="35" spans="1:20" x14ac:dyDescent="0.25">
      <c r="A35" s="327" t="s">
        <v>77</v>
      </c>
      <c r="B35" s="328"/>
      <c r="C35" s="203"/>
      <c r="D35" s="327" t="s">
        <v>48</v>
      </c>
      <c r="E35" s="328"/>
      <c r="F35" s="203"/>
      <c r="G35" s="327" t="s">
        <v>49</v>
      </c>
      <c r="H35" s="328"/>
      <c r="I35" s="203"/>
      <c r="J35" s="327" t="s">
        <v>108</v>
      </c>
      <c r="K35" s="328"/>
      <c r="L35" s="203"/>
      <c r="M35" s="327" t="s">
        <v>51</v>
      </c>
      <c r="N35" s="328"/>
      <c r="O35" s="203"/>
      <c r="P35" s="327" t="s">
        <v>98</v>
      </c>
      <c r="Q35" s="328"/>
      <c r="R35" s="203"/>
      <c r="S35" s="327" t="s">
        <v>97</v>
      </c>
      <c r="T35" s="328"/>
    </row>
    <row r="36" spans="1:20" x14ac:dyDescent="0.25">
      <c r="A36" s="266" t="s">
        <v>28</v>
      </c>
      <c r="B36" s="267">
        <v>42</v>
      </c>
      <c r="C36" s="203"/>
      <c r="D36" s="265" t="s">
        <v>28</v>
      </c>
      <c r="E36" s="274">
        <v>25</v>
      </c>
      <c r="F36" s="203"/>
      <c r="G36" s="266" t="s">
        <v>28</v>
      </c>
      <c r="H36" s="267">
        <v>7</v>
      </c>
      <c r="I36" s="203"/>
      <c r="J36" s="266" t="s">
        <v>28</v>
      </c>
      <c r="K36" s="267">
        <v>2</v>
      </c>
      <c r="L36" s="203"/>
      <c r="M36" s="266" t="s">
        <v>28</v>
      </c>
      <c r="N36" s="267">
        <v>1</v>
      </c>
      <c r="O36" s="203"/>
      <c r="P36" s="266" t="s">
        <v>28</v>
      </c>
      <c r="Q36" s="267">
        <v>5</v>
      </c>
      <c r="R36" s="203"/>
      <c r="S36" s="265" t="s">
        <v>28</v>
      </c>
      <c r="T36" s="274">
        <v>2</v>
      </c>
    </row>
    <row r="37" spans="1:20" x14ac:dyDescent="0.25">
      <c r="A37" s="223" t="s">
        <v>78</v>
      </c>
      <c r="B37" s="272">
        <v>2</v>
      </c>
      <c r="C37" s="203"/>
      <c r="D37" s="251" t="s">
        <v>136</v>
      </c>
      <c r="E37" s="275">
        <v>2</v>
      </c>
      <c r="F37" s="203"/>
      <c r="G37" s="223" t="s">
        <v>4</v>
      </c>
      <c r="H37" s="272">
        <v>0</v>
      </c>
      <c r="I37" s="203"/>
      <c r="J37" s="223" t="s">
        <v>4</v>
      </c>
      <c r="K37" s="271">
        <v>0</v>
      </c>
      <c r="L37" s="203"/>
      <c r="M37" s="223" t="s">
        <v>4</v>
      </c>
      <c r="N37" s="271">
        <v>0</v>
      </c>
      <c r="O37" s="203"/>
      <c r="P37" s="223" t="s">
        <v>4</v>
      </c>
      <c r="Q37" s="271">
        <v>0</v>
      </c>
      <c r="R37" s="203"/>
      <c r="S37" s="223" t="s">
        <v>4</v>
      </c>
      <c r="T37" s="271">
        <v>0</v>
      </c>
    </row>
    <row r="38" spans="1:20" x14ac:dyDescent="0.25">
      <c r="A38" s="223" t="s">
        <v>5</v>
      </c>
      <c r="B38" s="257">
        <v>4.8</v>
      </c>
      <c r="C38" s="203"/>
      <c r="D38" s="251" t="s">
        <v>5</v>
      </c>
      <c r="E38" s="276">
        <v>8</v>
      </c>
      <c r="F38" s="203"/>
      <c r="G38" s="223" t="s">
        <v>5</v>
      </c>
      <c r="H38" s="261">
        <v>0</v>
      </c>
      <c r="I38" s="203"/>
      <c r="J38" s="223" t="s">
        <v>5</v>
      </c>
      <c r="K38" s="261">
        <v>0</v>
      </c>
      <c r="L38" s="203"/>
      <c r="M38" s="223" t="s">
        <v>5</v>
      </c>
      <c r="N38" s="261">
        <v>0</v>
      </c>
      <c r="O38" s="203"/>
      <c r="P38" s="223" t="s">
        <v>5</v>
      </c>
      <c r="Q38" s="261">
        <v>0</v>
      </c>
      <c r="R38" s="203"/>
      <c r="S38" s="223" t="s">
        <v>5</v>
      </c>
      <c r="T38" s="261">
        <v>0</v>
      </c>
    </row>
    <row r="39" spans="1:20" x14ac:dyDescent="0.25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</row>
    <row r="40" spans="1:20" x14ac:dyDescent="0.25">
      <c r="A40" s="327" t="s">
        <v>116</v>
      </c>
      <c r="B40" s="328"/>
      <c r="C40" s="203"/>
      <c r="D40" s="327" t="s">
        <v>117</v>
      </c>
      <c r="E40" s="328"/>
      <c r="F40" s="203"/>
      <c r="G40" s="327" t="s">
        <v>118</v>
      </c>
      <c r="H40" s="328"/>
      <c r="I40" s="203"/>
      <c r="J40" s="327" t="s">
        <v>119</v>
      </c>
      <c r="K40" s="328"/>
      <c r="L40" s="203"/>
      <c r="M40" s="327" t="s">
        <v>120</v>
      </c>
      <c r="N40" s="328"/>
      <c r="O40" s="203"/>
      <c r="P40" s="327" t="s">
        <v>127</v>
      </c>
      <c r="Q40" s="328"/>
      <c r="R40" s="203"/>
      <c r="S40" s="327" t="s">
        <v>128</v>
      </c>
      <c r="T40" s="328"/>
    </row>
    <row r="41" spans="1:20" x14ac:dyDescent="0.25">
      <c r="A41" s="265" t="s">
        <v>28</v>
      </c>
      <c r="B41" s="274">
        <v>47</v>
      </c>
      <c r="C41" s="203"/>
      <c r="D41" s="266" t="s">
        <v>28</v>
      </c>
      <c r="E41" s="267">
        <v>22</v>
      </c>
      <c r="F41" s="203"/>
      <c r="G41" s="266" t="s">
        <v>28</v>
      </c>
      <c r="H41" s="267">
        <v>8</v>
      </c>
      <c r="I41" s="203"/>
      <c r="J41" s="266" t="s">
        <v>28</v>
      </c>
      <c r="K41" s="267">
        <v>1</v>
      </c>
      <c r="L41" s="203"/>
      <c r="M41" s="266" t="s">
        <v>28</v>
      </c>
      <c r="N41" s="267">
        <v>4</v>
      </c>
      <c r="O41" s="203"/>
      <c r="P41" s="266" t="s">
        <v>28</v>
      </c>
      <c r="Q41" s="267">
        <v>9</v>
      </c>
      <c r="R41" s="203"/>
      <c r="S41" s="265" t="s">
        <v>28</v>
      </c>
      <c r="T41" s="274">
        <v>3</v>
      </c>
    </row>
    <row r="42" spans="1:20" x14ac:dyDescent="0.25">
      <c r="A42" s="251" t="s">
        <v>121</v>
      </c>
      <c r="B42" s="275">
        <v>3</v>
      </c>
      <c r="C42" s="203"/>
      <c r="D42" s="223" t="s">
        <v>4</v>
      </c>
      <c r="E42" s="272">
        <v>1</v>
      </c>
      <c r="F42" s="203"/>
      <c r="G42" s="223" t="s">
        <v>4</v>
      </c>
      <c r="H42" s="272">
        <v>1</v>
      </c>
      <c r="I42" s="203"/>
      <c r="J42" s="223" t="s">
        <v>4</v>
      </c>
      <c r="K42" s="271">
        <v>0</v>
      </c>
      <c r="L42" s="203"/>
      <c r="M42" s="223" t="s">
        <v>4</v>
      </c>
      <c r="N42" s="271">
        <v>1</v>
      </c>
      <c r="O42" s="203"/>
      <c r="P42" s="223" t="s">
        <v>4</v>
      </c>
      <c r="Q42" s="271">
        <v>0</v>
      </c>
      <c r="R42" s="203"/>
      <c r="S42" s="223" t="s">
        <v>4</v>
      </c>
      <c r="T42" s="271">
        <v>0</v>
      </c>
    </row>
    <row r="43" spans="1:20" x14ac:dyDescent="0.25">
      <c r="A43" s="251" t="s">
        <v>5</v>
      </c>
      <c r="B43" s="276">
        <v>6.4</v>
      </c>
      <c r="C43" s="203"/>
      <c r="D43" s="223" t="s">
        <v>5</v>
      </c>
      <c r="E43" s="257">
        <v>4.5</v>
      </c>
      <c r="F43" s="203"/>
      <c r="G43" s="223" t="s">
        <v>5</v>
      </c>
      <c r="H43" s="261">
        <v>12.5</v>
      </c>
      <c r="I43" s="203"/>
      <c r="J43" s="223" t="s">
        <v>5</v>
      </c>
      <c r="K43" s="261">
        <v>0</v>
      </c>
      <c r="L43" s="203"/>
      <c r="M43" s="223" t="s">
        <v>5</v>
      </c>
      <c r="N43" s="261">
        <v>25</v>
      </c>
      <c r="O43" s="203"/>
      <c r="P43" s="223" t="s">
        <v>5</v>
      </c>
      <c r="Q43" s="261">
        <v>0</v>
      </c>
      <c r="R43" s="203"/>
      <c r="S43" s="223" t="s">
        <v>5</v>
      </c>
      <c r="T43" s="261">
        <v>0</v>
      </c>
    </row>
    <row r="44" spans="1:20" x14ac:dyDescent="0.25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46" t="s">
        <v>269</v>
      </c>
      <c r="R44" s="203"/>
      <c r="S44" s="203"/>
      <c r="T44" s="203"/>
    </row>
    <row r="45" spans="1:20" x14ac:dyDescent="0.25">
      <c r="A45" s="259" t="s">
        <v>124</v>
      </c>
      <c r="B45" s="198">
        <v>89</v>
      </c>
      <c r="C45" s="203"/>
      <c r="D45" s="203"/>
      <c r="E45" s="203"/>
      <c r="F45" s="203"/>
      <c r="G45" s="259" t="s">
        <v>123</v>
      </c>
      <c r="H45" s="198">
        <v>344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</row>
    <row r="46" spans="1:20" x14ac:dyDescent="0.25">
      <c r="A46" s="251" t="s">
        <v>44</v>
      </c>
      <c r="B46" s="274">
        <v>5</v>
      </c>
      <c r="C46" s="203"/>
      <c r="D46" s="203"/>
      <c r="E46" s="203"/>
      <c r="F46" s="203"/>
      <c r="G46" s="251" t="s">
        <v>44</v>
      </c>
      <c r="H46" s="274">
        <v>51</v>
      </c>
      <c r="I46" s="246" t="s">
        <v>269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</row>
    <row r="47" spans="1:20" x14ac:dyDescent="0.25">
      <c r="A47" s="260" t="s">
        <v>132</v>
      </c>
      <c r="B47" s="257">
        <v>5.6</v>
      </c>
      <c r="C47" s="203"/>
      <c r="D47" s="203"/>
      <c r="E47" s="203"/>
      <c r="F47" s="203"/>
      <c r="G47" s="277" t="s">
        <v>11</v>
      </c>
      <c r="H47" s="257">
        <v>14.8</v>
      </c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</row>
    <row r="48" spans="1:20" x14ac:dyDescent="0.25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</row>
    <row r="49" spans="1:20" x14ac:dyDescent="0.25">
      <c r="A49" s="329" t="s">
        <v>58</v>
      </c>
      <c r="B49" s="329"/>
      <c r="C49" s="203"/>
      <c r="D49" s="329" t="s">
        <v>239</v>
      </c>
      <c r="E49" s="329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</row>
    <row r="50" spans="1:20" x14ac:dyDescent="0.25">
      <c r="A50" s="278" t="s">
        <v>28</v>
      </c>
      <c r="B50" s="279">
        <v>33</v>
      </c>
      <c r="C50" s="203"/>
      <c r="D50" s="278" t="s">
        <v>28</v>
      </c>
      <c r="E50" s="279">
        <v>16</v>
      </c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</row>
    <row r="51" spans="1:20" x14ac:dyDescent="0.25">
      <c r="A51" s="223" t="s">
        <v>228</v>
      </c>
      <c r="B51" s="272">
        <v>0</v>
      </c>
      <c r="C51" s="203"/>
      <c r="D51" s="223" t="s">
        <v>238</v>
      </c>
      <c r="E51" s="272">
        <v>1</v>
      </c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</row>
    <row r="52" spans="1:20" x14ac:dyDescent="0.25">
      <c r="A52" s="223" t="s">
        <v>5</v>
      </c>
      <c r="B52" s="257">
        <v>0</v>
      </c>
      <c r="C52" s="203"/>
      <c r="D52" s="223" t="s">
        <v>5</v>
      </c>
      <c r="E52" s="257">
        <v>6.3</v>
      </c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</row>
    <row r="53" spans="1:20" x14ac:dyDescent="0.25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</row>
    <row r="54" spans="1:20" x14ac:dyDescent="0.25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</row>
    <row r="55" spans="1:20" x14ac:dyDescent="0.25">
      <c r="A55" s="330" t="s">
        <v>208</v>
      </c>
      <c r="B55" s="331"/>
      <c r="C55" s="331"/>
      <c r="D55" s="331"/>
      <c r="E55" s="331"/>
      <c r="F55" s="331"/>
      <c r="G55" s="331"/>
      <c r="H55" s="331"/>
      <c r="I55" s="331"/>
      <c r="J55" s="332"/>
      <c r="K55" s="203"/>
      <c r="L55" s="203"/>
      <c r="M55" s="203"/>
      <c r="N55" s="203"/>
      <c r="O55" s="203"/>
      <c r="P55" s="203"/>
      <c r="Q55" s="203"/>
      <c r="R55" s="203"/>
      <c r="S55" s="203"/>
      <c r="T55" s="203"/>
    </row>
    <row r="56" spans="1:20" ht="15" customHeight="1" x14ac:dyDescent="0.25">
      <c r="A56" s="323" t="s">
        <v>270</v>
      </c>
      <c r="B56" s="324"/>
      <c r="C56" s="326"/>
      <c r="D56" s="324" t="s">
        <v>271</v>
      </c>
      <c r="E56" s="324"/>
      <c r="F56" s="326"/>
      <c r="G56" s="333" t="s">
        <v>272</v>
      </c>
      <c r="H56" s="333"/>
      <c r="I56" s="333"/>
      <c r="J56" s="334"/>
      <c r="K56" s="203"/>
      <c r="L56" s="203"/>
      <c r="M56" s="203"/>
      <c r="N56" s="203"/>
      <c r="O56" s="203"/>
      <c r="P56" s="203"/>
      <c r="Q56" s="203"/>
      <c r="R56" s="203"/>
      <c r="S56" s="203"/>
      <c r="T56" s="203"/>
    </row>
    <row r="57" spans="1:20" x14ac:dyDescent="0.25">
      <c r="A57" s="323" t="s">
        <v>273</v>
      </c>
      <c r="B57" s="324"/>
      <c r="C57" s="326"/>
      <c r="D57" s="324" t="s">
        <v>274</v>
      </c>
      <c r="E57" s="324"/>
      <c r="F57" s="326"/>
      <c r="G57" s="324" t="s">
        <v>275</v>
      </c>
      <c r="H57" s="324"/>
      <c r="I57" s="324"/>
      <c r="J57" s="325"/>
      <c r="K57" s="203"/>
      <c r="L57" s="203"/>
      <c r="M57" s="203"/>
      <c r="N57" s="203"/>
      <c r="O57" s="203"/>
      <c r="P57" s="203"/>
      <c r="Q57" s="203"/>
      <c r="R57" s="203"/>
      <c r="S57" s="203"/>
      <c r="T57" s="203"/>
    </row>
    <row r="58" spans="1:20" x14ac:dyDescent="0.25">
      <c r="A58" s="323" t="s">
        <v>276</v>
      </c>
      <c r="B58" s="324"/>
      <c r="C58" s="326"/>
      <c r="D58" s="324" t="s">
        <v>146</v>
      </c>
      <c r="E58" s="324"/>
      <c r="F58" s="326"/>
      <c r="G58" s="324" t="s">
        <v>166</v>
      </c>
      <c r="H58" s="324"/>
      <c r="I58" s="324"/>
      <c r="J58" s="325"/>
      <c r="K58" s="203"/>
      <c r="L58" s="203"/>
      <c r="M58" s="203"/>
      <c r="N58" s="203"/>
      <c r="O58" s="203"/>
      <c r="P58" s="203"/>
      <c r="Q58" s="203"/>
      <c r="R58" s="203"/>
      <c r="S58" s="203"/>
      <c r="T58" s="203"/>
    </row>
    <row r="59" spans="1:20" x14ac:dyDescent="0.25">
      <c r="A59" s="323" t="s">
        <v>277</v>
      </c>
      <c r="B59" s="324"/>
      <c r="C59" s="325"/>
      <c r="D59" s="324" t="s">
        <v>260</v>
      </c>
      <c r="E59" s="324"/>
      <c r="F59" s="325"/>
      <c r="G59" s="324" t="s">
        <v>166</v>
      </c>
      <c r="H59" s="324"/>
      <c r="I59" s="324"/>
      <c r="J59" s="325"/>
      <c r="K59" s="203"/>
      <c r="L59" s="203"/>
      <c r="M59" s="203"/>
      <c r="N59" s="203"/>
      <c r="O59" s="203"/>
      <c r="P59" s="203"/>
      <c r="Q59" s="203"/>
      <c r="R59" s="203"/>
      <c r="S59" s="203"/>
      <c r="T59" s="203"/>
    </row>
    <row r="60" spans="1:20" x14ac:dyDescent="0.25">
      <c r="A60" s="323" t="s">
        <v>278</v>
      </c>
      <c r="B60" s="324"/>
      <c r="C60" s="325"/>
      <c r="D60" s="324" t="s">
        <v>279</v>
      </c>
      <c r="E60" s="324"/>
      <c r="F60" s="325"/>
      <c r="G60" s="324" t="s">
        <v>166</v>
      </c>
      <c r="H60" s="324"/>
      <c r="I60" s="324"/>
      <c r="J60" s="325"/>
      <c r="K60" s="203"/>
      <c r="L60" s="203"/>
      <c r="M60" s="203"/>
      <c r="N60" s="203"/>
      <c r="O60" s="203"/>
      <c r="P60" s="203"/>
      <c r="Q60" s="203"/>
      <c r="R60" s="203"/>
      <c r="S60" s="203"/>
      <c r="T60" s="203"/>
    </row>
    <row r="61" spans="1:20" x14ac:dyDescent="0.25">
      <c r="A61" s="323" t="s">
        <v>269</v>
      </c>
      <c r="B61" s="324"/>
      <c r="C61" s="325"/>
      <c r="D61" s="324" t="s">
        <v>269</v>
      </c>
      <c r="E61" s="324"/>
      <c r="F61" s="325"/>
      <c r="G61" s="324" t="s">
        <v>269</v>
      </c>
      <c r="H61" s="324"/>
      <c r="I61" s="324"/>
      <c r="J61" s="325"/>
      <c r="K61" s="203"/>
      <c r="L61" s="203"/>
      <c r="M61" s="203"/>
      <c r="N61" s="203"/>
      <c r="O61" s="203"/>
      <c r="P61" s="203"/>
      <c r="Q61" s="203"/>
      <c r="R61" s="203"/>
      <c r="S61" s="203"/>
      <c r="T61" s="203"/>
    </row>
    <row r="62" spans="1:20" x14ac:dyDescent="0.25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</row>
  </sheetData>
  <mergeCells count="58">
    <mergeCell ref="A1:B1"/>
    <mergeCell ref="D1:E1"/>
    <mergeCell ref="A10:B10"/>
    <mergeCell ref="D10:E10"/>
    <mergeCell ref="G10:H10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S40:T40"/>
    <mergeCell ref="A49:B49"/>
    <mergeCell ref="D49:E49"/>
    <mergeCell ref="A55:J55"/>
    <mergeCell ref="A56:C56"/>
    <mergeCell ref="D56:F56"/>
    <mergeCell ref="G56:J56"/>
    <mergeCell ref="A40:B40"/>
    <mergeCell ref="D40:E40"/>
    <mergeCell ref="G40:H40"/>
    <mergeCell ref="J40:K40"/>
    <mergeCell ref="M40:N40"/>
    <mergeCell ref="P40:Q40"/>
    <mergeCell ref="A57:C57"/>
    <mergeCell ref="D57:F57"/>
    <mergeCell ref="G57:J57"/>
    <mergeCell ref="A58:C58"/>
    <mergeCell ref="D58:F58"/>
    <mergeCell ref="G58:J58"/>
    <mergeCell ref="A61:C61"/>
    <mergeCell ref="D61:F61"/>
    <mergeCell ref="G61:J61"/>
    <mergeCell ref="A59:C59"/>
    <mergeCell ref="D59:F59"/>
    <mergeCell ref="G59:J59"/>
    <mergeCell ref="A60:C60"/>
    <mergeCell ref="D60:F60"/>
    <mergeCell ref="G60:J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AC43-7271-4F9C-B60B-C69099AD72AB}">
  <dimension ref="A1:T53"/>
  <sheetViews>
    <sheetView tabSelected="1" workbookViewId="0">
      <selection activeCell="C2" sqref="C2"/>
    </sheetView>
  </sheetViews>
  <sheetFormatPr baseColWidth="10" defaultRowHeight="15" x14ac:dyDescent="0.25"/>
  <sheetData>
    <row r="1" spans="1:20" ht="33.75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280" t="s">
        <v>29</v>
      </c>
      <c r="B2" s="129">
        <v>594</v>
      </c>
      <c r="C2" s="127"/>
      <c r="D2" s="127"/>
      <c r="E2" s="127"/>
      <c r="F2" s="127"/>
      <c r="G2" s="127"/>
      <c r="H2" s="127"/>
    </row>
    <row r="3" spans="1:20" x14ac:dyDescent="0.25">
      <c r="A3" s="280" t="s">
        <v>30</v>
      </c>
      <c r="B3" s="189">
        <v>0</v>
      </c>
      <c r="C3" s="127"/>
      <c r="D3" s="127"/>
      <c r="E3" s="281"/>
      <c r="F3" s="281"/>
      <c r="G3" s="281"/>
      <c r="H3" s="127"/>
    </row>
    <row r="4" spans="1:20" x14ac:dyDescent="0.25">
      <c r="A4" s="280" t="s">
        <v>3</v>
      </c>
      <c r="B4" s="132">
        <f>B2+B3</f>
        <v>594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282" t="s">
        <v>42</v>
      </c>
      <c r="B6" s="135">
        <v>61</v>
      </c>
      <c r="C6" s="127"/>
      <c r="D6" s="282" t="s">
        <v>43</v>
      </c>
      <c r="E6" s="136">
        <v>0</v>
      </c>
      <c r="F6" s="281"/>
      <c r="G6" s="280" t="s">
        <v>44</v>
      </c>
      <c r="H6" s="136">
        <f>SUM(B6+E6)</f>
        <v>61</v>
      </c>
    </row>
    <row r="7" spans="1:20" x14ac:dyDescent="0.25">
      <c r="A7" s="281"/>
      <c r="B7" s="137"/>
      <c r="C7" s="127"/>
      <c r="D7" s="281"/>
      <c r="E7" s="281"/>
      <c r="F7" s="127"/>
      <c r="G7" s="280" t="s">
        <v>5</v>
      </c>
      <c r="H7" s="138">
        <f>H6/B4*100</f>
        <v>10.26936026936027</v>
      </c>
    </row>
    <row r="10" spans="1:20" x14ac:dyDescent="0.25">
      <c r="A10" s="317" t="s">
        <v>65</v>
      </c>
      <c r="B10" s="318"/>
      <c r="C10" s="127"/>
      <c r="D10" s="321" t="s">
        <v>24</v>
      </c>
      <c r="E10" s="322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280" t="s">
        <v>28</v>
      </c>
      <c r="B11" s="280">
        <v>85</v>
      </c>
      <c r="C11" s="127"/>
      <c r="D11" s="283" t="s">
        <v>29</v>
      </c>
      <c r="E11" s="283">
        <v>47</v>
      </c>
      <c r="F11" s="127"/>
      <c r="G11" s="283" t="s">
        <v>29</v>
      </c>
      <c r="H11" s="283">
        <v>20</v>
      </c>
      <c r="I11" s="127"/>
      <c r="J11" s="283" t="s">
        <v>29</v>
      </c>
      <c r="K11" s="283">
        <v>4</v>
      </c>
      <c r="L11" s="127"/>
      <c r="M11" s="283" t="s">
        <v>29</v>
      </c>
      <c r="N11" s="283">
        <v>2</v>
      </c>
      <c r="O11" s="127"/>
      <c r="P11" s="283" t="s">
        <v>29</v>
      </c>
      <c r="Q11" s="283">
        <v>9</v>
      </c>
      <c r="R11" s="127"/>
      <c r="S11" s="280" t="s">
        <v>29</v>
      </c>
      <c r="T11" s="280">
        <v>4</v>
      </c>
    </row>
    <row r="12" spans="1:20" x14ac:dyDescent="0.25">
      <c r="A12" s="280" t="s">
        <v>30</v>
      </c>
      <c r="B12" s="280">
        <v>0</v>
      </c>
      <c r="C12" s="127"/>
      <c r="D12" s="280" t="s">
        <v>30</v>
      </c>
      <c r="E12" s="284">
        <v>0</v>
      </c>
      <c r="F12" s="127"/>
      <c r="G12" s="280" t="s">
        <v>30</v>
      </c>
      <c r="H12" s="280">
        <v>0</v>
      </c>
      <c r="I12" s="127"/>
      <c r="J12" s="280" t="s">
        <v>30</v>
      </c>
      <c r="K12" s="280">
        <v>0</v>
      </c>
      <c r="L12" s="127"/>
      <c r="M12" s="280" t="s">
        <v>30</v>
      </c>
      <c r="N12" s="280">
        <v>0</v>
      </c>
      <c r="O12" s="127"/>
      <c r="P12" s="280" t="s">
        <v>30</v>
      </c>
      <c r="Q12" s="280">
        <v>0</v>
      </c>
      <c r="R12" s="127"/>
      <c r="S12" s="280" t="s">
        <v>30</v>
      </c>
      <c r="T12" s="280">
        <v>0</v>
      </c>
    </row>
    <row r="13" spans="1:20" x14ac:dyDescent="0.25">
      <c r="A13" s="285" t="s">
        <v>125</v>
      </c>
      <c r="B13" s="285">
        <v>85</v>
      </c>
      <c r="C13" s="127"/>
      <c r="D13" s="285" t="s">
        <v>125</v>
      </c>
      <c r="E13" s="285">
        <f>E11+E12</f>
        <v>47</v>
      </c>
      <c r="F13" s="127"/>
      <c r="G13" s="285" t="s">
        <v>125</v>
      </c>
      <c r="H13" s="285">
        <f>SUM(H11+H12)</f>
        <v>20</v>
      </c>
      <c r="I13" s="127"/>
      <c r="J13" s="285" t="s">
        <v>125</v>
      </c>
      <c r="K13" s="285">
        <v>4</v>
      </c>
      <c r="L13" s="127"/>
      <c r="M13" s="285" t="s">
        <v>125</v>
      </c>
      <c r="N13" s="285">
        <v>2</v>
      </c>
      <c r="O13" s="127"/>
      <c r="P13" s="285" t="s">
        <v>125</v>
      </c>
      <c r="Q13" s="285">
        <v>9</v>
      </c>
      <c r="R13" s="127"/>
      <c r="S13" s="285" t="s">
        <v>125</v>
      </c>
      <c r="T13" s="285">
        <v>6</v>
      </c>
    </row>
    <row r="14" spans="1:20" x14ac:dyDescent="0.25">
      <c r="A14" s="280" t="s">
        <v>66</v>
      </c>
      <c r="B14" s="286">
        <f>SUM(E14+H14+K14+N14+Q14+T14)</f>
        <v>9</v>
      </c>
      <c r="D14" s="280" t="s">
        <v>136</v>
      </c>
      <c r="E14" s="286">
        <v>7</v>
      </c>
      <c r="F14" s="127"/>
      <c r="G14" s="280" t="s">
        <v>136</v>
      </c>
      <c r="H14" s="286">
        <v>2</v>
      </c>
      <c r="I14" s="127"/>
      <c r="J14" s="280" t="s">
        <v>4</v>
      </c>
      <c r="K14" s="286">
        <v>0</v>
      </c>
      <c r="L14" s="127"/>
      <c r="M14" s="280" t="s">
        <v>136</v>
      </c>
      <c r="N14" s="286">
        <v>0</v>
      </c>
      <c r="O14" s="127"/>
      <c r="P14" s="280" t="s">
        <v>136</v>
      </c>
      <c r="Q14" s="286">
        <v>0</v>
      </c>
      <c r="R14" s="127"/>
      <c r="S14" s="280" t="s">
        <v>4</v>
      </c>
      <c r="T14" s="287">
        <v>0</v>
      </c>
    </row>
    <row r="15" spans="1:20" x14ac:dyDescent="0.25">
      <c r="A15" s="280" t="s">
        <v>5</v>
      </c>
      <c r="B15" s="143">
        <f>B14/B13*100</f>
        <v>10.588235294117647</v>
      </c>
      <c r="C15" s="127"/>
      <c r="D15" s="280" t="s">
        <v>5</v>
      </c>
      <c r="E15" s="143">
        <f>E14/E13*100</f>
        <v>14.893617021276595</v>
      </c>
      <c r="F15" s="127"/>
      <c r="G15" s="280" t="s">
        <v>5</v>
      </c>
      <c r="H15" s="143">
        <f>H14/H13*100</f>
        <v>10</v>
      </c>
      <c r="I15" s="127"/>
      <c r="J15" s="280" t="s">
        <v>5</v>
      </c>
      <c r="K15" s="144">
        <f>K14/K13*100</f>
        <v>0</v>
      </c>
      <c r="L15" s="127"/>
      <c r="M15" s="280" t="s">
        <v>5</v>
      </c>
      <c r="N15" s="144">
        <f>N14/N13*100</f>
        <v>0</v>
      </c>
      <c r="O15" s="127"/>
      <c r="P15" s="280" t="s">
        <v>5</v>
      </c>
      <c r="Q15" s="145">
        <f>Q14/Q13*100</f>
        <v>0</v>
      </c>
      <c r="R15" s="127"/>
      <c r="S15" s="280" t="s">
        <v>5</v>
      </c>
      <c r="T15" s="144">
        <f>T14/T13*100</f>
        <v>0</v>
      </c>
    </row>
    <row r="16" spans="1:20" x14ac:dyDescent="0.25">
      <c r="A16" s="281"/>
      <c r="B16" s="281"/>
      <c r="D16" s="281"/>
      <c r="E16" s="146"/>
      <c r="F16" s="127"/>
      <c r="G16" s="288"/>
      <c r="H16" s="146"/>
      <c r="I16" s="127"/>
      <c r="J16" s="288"/>
      <c r="K16" s="149"/>
      <c r="L16" s="147"/>
      <c r="M16" s="281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281"/>
      <c r="F17" s="127"/>
      <c r="G17" s="147"/>
      <c r="H17" s="147"/>
      <c r="I17" s="127"/>
      <c r="J17" s="147"/>
      <c r="K17" s="147"/>
      <c r="L17" s="147"/>
      <c r="M17" s="289"/>
      <c r="N17" s="127"/>
      <c r="O17" s="127"/>
      <c r="P17" s="127"/>
      <c r="Q17" s="127"/>
      <c r="R17" s="127"/>
      <c r="S17" s="127"/>
      <c r="T17" s="127"/>
    </row>
    <row r="18" spans="1:20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f>SUM(E19+H19+K19+N19+Q19+T19)</f>
        <v>49</v>
      </c>
      <c r="C19" s="147"/>
      <c r="D19" s="154" t="s">
        <v>29</v>
      </c>
      <c r="E19" s="154">
        <v>27</v>
      </c>
      <c r="F19" s="127"/>
      <c r="G19" s="154" t="s">
        <v>29</v>
      </c>
      <c r="H19" s="60">
        <v>8</v>
      </c>
      <c r="I19" s="127"/>
      <c r="J19" s="154" t="s">
        <v>29</v>
      </c>
      <c r="K19" s="154">
        <v>2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8</v>
      </c>
      <c r="R19" s="127"/>
      <c r="S19" s="154" t="s">
        <v>29</v>
      </c>
      <c r="T19" s="60">
        <v>2</v>
      </c>
    </row>
    <row r="20" spans="1:20" x14ac:dyDescent="0.25">
      <c r="A20" s="285" t="s">
        <v>125</v>
      </c>
      <c r="B20" s="290">
        <f>B19</f>
        <v>49</v>
      </c>
      <c r="C20" s="127"/>
      <c r="D20" s="285" t="s">
        <v>125</v>
      </c>
      <c r="E20" s="156">
        <v>29</v>
      </c>
      <c r="F20" s="127"/>
      <c r="G20" s="285" t="s">
        <v>125</v>
      </c>
      <c r="H20" s="156">
        <v>8</v>
      </c>
      <c r="I20" s="127"/>
      <c r="J20" s="285" t="s">
        <v>125</v>
      </c>
      <c r="K20" s="156">
        <v>2</v>
      </c>
      <c r="L20" s="127"/>
      <c r="M20" s="285" t="s">
        <v>125</v>
      </c>
      <c r="N20" s="156">
        <v>2</v>
      </c>
      <c r="O20" s="127"/>
      <c r="P20" s="285" t="s">
        <v>125</v>
      </c>
      <c r="Q20" s="156">
        <v>8</v>
      </c>
      <c r="R20" s="127"/>
      <c r="S20" s="290" t="s">
        <v>125</v>
      </c>
      <c r="T20" s="154">
        <v>2</v>
      </c>
    </row>
    <row r="21" spans="1:20" x14ac:dyDescent="0.25">
      <c r="A21" s="280" t="s">
        <v>72</v>
      </c>
      <c r="B21" s="286">
        <v>2</v>
      </c>
      <c r="C21" s="127"/>
      <c r="D21" s="280" t="s">
        <v>73</v>
      </c>
      <c r="E21" s="286">
        <v>1</v>
      </c>
      <c r="F21" s="127"/>
      <c r="G21" s="280" t="s">
        <v>74</v>
      </c>
      <c r="H21" s="285">
        <v>0</v>
      </c>
      <c r="I21" s="127"/>
      <c r="J21" s="280" t="s">
        <v>75</v>
      </c>
      <c r="K21" s="285">
        <v>0</v>
      </c>
      <c r="L21" s="127"/>
      <c r="M21" s="280" t="s">
        <v>76</v>
      </c>
      <c r="N21" s="285">
        <v>0</v>
      </c>
      <c r="O21" s="127"/>
      <c r="P21" s="280" t="s">
        <v>245</v>
      </c>
      <c r="Q21" s="287">
        <v>1</v>
      </c>
      <c r="R21" s="127"/>
      <c r="S21" s="291" t="s">
        <v>133</v>
      </c>
      <c r="T21" s="292">
        <v>0</v>
      </c>
    </row>
    <row r="22" spans="1:20" x14ac:dyDescent="0.25">
      <c r="A22" s="293" t="s">
        <v>5</v>
      </c>
      <c r="B22" s="145">
        <f>B21/B20*100</f>
        <v>4.0816326530612246</v>
      </c>
      <c r="C22" s="127"/>
      <c r="D22" s="280" t="s">
        <v>5</v>
      </c>
      <c r="E22" s="294">
        <f>E21/E20*100</f>
        <v>3.4482758620689653</v>
      </c>
      <c r="F22" s="127"/>
      <c r="G22" s="280" t="s">
        <v>5</v>
      </c>
      <c r="H22" s="145">
        <f>H21/H20*100</f>
        <v>0</v>
      </c>
      <c r="I22" s="127"/>
      <c r="J22" s="280" t="s">
        <v>5</v>
      </c>
      <c r="K22" s="145">
        <f>K21/K20*100</f>
        <v>0</v>
      </c>
      <c r="L22" s="127"/>
      <c r="M22" s="280" t="s">
        <v>5</v>
      </c>
      <c r="N22" s="145">
        <f>N21/N20*100</f>
        <v>0</v>
      </c>
      <c r="O22" s="127"/>
      <c r="P22" s="280" t="s">
        <v>5</v>
      </c>
      <c r="Q22" s="144">
        <f>Q21/Q20*100</f>
        <v>12.5</v>
      </c>
      <c r="R22" s="127"/>
      <c r="S22" s="283" t="s">
        <v>5</v>
      </c>
      <c r="T22" s="192">
        <f>T21/T20*100</f>
        <v>0</v>
      </c>
    </row>
    <row r="23" spans="1:20" x14ac:dyDescent="0.25">
      <c r="A23" s="288"/>
      <c r="B23" s="295"/>
      <c r="C23" s="127"/>
      <c r="D23" s="127"/>
      <c r="E23" s="127"/>
      <c r="F23" s="127"/>
      <c r="G23" s="281"/>
      <c r="H23" s="150"/>
      <c r="I23" s="127"/>
      <c r="J23" s="281"/>
      <c r="K23" s="150"/>
      <c r="L23" s="127"/>
      <c r="M23" s="281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134</v>
      </c>
      <c r="C24" s="127"/>
      <c r="D24" s="127"/>
      <c r="E24" s="127"/>
      <c r="F24" s="127"/>
      <c r="G24" s="281"/>
      <c r="H24" s="150"/>
      <c r="I24" s="127"/>
      <c r="J24" s="281"/>
      <c r="K24" s="150"/>
      <c r="L24" s="127"/>
      <c r="M24" s="281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11</v>
      </c>
      <c r="C25" s="127"/>
      <c r="D25" s="127"/>
      <c r="E25" s="127"/>
      <c r="F25" s="127"/>
      <c r="G25" s="281"/>
      <c r="H25" s="150"/>
      <c r="I25" s="127"/>
      <c r="J25" s="281"/>
      <c r="K25" s="150"/>
      <c r="L25" s="127"/>
      <c r="M25" s="281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8.2089552238805972</v>
      </c>
      <c r="C26" s="127"/>
      <c r="D26" s="127"/>
      <c r="E26" s="127"/>
      <c r="F26" s="127"/>
      <c r="G26" s="281"/>
      <c r="H26" s="196"/>
      <c r="I26" s="127"/>
      <c r="J26" s="281"/>
      <c r="K26" s="150"/>
      <c r="L26" s="127"/>
      <c r="M26" s="281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47"/>
      <c r="L27" s="127"/>
      <c r="M27" s="289"/>
      <c r="N27" s="127"/>
      <c r="O27" s="127"/>
      <c r="P27" s="127"/>
      <c r="Q27" s="127"/>
      <c r="R27" s="127"/>
      <c r="S27" s="127"/>
      <c r="T27" s="127"/>
    </row>
    <row r="28" spans="1:20" x14ac:dyDescent="0.25">
      <c r="A28" s="313" t="s">
        <v>137</v>
      </c>
      <c r="B28" s="314"/>
      <c r="C28" s="127"/>
      <c r="D28" s="313" t="s">
        <v>104</v>
      </c>
      <c r="E28" s="313"/>
      <c r="F28" s="127"/>
      <c r="G28" s="313" t="s">
        <v>105</v>
      </c>
      <c r="H28" s="314"/>
      <c r="I28" s="127"/>
      <c r="J28" s="313" t="s">
        <v>106</v>
      </c>
      <c r="K28" s="314"/>
      <c r="L28" s="127"/>
      <c r="M28" s="313" t="s">
        <v>36</v>
      </c>
      <c r="N28" s="314"/>
      <c r="O28" s="127"/>
      <c r="P28" s="313" t="s">
        <v>93</v>
      </c>
      <c r="Q28" s="314"/>
      <c r="R28" s="127"/>
      <c r="S28" s="313" t="s">
        <v>94</v>
      </c>
      <c r="T28" s="314"/>
    </row>
    <row r="29" spans="1:20" x14ac:dyDescent="0.25">
      <c r="A29" s="296" t="s">
        <v>28</v>
      </c>
      <c r="B29" s="297">
        <f>SUM(E29+H29+K29+N29+Q29+T29)</f>
        <v>245</v>
      </c>
      <c r="C29" s="127"/>
      <c r="D29" s="283" t="s">
        <v>28</v>
      </c>
      <c r="E29" s="283">
        <v>133</v>
      </c>
      <c r="F29" s="127"/>
      <c r="G29" s="283" t="s">
        <v>28</v>
      </c>
      <c r="H29" s="283">
        <v>59</v>
      </c>
      <c r="I29" s="127"/>
      <c r="J29" s="283" t="s">
        <v>28</v>
      </c>
      <c r="K29" s="283">
        <v>8</v>
      </c>
      <c r="L29" s="127"/>
      <c r="M29" s="283" t="s">
        <v>28</v>
      </c>
      <c r="N29" s="283">
        <v>12</v>
      </c>
      <c r="O29" s="127"/>
      <c r="P29" s="283" t="s">
        <v>28</v>
      </c>
      <c r="Q29" s="283">
        <v>23</v>
      </c>
      <c r="R29" s="127"/>
      <c r="S29" s="283" t="s">
        <v>28</v>
      </c>
      <c r="T29" s="283">
        <v>10</v>
      </c>
    </row>
    <row r="30" spans="1:20" x14ac:dyDescent="0.25">
      <c r="A30" s="298" t="s">
        <v>30</v>
      </c>
      <c r="B30" s="60">
        <v>1</v>
      </c>
      <c r="C30" s="127"/>
      <c r="D30" s="280" t="s">
        <v>30</v>
      </c>
      <c r="E30" s="284">
        <v>0</v>
      </c>
      <c r="F30" s="127"/>
      <c r="G30" s="280" t="s">
        <v>30</v>
      </c>
      <c r="H30" s="284">
        <v>0</v>
      </c>
      <c r="I30" s="127"/>
      <c r="J30" s="280" t="s">
        <v>30</v>
      </c>
      <c r="K30" s="280">
        <v>0</v>
      </c>
      <c r="L30" s="127"/>
      <c r="M30" s="280" t="s">
        <v>30</v>
      </c>
      <c r="N30" s="280">
        <v>0</v>
      </c>
      <c r="O30" s="127"/>
      <c r="P30" s="280" t="s">
        <v>30</v>
      </c>
      <c r="Q30" s="280">
        <v>0</v>
      </c>
      <c r="R30" s="127"/>
      <c r="S30" s="280" t="s">
        <v>30</v>
      </c>
      <c r="T30" s="280">
        <v>0</v>
      </c>
    </row>
    <row r="31" spans="1:20" x14ac:dyDescent="0.25">
      <c r="A31" s="299" t="s">
        <v>125</v>
      </c>
      <c r="B31" s="300">
        <f>SUM(B29+B30)</f>
        <v>246</v>
      </c>
      <c r="C31" s="127"/>
      <c r="D31" s="301" t="s">
        <v>125</v>
      </c>
      <c r="E31" s="301">
        <f>SUM(E29+E30)</f>
        <v>133</v>
      </c>
      <c r="F31" s="127"/>
      <c r="G31" s="301" t="s">
        <v>125</v>
      </c>
      <c r="H31" s="301">
        <v>59</v>
      </c>
      <c r="I31" s="127"/>
      <c r="J31" s="301" t="s">
        <v>125</v>
      </c>
      <c r="K31" s="301">
        <v>8</v>
      </c>
      <c r="L31" s="127"/>
      <c r="M31" s="301" t="s">
        <v>125</v>
      </c>
      <c r="N31" s="301">
        <v>12</v>
      </c>
      <c r="O31" s="127"/>
      <c r="P31" s="301" t="s">
        <v>125</v>
      </c>
      <c r="Q31" s="301">
        <v>23</v>
      </c>
      <c r="R31" s="127"/>
      <c r="S31" s="301" t="s">
        <v>125</v>
      </c>
      <c r="T31" s="301">
        <v>10</v>
      </c>
    </row>
    <row r="32" spans="1:20" x14ac:dyDescent="0.25">
      <c r="A32" s="298" t="s">
        <v>4</v>
      </c>
      <c r="B32" s="302">
        <f>SUM(E32+H32+K32+N32+Q32+T32)</f>
        <v>31</v>
      </c>
      <c r="C32" s="127"/>
      <c r="D32" s="280" t="s">
        <v>4</v>
      </c>
      <c r="E32" s="303">
        <v>20</v>
      </c>
      <c r="F32" s="127"/>
      <c r="G32" s="280" t="s">
        <v>4</v>
      </c>
      <c r="H32" s="304">
        <v>6</v>
      </c>
      <c r="I32" s="127"/>
      <c r="J32" s="280" t="s">
        <v>4</v>
      </c>
      <c r="K32" s="305">
        <v>1</v>
      </c>
      <c r="L32" s="127"/>
      <c r="M32" s="280" t="s">
        <v>4</v>
      </c>
      <c r="N32" s="306">
        <v>2</v>
      </c>
      <c r="O32" s="127"/>
      <c r="P32" s="280" t="s">
        <v>4</v>
      </c>
      <c r="Q32" s="306">
        <v>1</v>
      </c>
      <c r="R32" s="127"/>
      <c r="S32" s="280" t="s">
        <v>4</v>
      </c>
      <c r="T32" s="306">
        <v>1</v>
      </c>
    </row>
    <row r="33" spans="1:20" x14ac:dyDescent="0.25">
      <c r="A33" s="298" t="s">
        <v>5</v>
      </c>
      <c r="B33" s="220">
        <f>B32/B31*100</f>
        <v>12.601626016260163</v>
      </c>
      <c r="C33" s="127"/>
      <c r="D33" s="280" t="s">
        <v>5</v>
      </c>
      <c r="E33" s="162">
        <f>E32/E31*100</f>
        <v>15.037593984962406</v>
      </c>
      <c r="G33" s="280" t="s">
        <v>5</v>
      </c>
      <c r="H33" s="145">
        <f>H32/H31*100</f>
        <v>10.16949152542373</v>
      </c>
      <c r="I33" s="127"/>
      <c r="J33" s="280" t="s">
        <v>5</v>
      </c>
      <c r="K33" s="145">
        <f>K32/K31*100</f>
        <v>12.5</v>
      </c>
      <c r="M33" s="280" t="s">
        <v>5</v>
      </c>
      <c r="N33" s="145">
        <f>N32/N31*100</f>
        <v>16.666666666666664</v>
      </c>
      <c r="O33" s="127"/>
      <c r="P33" s="280" t="s">
        <v>5</v>
      </c>
      <c r="Q33" s="145">
        <f>Q32/Q31*100</f>
        <v>4.3478260869565215</v>
      </c>
      <c r="R33" s="127"/>
      <c r="S33" s="280" t="s">
        <v>5</v>
      </c>
      <c r="T33" s="145">
        <f>T32/T31*100</f>
        <v>10</v>
      </c>
    </row>
    <row r="34" spans="1:20" x14ac:dyDescent="0.25">
      <c r="A34" s="127"/>
      <c r="B34" s="127"/>
      <c r="D34" s="127"/>
      <c r="E34" s="127"/>
      <c r="F34" s="147"/>
      <c r="G34" s="127"/>
      <c r="H34" s="127"/>
      <c r="I34" s="127"/>
      <c r="J34" s="127"/>
      <c r="K34" s="127"/>
      <c r="L34" s="127"/>
      <c r="M34" s="127"/>
      <c r="N34" s="281"/>
      <c r="O34" s="127"/>
      <c r="P34" s="127"/>
      <c r="Q34" s="127"/>
      <c r="R34" s="127"/>
      <c r="S34" s="127"/>
      <c r="T34" s="127"/>
    </row>
    <row r="35" spans="1:20" x14ac:dyDescent="0.25">
      <c r="A35" s="313" t="s">
        <v>77</v>
      </c>
      <c r="B35" s="314"/>
      <c r="C35" s="127"/>
      <c r="D35" s="313" t="s">
        <v>48</v>
      </c>
      <c r="E35" s="313"/>
      <c r="G35" s="313" t="s">
        <v>49</v>
      </c>
      <c r="H35" s="314"/>
      <c r="I35" s="127"/>
      <c r="J35" s="313" t="s">
        <v>108</v>
      </c>
      <c r="K35" s="314"/>
      <c r="L35" s="127"/>
      <c r="M35" s="313" t="s">
        <v>51</v>
      </c>
      <c r="N35" s="314"/>
      <c r="O35" s="127"/>
      <c r="P35" s="313" t="s">
        <v>98</v>
      </c>
      <c r="Q35" s="314"/>
      <c r="R35" s="127"/>
      <c r="S35" s="313" t="s">
        <v>97</v>
      </c>
      <c r="T35" s="314"/>
    </row>
    <row r="36" spans="1:20" x14ac:dyDescent="0.25">
      <c r="A36" s="307" t="s">
        <v>28</v>
      </c>
      <c r="B36" s="307">
        <f>SUM(E36+H36+K36+N36+Q36+T36)</f>
        <v>39</v>
      </c>
      <c r="C36" s="281"/>
      <c r="D36" s="300" t="s">
        <v>28</v>
      </c>
      <c r="E36" s="300">
        <v>23</v>
      </c>
      <c r="F36" s="127"/>
      <c r="G36" s="307" t="s">
        <v>28</v>
      </c>
      <c r="H36" s="307">
        <v>6</v>
      </c>
      <c r="I36" s="127"/>
      <c r="J36" s="307" t="s">
        <v>28</v>
      </c>
      <c r="K36" s="307">
        <v>2</v>
      </c>
      <c r="L36" s="127"/>
      <c r="M36" s="307" t="s">
        <v>28</v>
      </c>
      <c r="N36" s="307">
        <v>1</v>
      </c>
      <c r="O36" s="127"/>
      <c r="P36" s="307" t="s">
        <v>28</v>
      </c>
      <c r="Q36" s="307">
        <v>5</v>
      </c>
      <c r="R36" s="127"/>
      <c r="S36" s="300" t="s">
        <v>28</v>
      </c>
      <c r="T36" s="300">
        <v>2</v>
      </c>
    </row>
    <row r="37" spans="1:20" x14ac:dyDescent="0.25">
      <c r="A37" s="280" t="s">
        <v>78</v>
      </c>
      <c r="B37" s="308">
        <v>1</v>
      </c>
      <c r="C37" s="127"/>
      <c r="D37" s="291" t="s">
        <v>136</v>
      </c>
      <c r="E37" s="309">
        <v>1</v>
      </c>
      <c r="F37" s="127"/>
      <c r="G37" s="280" t="s">
        <v>4</v>
      </c>
      <c r="H37" s="306">
        <v>0</v>
      </c>
      <c r="I37" s="127"/>
      <c r="J37" s="280" t="s">
        <v>4</v>
      </c>
      <c r="K37" s="305">
        <v>0</v>
      </c>
      <c r="L37" s="127"/>
      <c r="M37" s="280" t="s">
        <v>4</v>
      </c>
      <c r="N37" s="305">
        <v>0</v>
      </c>
      <c r="O37" s="127"/>
      <c r="P37" s="280" t="s">
        <v>4</v>
      </c>
      <c r="Q37" s="305">
        <v>0</v>
      </c>
      <c r="R37" s="127"/>
      <c r="S37" s="283" t="s">
        <v>4</v>
      </c>
      <c r="T37" s="310">
        <v>0</v>
      </c>
    </row>
    <row r="38" spans="1:20" x14ac:dyDescent="0.25">
      <c r="A38" s="280" t="s">
        <v>5</v>
      </c>
      <c r="B38" s="294">
        <f>B37/B36*100</f>
        <v>2.5641025641025639</v>
      </c>
      <c r="C38" s="127"/>
      <c r="D38" s="291" t="s">
        <v>5</v>
      </c>
      <c r="E38" s="311">
        <f>E37/E36*100</f>
        <v>4.3478260869565215</v>
      </c>
      <c r="F38" s="127"/>
      <c r="G38" s="280" t="s">
        <v>5</v>
      </c>
      <c r="H38" s="162">
        <f>H37/H36*100</f>
        <v>0</v>
      </c>
      <c r="I38" s="127"/>
      <c r="J38" s="280" t="s">
        <v>5</v>
      </c>
      <c r="K38" s="162">
        <f>K37/K36*100</f>
        <v>0</v>
      </c>
      <c r="L38" s="127"/>
      <c r="M38" s="280" t="s">
        <v>5</v>
      </c>
      <c r="N38" s="162">
        <f>N37/N36*100</f>
        <v>0</v>
      </c>
      <c r="O38" s="127"/>
      <c r="P38" s="280" t="s">
        <v>5</v>
      </c>
      <c r="Q38" s="162">
        <f>Q37/Q36*100</f>
        <v>0</v>
      </c>
      <c r="R38" s="127"/>
      <c r="S38" s="280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x14ac:dyDescent="0.25">
      <c r="A40" s="315" t="s">
        <v>116</v>
      </c>
      <c r="B40" s="316"/>
      <c r="C40" s="127"/>
      <c r="D40" s="313" t="s">
        <v>117</v>
      </c>
      <c r="E40" s="313"/>
      <c r="F40" s="127"/>
      <c r="G40" s="313" t="s">
        <v>118</v>
      </c>
      <c r="H40" s="314"/>
      <c r="I40" s="127"/>
      <c r="J40" s="313" t="s">
        <v>119</v>
      </c>
      <c r="K40" s="314"/>
      <c r="L40" s="127"/>
      <c r="M40" s="313" t="s">
        <v>120</v>
      </c>
      <c r="N40" s="314"/>
      <c r="O40" s="127"/>
      <c r="P40" s="313" t="s">
        <v>127</v>
      </c>
      <c r="Q40" s="314"/>
      <c r="R40" s="127"/>
      <c r="S40" s="313" t="s">
        <v>128</v>
      </c>
      <c r="T40" s="314"/>
    </row>
    <row r="41" spans="1:20" x14ac:dyDescent="0.25">
      <c r="A41" s="301" t="s">
        <v>28</v>
      </c>
      <c r="B41" s="301">
        <f>SUM(E41+H41+K41+N41+Q41+T41)</f>
        <v>49</v>
      </c>
      <c r="C41" s="127"/>
      <c r="D41" s="307" t="s">
        <v>28</v>
      </c>
      <c r="E41" s="307">
        <v>25</v>
      </c>
      <c r="F41" s="127"/>
      <c r="G41" s="307" t="s">
        <v>28</v>
      </c>
      <c r="H41" s="307">
        <v>7</v>
      </c>
      <c r="I41" s="127"/>
      <c r="J41" s="307" t="s">
        <v>28</v>
      </c>
      <c r="K41" s="307">
        <v>1</v>
      </c>
      <c r="L41" s="127"/>
      <c r="M41" s="307" t="s">
        <v>28</v>
      </c>
      <c r="N41" s="307">
        <v>3</v>
      </c>
      <c r="O41" s="127"/>
      <c r="P41" s="307" t="s">
        <v>28</v>
      </c>
      <c r="Q41" s="307">
        <v>9</v>
      </c>
      <c r="R41" s="127"/>
      <c r="S41" s="300" t="s">
        <v>28</v>
      </c>
      <c r="T41" s="300">
        <v>4</v>
      </c>
    </row>
    <row r="42" spans="1:20" x14ac:dyDescent="0.25">
      <c r="A42" s="280" t="s">
        <v>121</v>
      </c>
      <c r="B42" s="306">
        <v>2</v>
      </c>
      <c r="C42" s="127"/>
      <c r="D42" s="280" t="s">
        <v>4</v>
      </c>
      <c r="E42" s="306">
        <v>1</v>
      </c>
      <c r="F42" s="127"/>
      <c r="G42" s="280" t="s">
        <v>4</v>
      </c>
      <c r="H42" s="306">
        <v>0</v>
      </c>
      <c r="I42" s="127"/>
      <c r="J42" s="280" t="s">
        <v>4</v>
      </c>
      <c r="K42" s="305">
        <v>0</v>
      </c>
      <c r="L42" s="127"/>
      <c r="M42" s="280" t="s">
        <v>4</v>
      </c>
      <c r="N42" s="305">
        <v>0</v>
      </c>
      <c r="O42" s="127"/>
      <c r="P42" s="280" t="s">
        <v>4</v>
      </c>
      <c r="Q42" s="305">
        <v>0</v>
      </c>
      <c r="R42" s="127"/>
      <c r="S42" s="283" t="s">
        <v>4</v>
      </c>
      <c r="T42" s="310">
        <v>0</v>
      </c>
    </row>
    <row r="43" spans="1:20" x14ac:dyDescent="0.25">
      <c r="A43" s="280" t="s">
        <v>5</v>
      </c>
      <c r="B43" s="294">
        <f>B42/B41*100</f>
        <v>4.0816326530612246</v>
      </c>
      <c r="C43" s="127"/>
      <c r="D43" s="280" t="s">
        <v>5</v>
      </c>
      <c r="E43" s="294">
        <f>E42/E41*100</f>
        <v>4</v>
      </c>
      <c r="F43" s="127"/>
      <c r="G43" s="280" t="s">
        <v>5</v>
      </c>
      <c r="H43" s="162">
        <f>H42/H41*100</f>
        <v>0</v>
      </c>
      <c r="I43" s="127"/>
      <c r="J43" s="280" t="s">
        <v>5</v>
      </c>
      <c r="K43" s="162">
        <f>K42/K41*100</f>
        <v>0</v>
      </c>
      <c r="L43" s="127"/>
      <c r="M43" s="280" t="s">
        <v>5</v>
      </c>
      <c r="N43" s="162">
        <f>N42/N41*100</f>
        <v>0</v>
      </c>
      <c r="O43" s="127"/>
      <c r="P43" s="280" t="s">
        <v>5</v>
      </c>
      <c r="Q43" s="162">
        <f>Q42/Q41*100</f>
        <v>0</v>
      </c>
      <c r="R43" s="127"/>
      <c r="S43" s="280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88</v>
      </c>
      <c r="C45" s="127"/>
      <c r="D45" s="127"/>
      <c r="E45" s="127"/>
      <c r="F45" s="127"/>
      <c r="G45" s="154" t="s">
        <v>123</v>
      </c>
      <c r="H45" s="154">
        <f>SUM(B31+B45)</f>
        <v>334</v>
      </c>
      <c r="I45" s="281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SUM(B37+B42)</f>
        <v>3</v>
      </c>
      <c r="C46" s="127"/>
      <c r="D46" s="127"/>
      <c r="E46" s="127"/>
      <c r="F46" s="127"/>
      <c r="G46" s="154" t="s">
        <v>44</v>
      </c>
      <c r="H46" s="170">
        <f>SUM(B32+B37+B42+B46)</f>
        <v>37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294">
        <f>B46/B45*100</f>
        <v>3.4090909090909087</v>
      </c>
      <c r="C47" s="127"/>
      <c r="D47" s="127"/>
      <c r="E47" s="127"/>
      <c r="F47" s="127"/>
      <c r="G47" s="171" t="s">
        <v>11</v>
      </c>
      <c r="H47" s="294">
        <f>H46/H45*100</f>
        <v>11.077844311377245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x14ac:dyDescent="0.25">
      <c r="A49" s="315" t="s">
        <v>58</v>
      </c>
      <c r="B49" s="316"/>
      <c r="C49" s="127"/>
      <c r="D49" s="315" t="s">
        <v>239</v>
      </c>
      <c r="E49" s="316"/>
      <c r="F49" s="127"/>
      <c r="G49" s="315" t="s">
        <v>38</v>
      </c>
      <c r="H49" s="316"/>
      <c r="I49" s="127"/>
      <c r="J49" s="315" t="s">
        <v>280</v>
      </c>
      <c r="K49" s="316"/>
      <c r="L49" s="127"/>
      <c r="M49" s="315" t="s">
        <v>281</v>
      </c>
      <c r="N49" s="316"/>
      <c r="O49" s="127"/>
      <c r="P49" s="127"/>
      <c r="Q49" s="127"/>
      <c r="R49" s="127"/>
      <c r="S49" s="127"/>
      <c r="T49" s="127"/>
    </row>
    <row r="50" spans="1:20" x14ac:dyDescent="0.25">
      <c r="A50" s="301" t="s">
        <v>28</v>
      </c>
      <c r="B50" s="301">
        <v>35</v>
      </c>
      <c r="C50" s="127"/>
      <c r="D50" s="301" t="s">
        <v>28</v>
      </c>
      <c r="E50" s="301">
        <v>15</v>
      </c>
      <c r="F50" s="127"/>
      <c r="G50" s="301" t="s">
        <v>28</v>
      </c>
      <c r="H50" s="301">
        <v>11</v>
      </c>
      <c r="I50" s="127"/>
      <c r="J50" s="301" t="s">
        <v>28</v>
      </c>
      <c r="K50" s="301">
        <v>63</v>
      </c>
      <c r="M50" s="301" t="s">
        <v>28</v>
      </c>
      <c r="N50" s="301">
        <v>2</v>
      </c>
    </row>
    <row r="51" spans="1:20" x14ac:dyDescent="0.25">
      <c r="A51" s="280" t="s">
        <v>228</v>
      </c>
      <c r="B51" s="306">
        <v>4</v>
      </c>
      <c r="C51" s="127"/>
      <c r="D51" s="280" t="s">
        <v>238</v>
      </c>
      <c r="E51" s="306">
        <v>0</v>
      </c>
      <c r="F51" s="127"/>
      <c r="G51" s="280" t="s">
        <v>238</v>
      </c>
      <c r="H51" s="306">
        <v>1</v>
      </c>
      <c r="I51" s="127"/>
      <c r="J51" s="280" t="s">
        <v>238</v>
      </c>
      <c r="K51" s="306">
        <v>8</v>
      </c>
      <c r="M51" s="280" t="s">
        <v>238</v>
      </c>
      <c r="N51" s="306">
        <v>0</v>
      </c>
    </row>
    <row r="52" spans="1:20" x14ac:dyDescent="0.25">
      <c r="A52" s="280" t="s">
        <v>5</v>
      </c>
      <c r="B52" s="294">
        <f>B51/B50*100</f>
        <v>11.428571428571429</v>
      </c>
      <c r="C52" s="127"/>
      <c r="D52" s="280" t="s">
        <v>5</v>
      </c>
      <c r="E52" s="294">
        <f>E51/E50*100</f>
        <v>0</v>
      </c>
      <c r="F52" s="127"/>
      <c r="G52" s="280" t="s">
        <v>5</v>
      </c>
      <c r="H52" s="294">
        <f>H51/H50*100</f>
        <v>9.0909090909090917</v>
      </c>
      <c r="I52" s="127"/>
      <c r="J52" s="280" t="s">
        <v>5</v>
      </c>
      <c r="K52" s="294">
        <f>K51/K50*100</f>
        <v>12.698412698412698</v>
      </c>
      <c r="M52" s="280" t="s">
        <v>5</v>
      </c>
      <c r="N52" s="294">
        <f>N51/N50*100</f>
        <v>0</v>
      </c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M53" s="312"/>
    </row>
  </sheetData>
  <mergeCells count="42">
    <mergeCell ref="A1:B1"/>
    <mergeCell ref="D1:E1"/>
    <mergeCell ref="A10:B10"/>
    <mergeCell ref="D10:E10"/>
    <mergeCell ref="G10:H10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S40:T40"/>
    <mergeCell ref="A49:B49"/>
    <mergeCell ref="D49:E49"/>
    <mergeCell ref="G49:H49"/>
    <mergeCell ref="J49:K49"/>
    <mergeCell ref="M49:N49"/>
    <mergeCell ref="A40:B40"/>
    <mergeCell ref="D40:E40"/>
    <mergeCell ref="G40:H40"/>
    <mergeCell ref="J40:K40"/>
    <mergeCell ref="M40:N40"/>
    <mergeCell ref="P40:Q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D2CC-80F9-4D0C-B011-A1636C7F9DA1}">
  <dimension ref="A1:T61"/>
  <sheetViews>
    <sheetView workbookViewId="0">
      <selection activeCell="D3" sqref="D3"/>
    </sheetView>
  </sheetViews>
  <sheetFormatPr baseColWidth="10" defaultRowHeight="15" x14ac:dyDescent="0.25"/>
  <cols>
    <col min="1" max="1" width="26.28515625" customWidth="1"/>
    <col min="2" max="2" width="17.85546875" customWidth="1"/>
    <col min="3" max="3" width="9.42578125" customWidth="1"/>
    <col min="4" max="4" width="22.5703125" customWidth="1"/>
    <col min="7" max="7" width="24.42578125" customWidth="1"/>
    <col min="10" max="10" width="21" customWidth="1"/>
    <col min="13" max="13" width="22.7109375" customWidth="1"/>
    <col min="16" max="16" width="21.5703125" customWidth="1"/>
    <col min="19" max="19" width="18.7109375" customWidth="1"/>
    <col min="20" max="20" width="17.85546875" customWidth="1"/>
  </cols>
  <sheetData>
    <row r="1" spans="1:20" ht="24.7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128" t="s">
        <v>29</v>
      </c>
      <c r="B2" s="129">
        <v>600</v>
      </c>
      <c r="C2" s="127"/>
      <c r="D2" s="127"/>
      <c r="E2" s="127"/>
      <c r="F2" s="127"/>
      <c r="G2" s="127"/>
      <c r="H2" s="127"/>
    </row>
    <row r="3" spans="1:20" x14ac:dyDescent="0.25">
      <c r="A3" s="128" t="s">
        <v>30</v>
      </c>
      <c r="B3" s="189">
        <v>1</v>
      </c>
      <c r="C3" s="127"/>
      <c r="D3" s="221" t="s">
        <v>268</v>
      </c>
      <c r="E3" s="206"/>
      <c r="F3" s="213"/>
      <c r="G3" s="199"/>
      <c r="H3" s="127"/>
    </row>
    <row r="4" spans="1:20" x14ac:dyDescent="0.25">
      <c r="A4" s="128" t="s">
        <v>3</v>
      </c>
      <c r="B4" s="132">
        <f>B2+B3</f>
        <v>601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134" t="s">
        <v>42</v>
      </c>
      <c r="B6" s="135">
        <v>68</v>
      </c>
      <c r="C6" s="127"/>
      <c r="D6" s="188" t="s">
        <v>43</v>
      </c>
      <c r="E6" s="136">
        <v>0</v>
      </c>
      <c r="F6" s="206"/>
      <c r="G6" s="128" t="s">
        <v>44</v>
      </c>
      <c r="H6" s="136">
        <f>SUM(B6+E6)</f>
        <v>68</v>
      </c>
    </row>
    <row r="7" spans="1:20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11.314475873544092</v>
      </c>
    </row>
    <row r="10" spans="1:20" ht="21.75" customHeight="1" x14ac:dyDescent="0.25">
      <c r="A10" s="317" t="s">
        <v>65</v>
      </c>
      <c r="B10" s="318"/>
      <c r="C10" s="127"/>
      <c r="D10" s="313" t="s">
        <v>24</v>
      </c>
      <c r="E10" s="314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128" t="s">
        <v>28</v>
      </c>
      <c r="B11" s="128">
        <v>92</v>
      </c>
      <c r="C11" s="127"/>
      <c r="D11" s="190" t="s">
        <v>29</v>
      </c>
      <c r="E11" s="190">
        <v>47</v>
      </c>
      <c r="F11" s="127"/>
      <c r="G11" s="190" t="s">
        <v>29</v>
      </c>
      <c r="H11" s="190">
        <v>21</v>
      </c>
      <c r="I11" s="127"/>
      <c r="J11" s="190" t="s">
        <v>29</v>
      </c>
      <c r="K11" s="190">
        <v>3</v>
      </c>
      <c r="L11" s="127"/>
      <c r="M11" s="190" t="s">
        <v>29</v>
      </c>
      <c r="N11" s="190">
        <v>3</v>
      </c>
      <c r="O11" s="127"/>
      <c r="P11" s="190" t="s">
        <v>29</v>
      </c>
      <c r="Q11" s="190">
        <v>12</v>
      </c>
      <c r="R11" s="127"/>
      <c r="S11" s="128" t="s">
        <v>29</v>
      </c>
      <c r="T11" s="128">
        <v>6</v>
      </c>
    </row>
    <row r="12" spans="1:20" x14ac:dyDescent="0.25">
      <c r="A12" s="128" t="s">
        <v>30</v>
      </c>
      <c r="B12" s="128">
        <v>0</v>
      </c>
      <c r="C12" s="127"/>
      <c r="D12" s="128" t="s">
        <v>30</v>
      </c>
      <c r="E12" s="174">
        <v>0</v>
      </c>
      <c r="F12" s="127"/>
      <c r="G12" s="128" t="s">
        <v>30</v>
      </c>
      <c r="H12" s="128">
        <v>0</v>
      </c>
      <c r="I12" s="127"/>
      <c r="J12" s="128" t="s">
        <v>30</v>
      </c>
      <c r="K12" s="128">
        <v>0</v>
      </c>
      <c r="L12" s="127"/>
      <c r="M12" s="128" t="s">
        <v>30</v>
      </c>
      <c r="N12" s="128">
        <v>0</v>
      </c>
      <c r="O12" s="127"/>
      <c r="P12" s="128" t="s">
        <v>30</v>
      </c>
      <c r="Q12" s="128">
        <v>0</v>
      </c>
      <c r="R12" s="127"/>
      <c r="S12" s="128" t="s">
        <v>30</v>
      </c>
      <c r="T12" s="128">
        <v>0</v>
      </c>
    </row>
    <row r="13" spans="1:20" x14ac:dyDescent="0.25">
      <c r="A13" s="140" t="s">
        <v>125</v>
      </c>
      <c r="B13" s="140">
        <f>SUM(E13+H13+K13+N13+Q13+T13)</f>
        <v>92</v>
      </c>
      <c r="C13" s="127"/>
      <c r="D13" s="140" t="s">
        <v>125</v>
      </c>
      <c r="E13" s="140">
        <f>E11+E12</f>
        <v>47</v>
      </c>
      <c r="F13" s="127"/>
      <c r="G13" s="140" t="s">
        <v>125</v>
      </c>
      <c r="H13" s="140">
        <f>SUM(H11+H12)</f>
        <v>21</v>
      </c>
      <c r="I13" s="127"/>
      <c r="J13" s="140" t="s">
        <v>125</v>
      </c>
      <c r="K13" s="140">
        <v>3</v>
      </c>
      <c r="L13" s="127"/>
      <c r="M13" s="140" t="s">
        <v>125</v>
      </c>
      <c r="N13" s="140">
        <v>3</v>
      </c>
      <c r="O13" s="127"/>
      <c r="P13" s="140" t="s">
        <v>125</v>
      </c>
      <c r="Q13" s="140">
        <v>12</v>
      </c>
      <c r="R13" s="127"/>
      <c r="S13" s="140" t="s">
        <v>125</v>
      </c>
      <c r="T13" s="140">
        <v>6</v>
      </c>
    </row>
    <row r="14" spans="1:20" x14ac:dyDescent="0.25">
      <c r="A14" s="128" t="s">
        <v>66</v>
      </c>
      <c r="B14" s="141">
        <f>SUM(E14+H14+K14+N14+Q14+T14)</f>
        <v>16</v>
      </c>
      <c r="D14" s="128" t="s">
        <v>136</v>
      </c>
      <c r="E14" s="141">
        <v>10</v>
      </c>
      <c r="F14" s="127"/>
      <c r="G14" s="128" t="s">
        <v>136</v>
      </c>
      <c r="H14" s="141">
        <v>2</v>
      </c>
      <c r="I14" s="127"/>
      <c r="J14" s="128" t="s">
        <v>4</v>
      </c>
      <c r="K14" s="141">
        <v>1</v>
      </c>
      <c r="L14" s="127"/>
      <c r="M14" s="128" t="s">
        <v>136</v>
      </c>
      <c r="N14" s="141">
        <v>0</v>
      </c>
      <c r="O14" s="127"/>
      <c r="P14" s="128" t="s">
        <v>136</v>
      </c>
      <c r="Q14" s="141">
        <v>2</v>
      </c>
      <c r="R14" s="127"/>
      <c r="S14" s="128" t="s">
        <v>4</v>
      </c>
      <c r="T14" s="142">
        <v>1</v>
      </c>
    </row>
    <row r="15" spans="1:20" x14ac:dyDescent="0.25">
      <c r="A15" s="128" t="s">
        <v>5</v>
      </c>
      <c r="B15" s="143">
        <f>B14/B13*100</f>
        <v>17.391304347826086</v>
      </c>
      <c r="C15" s="127"/>
      <c r="D15" s="128" t="s">
        <v>5</v>
      </c>
      <c r="E15" s="143">
        <f>E14/E13*100</f>
        <v>21.276595744680851</v>
      </c>
      <c r="F15" s="127"/>
      <c r="G15" s="128" t="s">
        <v>5</v>
      </c>
      <c r="H15" s="143">
        <f>H14/H13*100</f>
        <v>9.5238095238095237</v>
      </c>
      <c r="I15" s="127"/>
      <c r="J15" s="128" t="s">
        <v>5</v>
      </c>
      <c r="K15" s="144">
        <f>K14/K13*100</f>
        <v>33.333333333333329</v>
      </c>
      <c r="L15" s="127"/>
      <c r="M15" s="128" t="s">
        <v>5</v>
      </c>
      <c r="N15" s="144">
        <f>N14/N13*100</f>
        <v>0</v>
      </c>
      <c r="O15" s="127"/>
      <c r="P15" s="128" t="s">
        <v>5</v>
      </c>
      <c r="Q15" s="145">
        <f>Q14/Q13*100</f>
        <v>16.666666666666664</v>
      </c>
      <c r="R15" s="127"/>
      <c r="S15" s="128" t="s">
        <v>5</v>
      </c>
      <c r="T15" s="144">
        <f>T14/T13*100</f>
        <v>16.666666666666664</v>
      </c>
    </row>
    <row r="16" spans="1:20" x14ac:dyDescent="0.25">
      <c r="A16" s="130"/>
      <c r="B16" s="130"/>
      <c r="D16" s="130"/>
      <c r="E16" s="146"/>
      <c r="F16" s="127"/>
      <c r="G16" s="148"/>
      <c r="H16" s="146"/>
      <c r="I16" s="127"/>
      <c r="J16" s="148"/>
      <c r="K16" s="149"/>
      <c r="L16" s="147"/>
      <c r="M16" s="130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130"/>
      <c r="F17" s="127"/>
      <c r="G17" s="147"/>
      <c r="H17" s="147"/>
      <c r="I17" s="127"/>
      <c r="J17" s="147"/>
      <c r="K17" s="147"/>
      <c r="L17" s="147"/>
      <c r="M17" s="151"/>
      <c r="N17" s="127"/>
      <c r="O17" s="127"/>
      <c r="P17" s="127"/>
      <c r="Q17" s="127"/>
      <c r="R17" s="127"/>
      <c r="S17" s="127"/>
      <c r="T17" s="127"/>
    </row>
    <row r="18" spans="1:20" ht="21" customHeight="1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f>SUM(E19+H19+K19+N19+Q19+T19)</f>
        <v>44</v>
      </c>
      <c r="C19" s="147"/>
      <c r="D19" s="154" t="s">
        <v>29</v>
      </c>
      <c r="E19" s="154">
        <v>25</v>
      </c>
      <c r="F19" s="127"/>
      <c r="G19" s="154" t="s">
        <v>29</v>
      </c>
      <c r="H19" s="60">
        <v>7</v>
      </c>
      <c r="I19" s="127"/>
      <c r="J19" s="154" t="s">
        <v>29</v>
      </c>
      <c r="K19" s="154">
        <v>1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7</v>
      </c>
      <c r="R19" s="127"/>
      <c r="S19" s="154" t="s">
        <v>29</v>
      </c>
      <c r="T19" s="60">
        <v>2</v>
      </c>
    </row>
    <row r="20" spans="1:20" x14ac:dyDescent="0.25">
      <c r="A20" s="140" t="s">
        <v>125</v>
      </c>
      <c r="B20" s="155">
        <f>B19</f>
        <v>44</v>
      </c>
      <c r="C20" s="127"/>
      <c r="D20" s="140" t="s">
        <v>125</v>
      </c>
      <c r="E20" s="156">
        <v>25</v>
      </c>
      <c r="F20" s="127"/>
      <c r="G20" s="140" t="s">
        <v>125</v>
      </c>
      <c r="H20" s="156">
        <v>6</v>
      </c>
      <c r="I20" s="127"/>
      <c r="J20" s="140" t="s">
        <v>125</v>
      </c>
      <c r="K20" s="156">
        <v>1</v>
      </c>
      <c r="L20" s="127"/>
      <c r="M20" s="140" t="s">
        <v>125</v>
      </c>
      <c r="N20" s="156">
        <v>2</v>
      </c>
      <c r="O20" s="127"/>
      <c r="P20" s="140" t="s">
        <v>125</v>
      </c>
      <c r="Q20" s="156">
        <v>7</v>
      </c>
      <c r="R20" s="127"/>
      <c r="S20" s="155" t="s">
        <v>125</v>
      </c>
      <c r="T20" s="154">
        <v>2</v>
      </c>
    </row>
    <row r="21" spans="1:20" x14ac:dyDescent="0.25">
      <c r="A21" s="128" t="s">
        <v>72</v>
      </c>
      <c r="B21" s="141">
        <v>2</v>
      </c>
      <c r="C21" s="127"/>
      <c r="D21" s="128" t="s">
        <v>73</v>
      </c>
      <c r="E21" s="141">
        <v>1</v>
      </c>
      <c r="F21" s="127"/>
      <c r="G21" s="128" t="s">
        <v>74</v>
      </c>
      <c r="H21" s="140">
        <v>1</v>
      </c>
      <c r="I21" s="127"/>
      <c r="J21" s="128" t="s">
        <v>75</v>
      </c>
      <c r="K21" s="140">
        <v>0</v>
      </c>
      <c r="L21" s="127"/>
      <c r="M21" s="128" t="s">
        <v>76</v>
      </c>
      <c r="N21" s="140">
        <v>0</v>
      </c>
      <c r="O21" s="127"/>
      <c r="P21" s="191" t="s">
        <v>245</v>
      </c>
      <c r="Q21" s="142">
        <v>0</v>
      </c>
      <c r="R21" s="127"/>
      <c r="S21" s="193" t="s">
        <v>133</v>
      </c>
      <c r="T21" s="194">
        <v>0</v>
      </c>
    </row>
    <row r="22" spans="1:20" x14ac:dyDescent="0.25">
      <c r="A22" s="157" t="s">
        <v>5</v>
      </c>
      <c r="B22" s="145">
        <f>B21/B20*100</f>
        <v>4.5454545454545459</v>
      </c>
      <c r="C22" s="127"/>
      <c r="D22" s="128" t="s">
        <v>5</v>
      </c>
      <c r="E22" s="158">
        <f>E21/E20*100</f>
        <v>4</v>
      </c>
      <c r="F22" s="127"/>
      <c r="G22" s="128" t="s">
        <v>5</v>
      </c>
      <c r="H22" s="145">
        <f>H21/H20*100</f>
        <v>16.666666666666664</v>
      </c>
      <c r="I22" s="127"/>
      <c r="J22" s="128" t="s">
        <v>5</v>
      </c>
      <c r="K22" s="145">
        <f>K21/K20*100</f>
        <v>0</v>
      </c>
      <c r="L22" s="127"/>
      <c r="M22" s="128" t="s">
        <v>5</v>
      </c>
      <c r="N22" s="145">
        <f>N21/N20*100</f>
        <v>0</v>
      </c>
      <c r="O22" s="127"/>
      <c r="P22" s="128" t="s">
        <v>5</v>
      </c>
      <c r="Q22" s="144">
        <f>Q21/Q20*100</f>
        <v>0</v>
      </c>
      <c r="R22" s="127"/>
      <c r="S22" s="190" t="s">
        <v>5</v>
      </c>
      <c r="T22" s="192">
        <f>T21/T20*100</f>
        <v>0</v>
      </c>
    </row>
    <row r="23" spans="1:20" x14ac:dyDescent="0.25">
      <c r="A23" s="148"/>
      <c r="B23" s="159"/>
      <c r="C23" s="127"/>
      <c r="D23" s="127"/>
      <c r="E23" s="127"/>
      <c r="F23" s="127"/>
      <c r="G23" s="130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136</v>
      </c>
      <c r="C24" s="127"/>
      <c r="D24" s="127"/>
      <c r="E24" s="127"/>
      <c r="F24" s="127"/>
      <c r="G24" s="130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18</v>
      </c>
      <c r="C25" s="127"/>
      <c r="D25" s="127"/>
      <c r="E25" s="127"/>
      <c r="F25" s="127"/>
      <c r="G25" s="130"/>
      <c r="H25" s="150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13.23529411764706</v>
      </c>
      <c r="C26" s="127"/>
      <c r="D26" s="127"/>
      <c r="E26" s="127"/>
      <c r="F26" s="127"/>
      <c r="G26" s="130"/>
      <c r="H26" s="196"/>
      <c r="I26" s="127"/>
      <c r="J26" s="130"/>
      <c r="K26" s="150"/>
      <c r="L26" s="127"/>
      <c r="M26" s="130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47"/>
      <c r="L27" s="127"/>
      <c r="M27" s="151"/>
      <c r="N27" s="127"/>
      <c r="O27" s="127"/>
      <c r="P27" s="127"/>
      <c r="Q27" s="127"/>
      <c r="R27" s="127"/>
      <c r="S27" s="127"/>
      <c r="T27" s="127"/>
    </row>
    <row r="28" spans="1:20" ht="19.5" customHeight="1" x14ac:dyDescent="0.25">
      <c r="A28" s="313" t="s">
        <v>137</v>
      </c>
      <c r="B28" s="314"/>
      <c r="C28" s="127"/>
      <c r="D28" s="313" t="s">
        <v>104</v>
      </c>
      <c r="E28" s="313"/>
      <c r="F28" s="127"/>
      <c r="G28" s="313" t="s">
        <v>105</v>
      </c>
      <c r="H28" s="314"/>
      <c r="I28" s="127"/>
      <c r="J28" s="313" t="s">
        <v>106</v>
      </c>
      <c r="K28" s="314"/>
      <c r="L28" s="127"/>
      <c r="M28" s="313" t="s">
        <v>36</v>
      </c>
      <c r="N28" s="314"/>
      <c r="O28" s="127"/>
      <c r="P28" s="313" t="s">
        <v>93</v>
      </c>
      <c r="Q28" s="314"/>
      <c r="R28" s="127"/>
      <c r="S28" s="313" t="s">
        <v>94</v>
      </c>
      <c r="T28" s="314"/>
    </row>
    <row r="29" spans="1:20" x14ac:dyDescent="0.25">
      <c r="A29" s="214" t="s">
        <v>28</v>
      </c>
      <c r="B29" s="218">
        <v>261</v>
      </c>
      <c r="C29" s="127"/>
      <c r="D29" s="190" t="s">
        <v>28</v>
      </c>
      <c r="E29" s="190">
        <v>142</v>
      </c>
      <c r="F29" s="127"/>
      <c r="G29" s="190" t="s">
        <v>28</v>
      </c>
      <c r="H29" s="190">
        <v>60</v>
      </c>
      <c r="I29" s="127"/>
      <c r="J29" s="190" t="s">
        <v>28</v>
      </c>
      <c r="K29" s="190">
        <v>13</v>
      </c>
      <c r="L29" s="127"/>
      <c r="M29" s="190" t="s">
        <v>28</v>
      </c>
      <c r="N29" s="190">
        <v>11</v>
      </c>
      <c r="O29" s="127"/>
      <c r="P29" s="190" t="s">
        <v>28</v>
      </c>
      <c r="Q29" s="190">
        <v>25</v>
      </c>
      <c r="R29" s="127"/>
      <c r="S29" s="190" t="s">
        <v>28</v>
      </c>
      <c r="T29" s="190">
        <v>10</v>
      </c>
    </row>
    <row r="30" spans="1:20" x14ac:dyDescent="0.25">
      <c r="A30" s="215" t="s">
        <v>30</v>
      </c>
      <c r="B30" s="60">
        <v>1</v>
      </c>
      <c r="C30" s="127"/>
      <c r="D30" s="128" t="s">
        <v>30</v>
      </c>
      <c r="E30" s="174">
        <v>0</v>
      </c>
      <c r="F30" s="127"/>
      <c r="G30" s="128" t="s">
        <v>30</v>
      </c>
      <c r="H30" s="174">
        <v>1</v>
      </c>
      <c r="I30" s="127"/>
      <c r="J30" s="128" t="s">
        <v>30</v>
      </c>
      <c r="K30" s="128">
        <v>0</v>
      </c>
      <c r="L30" s="127"/>
      <c r="M30" s="128" t="s">
        <v>30</v>
      </c>
      <c r="N30" s="128">
        <v>0</v>
      </c>
      <c r="O30" s="127"/>
      <c r="P30" s="128" t="s">
        <v>30</v>
      </c>
      <c r="Q30" s="128">
        <v>0</v>
      </c>
      <c r="R30" s="127"/>
      <c r="S30" s="128" t="s">
        <v>30</v>
      </c>
      <c r="T30" s="128">
        <v>0</v>
      </c>
    </row>
    <row r="31" spans="1:20" x14ac:dyDescent="0.25">
      <c r="A31" s="216" t="s">
        <v>125</v>
      </c>
      <c r="B31" s="200">
        <f>SUM(B29+B30)</f>
        <v>262</v>
      </c>
      <c r="C31" s="127"/>
      <c r="D31" s="163" t="s">
        <v>125</v>
      </c>
      <c r="E31" s="163">
        <f>SUM(E29+E30)</f>
        <v>142</v>
      </c>
      <c r="F31" s="127"/>
      <c r="G31" s="163" t="s">
        <v>125</v>
      </c>
      <c r="H31" s="163">
        <v>61</v>
      </c>
      <c r="I31" s="127"/>
      <c r="J31" s="163" t="s">
        <v>125</v>
      </c>
      <c r="K31" s="163">
        <v>13</v>
      </c>
      <c r="L31" s="127"/>
      <c r="M31" s="163" t="s">
        <v>125</v>
      </c>
      <c r="N31" s="163">
        <v>11</v>
      </c>
      <c r="O31" s="127"/>
      <c r="P31" s="163" t="s">
        <v>125</v>
      </c>
      <c r="Q31" s="163">
        <v>20</v>
      </c>
      <c r="R31" s="127"/>
      <c r="S31" s="163" t="s">
        <v>125</v>
      </c>
      <c r="T31" s="163">
        <v>10</v>
      </c>
    </row>
    <row r="32" spans="1:20" x14ac:dyDescent="0.25">
      <c r="A32" s="217" t="s">
        <v>4</v>
      </c>
      <c r="B32" s="219">
        <v>41</v>
      </c>
      <c r="C32" s="127"/>
      <c r="D32" s="128" t="s">
        <v>4</v>
      </c>
      <c r="E32" s="165">
        <v>23</v>
      </c>
      <c r="F32" s="127"/>
      <c r="G32" s="128" t="s">
        <v>4</v>
      </c>
      <c r="H32" s="164">
        <v>11</v>
      </c>
      <c r="I32" s="127"/>
      <c r="J32" s="128" t="s">
        <v>4</v>
      </c>
      <c r="K32" s="166">
        <v>2</v>
      </c>
      <c r="L32" s="127"/>
      <c r="M32" s="128" t="s">
        <v>4</v>
      </c>
      <c r="N32" s="167">
        <v>1</v>
      </c>
      <c r="O32" s="127"/>
      <c r="P32" s="128" t="s">
        <v>4</v>
      </c>
      <c r="Q32" s="167">
        <v>2</v>
      </c>
      <c r="R32" s="127"/>
      <c r="S32" s="184" t="s">
        <v>4</v>
      </c>
      <c r="T32" s="167">
        <v>2</v>
      </c>
    </row>
    <row r="33" spans="1:20" x14ac:dyDescent="0.25">
      <c r="A33" s="215" t="s">
        <v>5</v>
      </c>
      <c r="B33" s="220">
        <f>B32/B31*100</f>
        <v>15.648854961832063</v>
      </c>
      <c r="C33" s="127"/>
      <c r="D33" s="128" t="s">
        <v>5</v>
      </c>
      <c r="E33" s="162">
        <f>E32/E31*100</f>
        <v>16.197183098591552</v>
      </c>
      <c r="G33" s="128" t="s">
        <v>5</v>
      </c>
      <c r="H33" s="145">
        <f>H32/H31*100</f>
        <v>18.032786885245901</v>
      </c>
      <c r="I33" s="127"/>
      <c r="J33" s="128" t="s">
        <v>5</v>
      </c>
      <c r="K33" s="145">
        <f>K32/K31*100</f>
        <v>15.384615384615385</v>
      </c>
      <c r="M33" s="128" t="s">
        <v>5</v>
      </c>
      <c r="N33" s="145">
        <f>N32/N31*100</f>
        <v>9.0909090909090917</v>
      </c>
      <c r="O33" s="127"/>
      <c r="P33" s="128" t="s">
        <v>5</v>
      </c>
      <c r="Q33" s="145">
        <f>Q32/Q31*100</f>
        <v>10</v>
      </c>
      <c r="R33" s="127"/>
      <c r="S33" s="128" t="s">
        <v>5</v>
      </c>
      <c r="T33" s="145">
        <f>T32/T31*100</f>
        <v>20</v>
      </c>
    </row>
    <row r="34" spans="1:20" x14ac:dyDescent="0.25">
      <c r="A34" s="127"/>
      <c r="B34" s="127"/>
      <c r="D34" s="127"/>
      <c r="E34" s="127"/>
      <c r="F34" s="147"/>
      <c r="G34" s="127"/>
      <c r="H34" s="127"/>
      <c r="I34" s="127"/>
      <c r="J34" s="127"/>
      <c r="K34" s="127"/>
      <c r="L34" s="127"/>
      <c r="M34" s="127"/>
      <c r="N34" s="130"/>
      <c r="O34" s="127"/>
      <c r="P34" s="127"/>
      <c r="Q34" s="127"/>
      <c r="R34" s="127"/>
      <c r="S34" s="127"/>
      <c r="T34" s="127"/>
    </row>
    <row r="35" spans="1:20" ht="23.25" customHeight="1" x14ac:dyDescent="0.25">
      <c r="A35" s="313" t="s">
        <v>77</v>
      </c>
      <c r="B35" s="314"/>
      <c r="C35" s="127"/>
      <c r="D35" s="313" t="s">
        <v>48</v>
      </c>
      <c r="E35" s="313"/>
      <c r="G35" s="313" t="s">
        <v>49</v>
      </c>
      <c r="H35" s="314"/>
      <c r="I35" s="127"/>
      <c r="J35" s="313" t="s">
        <v>108</v>
      </c>
      <c r="K35" s="314"/>
      <c r="L35" s="127"/>
      <c r="M35" s="313" t="s">
        <v>51</v>
      </c>
      <c r="N35" s="314"/>
      <c r="O35" s="127"/>
      <c r="P35" s="313" t="s">
        <v>98</v>
      </c>
      <c r="Q35" s="314"/>
      <c r="R35" s="127"/>
      <c r="S35" s="313" t="s">
        <v>97</v>
      </c>
      <c r="T35" s="314"/>
    </row>
    <row r="36" spans="1:20" x14ac:dyDescent="0.25">
      <c r="A36" s="211" t="s">
        <v>28</v>
      </c>
      <c r="B36" s="211">
        <f>SUM(E36+H36+K36+N36+Q36+T36)</f>
        <v>39</v>
      </c>
      <c r="C36" s="208"/>
      <c r="D36" s="200" t="s">
        <v>28</v>
      </c>
      <c r="E36" s="200">
        <v>22</v>
      </c>
      <c r="F36" s="127"/>
      <c r="G36" s="211" t="s">
        <v>28</v>
      </c>
      <c r="H36" s="211">
        <v>8</v>
      </c>
      <c r="I36" s="127"/>
      <c r="J36" s="211" t="s">
        <v>28</v>
      </c>
      <c r="K36" s="211">
        <v>1</v>
      </c>
      <c r="L36" s="127"/>
      <c r="M36" s="211" t="s">
        <v>28</v>
      </c>
      <c r="N36" s="211">
        <v>1</v>
      </c>
      <c r="O36" s="127"/>
      <c r="P36" s="211" t="s">
        <v>28</v>
      </c>
      <c r="Q36" s="211">
        <v>5</v>
      </c>
      <c r="R36" s="127"/>
      <c r="S36" s="200" t="s">
        <v>28</v>
      </c>
      <c r="T36" s="200">
        <v>2</v>
      </c>
    </row>
    <row r="37" spans="1:20" x14ac:dyDescent="0.25">
      <c r="A37" s="128" t="s">
        <v>78</v>
      </c>
      <c r="B37" s="169">
        <v>1</v>
      </c>
      <c r="C37" s="127"/>
      <c r="D37" s="193" t="s">
        <v>136</v>
      </c>
      <c r="E37" s="201">
        <v>0</v>
      </c>
      <c r="F37" s="127"/>
      <c r="G37" s="128" t="s">
        <v>4</v>
      </c>
      <c r="H37" s="167">
        <v>1</v>
      </c>
      <c r="I37" s="127"/>
      <c r="J37" s="128" t="s">
        <v>4</v>
      </c>
      <c r="K37" s="166">
        <v>0</v>
      </c>
      <c r="L37" s="127"/>
      <c r="M37" s="128" t="s">
        <v>4</v>
      </c>
      <c r="N37" s="166">
        <v>0</v>
      </c>
      <c r="O37" s="127"/>
      <c r="P37" s="128" t="s">
        <v>4</v>
      </c>
      <c r="Q37" s="166">
        <v>0</v>
      </c>
      <c r="R37" s="127"/>
      <c r="S37" s="190" t="s">
        <v>4</v>
      </c>
      <c r="T37" s="212">
        <v>0</v>
      </c>
    </row>
    <row r="38" spans="1:20" x14ac:dyDescent="0.25">
      <c r="A38" s="128" t="s">
        <v>5</v>
      </c>
      <c r="B38" s="158">
        <f>B37/B36*100</f>
        <v>2.5641025641025639</v>
      </c>
      <c r="C38" s="127"/>
      <c r="D38" s="193" t="s">
        <v>5</v>
      </c>
      <c r="E38" s="202">
        <f>E37/E36*100</f>
        <v>0</v>
      </c>
      <c r="F38" s="127"/>
      <c r="G38" s="128" t="s">
        <v>5</v>
      </c>
      <c r="H38" s="162">
        <f>H37/H36*100</f>
        <v>12.5</v>
      </c>
      <c r="I38" s="127"/>
      <c r="J38" s="128" t="s">
        <v>5</v>
      </c>
      <c r="K38" s="162">
        <f>K37/K36*100</f>
        <v>0</v>
      </c>
      <c r="L38" s="127"/>
      <c r="M38" s="128" t="s">
        <v>5</v>
      </c>
      <c r="N38" s="162">
        <f>N37/N36*100</f>
        <v>0</v>
      </c>
      <c r="O38" s="127"/>
      <c r="P38" s="128" t="s">
        <v>5</v>
      </c>
      <c r="Q38" s="162">
        <f>Q37/Q36*100</f>
        <v>0</v>
      </c>
      <c r="R38" s="127"/>
      <c r="S38" s="128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ht="24" customHeight="1" x14ac:dyDescent="0.25">
      <c r="A40" s="315" t="s">
        <v>116</v>
      </c>
      <c r="B40" s="316"/>
      <c r="C40" s="127"/>
      <c r="D40" s="313" t="s">
        <v>117</v>
      </c>
      <c r="E40" s="313"/>
      <c r="F40" s="127"/>
      <c r="G40" s="313" t="s">
        <v>118</v>
      </c>
      <c r="H40" s="314"/>
      <c r="I40" s="127"/>
      <c r="J40" s="313" t="s">
        <v>119</v>
      </c>
      <c r="K40" s="314"/>
      <c r="L40" s="127"/>
      <c r="M40" s="313" t="s">
        <v>120</v>
      </c>
      <c r="N40" s="314"/>
      <c r="O40" s="127"/>
      <c r="P40" s="313" t="s">
        <v>127</v>
      </c>
      <c r="Q40" s="314"/>
      <c r="R40" s="127"/>
      <c r="S40" s="313" t="s">
        <v>128</v>
      </c>
      <c r="T40" s="314"/>
    </row>
    <row r="41" spans="1:20" x14ac:dyDescent="0.25">
      <c r="A41" s="163" t="s">
        <v>28</v>
      </c>
      <c r="B41" s="163">
        <f>SUM(E41+H41+K41+N41+Q41+T41)</f>
        <v>44</v>
      </c>
      <c r="C41" s="127"/>
      <c r="D41" s="211" t="s">
        <v>28</v>
      </c>
      <c r="E41" s="211">
        <v>20</v>
      </c>
      <c r="F41" s="127"/>
      <c r="G41" s="211" t="s">
        <v>28</v>
      </c>
      <c r="H41" s="211">
        <v>8</v>
      </c>
      <c r="I41" s="127"/>
      <c r="J41" s="211" t="s">
        <v>28</v>
      </c>
      <c r="K41" s="211">
        <v>1</v>
      </c>
      <c r="L41" s="127"/>
      <c r="M41" s="211" t="s">
        <v>28</v>
      </c>
      <c r="N41" s="211">
        <v>3</v>
      </c>
      <c r="O41" s="127"/>
      <c r="P41" s="211" t="s">
        <v>28</v>
      </c>
      <c r="Q41" s="211">
        <v>9</v>
      </c>
      <c r="R41" s="127"/>
      <c r="S41" s="200" t="s">
        <v>28</v>
      </c>
      <c r="T41" s="200">
        <v>3</v>
      </c>
    </row>
    <row r="42" spans="1:20" x14ac:dyDescent="0.25">
      <c r="A42" s="128" t="s">
        <v>121</v>
      </c>
      <c r="B42" s="167">
        <v>2</v>
      </c>
      <c r="C42" s="127"/>
      <c r="D42" s="128" t="s">
        <v>4</v>
      </c>
      <c r="E42" s="167">
        <v>1</v>
      </c>
      <c r="F42" s="127"/>
      <c r="G42" s="128" t="s">
        <v>4</v>
      </c>
      <c r="H42" s="167">
        <v>1</v>
      </c>
      <c r="I42" s="127"/>
      <c r="J42" s="128" t="s">
        <v>4</v>
      </c>
      <c r="K42" s="166">
        <v>0</v>
      </c>
      <c r="L42" s="127"/>
      <c r="M42" s="128" t="s">
        <v>4</v>
      </c>
      <c r="N42" s="166">
        <v>0</v>
      </c>
      <c r="O42" s="127"/>
      <c r="P42" s="128" t="s">
        <v>4</v>
      </c>
      <c r="Q42" s="166">
        <v>0</v>
      </c>
      <c r="R42" s="127"/>
      <c r="S42" s="190" t="s">
        <v>4</v>
      </c>
      <c r="T42" s="212">
        <v>0</v>
      </c>
    </row>
    <row r="43" spans="1:20" x14ac:dyDescent="0.25">
      <c r="A43" s="128" t="s">
        <v>5</v>
      </c>
      <c r="B43" s="158">
        <f>B42/B41*100</f>
        <v>4.5454545454545459</v>
      </c>
      <c r="C43" s="127"/>
      <c r="D43" s="128" t="s">
        <v>5</v>
      </c>
      <c r="E43" s="158">
        <f>E42/E41*100</f>
        <v>5</v>
      </c>
      <c r="F43" s="127"/>
      <c r="G43" s="128" t="s">
        <v>5</v>
      </c>
      <c r="H43" s="162">
        <f>H42/H41*100</f>
        <v>12.5</v>
      </c>
      <c r="I43" s="127"/>
      <c r="J43" s="128" t="s">
        <v>5</v>
      </c>
      <c r="K43" s="162">
        <f>K42/K41*100</f>
        <v>0</v>
      </c>
      <c r="L43" s="127"/>
      <c r="M43" s="128" t="s">
        <v>5</v>
      </c>
      <c r="N43" s="162">
        <f>N42/N41*100</f>
        <v>0</v>
      </c>
      <c r="O43" s="127"/>
      <c r="P43" s="128" t="s">
        <v>5</v>
      </c>
      <c r="Q43" s="162">
        <f>Q42/Q41*100</f>
        <v>0</v>
      </c>
      <c r="R43" s="127"/>
      <c r="S43" s="128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83</v>
      </c>
      <c r="C45" s="127"/>
      <c r="D45" s="127"/>
      <c r="E45" s="127"/>
      <c r="F45" s="127"/>
      <c r="G45" s="154" t="s">
        <v>123</v>
      </c>
      <c r="H45" s="154">
        <f>SUM(B31+B45)</f>
        <v>345</v>
      </c>
      <c r="I45" s="204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SUM(B37+B42)</f>
        <v>3</v>
      </c>
      <c r="C46" s="127"/>
      <c r="D46" s="127"/>
      <c r="E46" s="127"/>
      <c r="F46" s="127"/>
      <c r="G46" s="154" t="s">
        <v>44</v>
      </c>
      <c r="H46" s="170">
        <f>SUM(B32+B37+B42+B46)</f>
        <v>47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158">
        <f>B46/B45*100</f>
        <v>3.6144578313253009</v>
      </c>
      <c r="C47" s="127"/>
      <c r="D47" s="127"/>
      <c r="E47" s="127"/>
      <c r="F47" s="127"/>
      <c r="G47" s="171" t="s">
        <v>11</v>
      </c>
      <c r="H47" s="158">
        <f>H46/H45*100</f>
        <v>13.623188405797102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ht="21.75" customHeight="1" x14ac:dyDescent="0.25">
      <c r="A49" s="315" t="s">
        <v>58</v>
      </c>
      <c r="B49" s="316"/>
      <c r="C49" s="127"/>
      <c r="D49" s="315" t="s">
        <v>239</v>
      </c>
      <c r="E49" s="31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spans="1:20" x14ac:dyDescent="0.25">
      <c r="A50" s="163" t="s">
        <v>28</v>
      </c>
      <c r="B50" s="163">
        <v>33</v>
      </c>
      <c r="C50" s="127"/>
      <c r="D50" s="163" t="s">
        <v>28</v>
      </c>
      <c r="E50" s="163">
        <v>16</v>
      </c>
      <c r="F50" s="127"/>
      <c r="G50" s="127"/>
      <c r="H50" s="127"/>
      <c r="I50" s="127"/>
      <c r="J50" s="127"/>
    </row>
    <row r="51" spans="1:20" x14ac:dyDescent="0.25">
      <c r="A51" s="185" t="s">
        <v>228</v>
      </c>
      <c r="B51" s="167">
        <v>0</v>
      </c>
      <c r="C51" s="127"/>
      <c r="D51" s="187" t="s">
        <v>238</v>
      </c>
      <c r="E51" s="167">
        <v>0</v>
      </c>
      <c r="F51" s="127"/>
      <c r="G51" s="127"/>
      <c r="H51" s="127"/>
      <c r="I51" s="127"/>
      <c r="J51" s="127"/>
    </row>
    <row r="52" spans="1:20" x14ac:dyDescent="0.25">
      <c r="A52" s="128" t="s">
        <v>5</v>
      </c>
      <c r="B52" s="158">
        <f>B51/B50*100</f>
        <v>0</v>
      </c>
      <c r="C52" s="127"/>
      <c r="D52" s="128" t="s">
        <v>5</v>
      </c>
      <c r="E52" s="158">
        <f>E51/E50*100</f>
        <v>0</v>
      </c>
      <c r="F52" s="127"/>
      <c r="G52" s="127"/>
      <c r="H52" s="127"/>
      <c r="I52" s="127"/>
      <c r="J52" s="127"/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M53" s="210"/>
    </row>
    <row r="54" spans="1:20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  <row r="55" spans="1:20" ht="18" customHeight="1" x14ac:dyDescent="0.25">
      <c r="A55" s="342" t="s">
        <v>208</v>
      </c>
      <c r="B55" s="342"/>
      <c r="C55" s="342"/>
      <c r="D55" s="342"/>
      <c r="E55" s="342"/>
      <c r="F55" s="342"/>
      <c r="G55" s="342"/>
      <c r="H55" s="342"/>
      <c r="I55" s="342"/>
      <c r="J55" s="342"/>
    </row>
    <row r="56" spans="1:20" x14ac:dyDescent="0.25">
      <c r="A56" s="341" t="s">
        <v>261</v>
      </c>
      <c r="B56" s="341"/>
      <c r="C56" s="341"/>
      <c r="D56" s="341" t="s">
        <v>146</v>
      </c>
      <c r="E56" s="341"/>
      <c r="F56" s="341"/>
      <c r="G56" s="343"/>
      <c r="H56" s="344"/>
      <c r="I56" s="344"/>
      <c r="J56" s="345"/>
    </row>
    <row r="57" spans="1:20" x14ac:dyDescent="0.25">
      <c r="A57" s="341" t="s">
        <v>262</v>
      </c>
      <c r="B57" s="341"/>
      <c r="C57" s="341"/>
      <c r="D57" s="341" t="s">
        <v>45</v>
      </c>
      <c r="E57" s="341"/>
      <c r="F57" s="341"/>
      <c r="G57" s="338"/>
      <c r="H57" s="339"/>
      <c r="I57" s="339"/>
      <c r="J57" s="340"/>
    </row>
    <row r="58" spans="1:20" x14ac:dyDescent="0.25">
      <c r="A58" s="341" t="s">
        <v>263</v>
      </c>
      <c r="B58" s="341"/>
      <c r="C58" s="341"/>
      <c r="D58" s="341" t="s">
        <v>45</v>
      </c>
      <c r="E58" s="341"/>
      <c r="F58" s="341"/>
      <c r="G58" s="338"/>
      <c r="H58" s="339"/>
      <c r="I58" s="339"/>
      <c r="J58" s="340"/>
    </row>
    <row r="59" spans="1:20" x14ac:dyDescent="0.25">
      <c r="A59" s="338" t="s">
        <v>264</v>
      </c>
      <c r="B59" s="339"/>
      <c r="C59" s="340"/>
      <c r="D59" s="338" t="s">
        <v>265</v>
      </c>
      <c r="E59" s="339"/>
      <c r="F59" s="340"/>
      <c r="G59" s="338"/>
      <c r="H59" s="339"/>
      <c r="I59" s="339"/>
      <c r="J59" s="340"/>
    </row>
    <row r="60" spans="1:20" x14ac:dyDescent="0.25">
      <c r="A60" s="338" t="s">
        <v>266</v>
      </c>
      <c r="B60" s="339"/>
      <c r="C60" s="340"/>
      <c r="D60" s="338" t="s">
        <v>265</v>
      </c>
      <c r="E60" s="339"/>
      <c r="F60" s="340"/>
      <c r="G60" s="338"/>
      <c r="H60" s="339"/>
      <c r="I60" s="339"/>
      <c r="J60" s="340"/>
    </row>
    <row r="61" spans="1:20" x14ac:dyDescent="0.25">
      <c r="A61" s="338" t="s">
        <v>267</v>
      </c>
      <c r="B61" s="339"/>
      <c r="C61" s="340"/>
      <c r="D61" s="338" t="s">
        <v>247</v>
      </c>
      <c r="E61" s="339"/>
      <c r="F61" s="340"/>
      <c r="G61" s="338"/>
      <c r="H61" s="339"/>
      <c r="I61" s="339"/>
      <c r="J61" s="340"/>
    </row>
  </sheetData>
  <mergeCells count="58">
    <mergeCell ref="A1:B1"/>
    <mergeCell ref="D1:E1"/>
    <mergeCell ref="A10:B10"/>
    <mergeCell ref="D10:E10"/>
    <mergeCell ref="G10:H10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S40:T40"/>
    <mergeCell ref="A49:B49"/>
    <mergeCell ref="D49:E49"/>
    <mergeCell ref="A55:J55"/>
    <mergeCell ref="A56:C56"/>
    <mergeCell ref="D56:F56"/>
    <mergeCell ref="G56:J56"/>
    <mergeCell ref="A40:B40"/>
    <mergeCell ref="D40:E40"/>
    <mergeCell ref="G40:H40"/>
    <mergeCell ref="J40:K40"/>
    <mergeCell ref="M40:N40"/>
    <mergeCell ref="P40:Q40"/>
    <mergeCell ref="A57:C57"/>
    <mergeCell ref="D57:F57"/>
    <mergeCell ref="G57:J57"/>
    <mergeCell ref="A58:C58"/>
    <mergeCell ref="D58:F58"/>
    <mergeCell ref="G58:J58"/>
    <mergeCell ref="A61:C61"/>
    <mergeCell ref="D61:F61"/>
    <mergeCell ref="G61:J61"/>
    <mergeCell ref="A59:C59"/>
    <mergeCell ref="D59:F59"/>
    <mergeCell ref="G59:J59"/>
    <mergeCell ref="A60:C60"/>
    <mergeCell ref="D60:F60"/>
    <mergeCell ref="G60:J6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A8" sqref="A8"/>
    </sheetView>
  </sheetViews>
  <sheetFormatPr baseColWidth="10" defaultColWidth="14.42578125" defaultRowHeight="15" customHeight="1" x14ac:dyDescent="0.25"/>
  <cols>
    <col min="1" max="1" width="23.140625" customWidth="1"/>
    <col min="2" max="3" width="10.7109375" customWidth="1"/>
    <col min="4" max="4" width="28.5703125" customWidth="1"/>
    <col min="5" max="5" width="10.7109375" customWidth="1"/>
    <col min="6" max="6" width="27.42578125" customWidth="1"/>
    <col min="7" max="7" width="10.7109375" customWidth="1"/>
    <col min="8" max="8" width="32.140625" customWidth="1"/>
    <col min="9" max="9" width="10.7109375" customWidth="1"/>
    <col min="10" max="10" width="24.85546875" customWidth="1"/>
  </cols>
  <sheetData>
    <row r="1" spans="1:26" x14ac:dyDescent="0.25">
      <c r="A1" s="346" t="s">
        <v>0</v>
      </c>
      <c r="B1" s="3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1</v>
      </c>
      <c r="B2" s="1">
        <v>490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2</v>
      </c>
      <c r="B3" s="1">
        <v>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3</v>
      </c>
      <c r="B4" s="1">
        <f>B2+B3</f>
        <v>528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4</v>
      </c>
      <c r="B6" s="1">
        <v>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5</v>
      </c>
      <c r="B8" s="2">
        <f>B6/B4*100</f>
        <v>9.0909090909090917</v>
      </c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46" t="s">
        <v>6</v>
      </c>
      <c r="B10" s="347"/>
      <c r="C10" s="1"/>
      <c r="D10" s="29" t="s">
        <v>7</v>
      </c>
      <c r="E10" s="1"/>
      <c r="F10" s="29" t="s">
        <v>8</v>
      </c>
      <c r="G10" s="1"/>
      <c r="H10" s="29" t="s">
        <v>9</v>
      </c>
      <c r="I10" s="1"/>
      <c r="J10" s="29" t="s">
        <v>10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1</v>
      </c>
      <c r="B11" s="1">
        <v>123</v>
      </c>
      <c r="C11" s="1"/>
      <c r="D11" s="1">
        <v>85</v>
      </c>
      <c r="E11" s="1"/>
      <c r="F11" s="1">
        <v>16</v>
      </c>
      <c r="G11" s="1"/>
      <c r="H11" s="1">
        <v>21</v>
      </c>
      <c r="I11" s="1"/>
      <c r="J11" s="1">
        <v>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2</v>
      </c>
      <c r="B12" s="1">
        <v>10</v>
      </c>
      <c r="C12" s="1"/>
      <c r="D12" s="1">
        <v>0</v>
      </c>
      <c r="E12" s="1"/>
      <c r="F12" s="1">
        <v>9</v>
      </c>
      <c r="G12" s="1"/>
      <c r="H12" s="1">
        <v>0</v>
      </c>
      <c r="I12" s="1"/>
      <c r="J12" s="1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3</v>
      </c>
      <c r="B13" s="1">
        <f>B11+B12</f>
        <v>133</v>
      </c>
      <c r="C13" s="1"/>
      <c r="D13" s="1">
        <v>85</v>
      </c>
      <c r="E13" s="1"/>
      <c r="F13" s="1">
        <f>F11+F12</f>
        <v>25</v>
      </c>
      <c r="G13" s="1"/>
      <c r="H13" s="1">
        <v>21</v>
      </c>
      <c r="I13" s="1"/>
      <c r="J13" s="1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4</v>
      </c>
      <c r="B15" s="1">
        <v>26</v>
      </c>
      <c r="C15" s="1"/>
      <c r="D15" s="1">
        <v>20</v>
      </c>
      <c r="E15" s="1"/>
      <c r="F15" s="1">
        <v>5</v>
      </c>
      <c r="G15" s="1"/>
      <c r="H15" s="1">
        <v>1</v>
      </c>
      <c r="I15" s="1"/>
      <c r="J15" s="1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5</v>
      </c>
      <c r="B17" s="2">
        <f>B15/B13*100</f>
        <v>19.548872180451127</v>
      </c>
      <c r="C17" s="1"/>
      <c r="D17" s="2">
        <f>D15/D11*100</f>
        <v>23.52941176470588</v>
      </c>
      <c r="E17" s="1"/>
      <c r="F17" s="2">
        <f>F15/F13*100</f>
        <v>20</v>
      </c>
      <c r="G17" s="1"/>
      <c r="H17" s="2">
        <f>H15/H13*100</f>
        <v>4.7619047619047619</v>
      </c>
      <c r="I17" s="1"/>
      <c r="J17" s="1">
        <f>J15/J13*100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46" t="s">
        <v>11</v>
      </c>
      <c r="B20" s="347"/>
      <c r="C20" s="1"/>
      <c r="D20" s="29" t="s">
        <v>12</v>
      </c>
      <c r="E20" s="1"/>
      <c r="F20" s="29" t="s">
        <v>13</v>
      </c>
      <c r="G20" s="1"/>
      <c r="H20" s="29" t="s">
        <v>14</v>
      </c>
      <c r="I20" s="1"/>
      <c r="J20" s="29" t="s">
        <v>10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1</v>
      </c>
      <c r="B21" s="1">
        <v>261</v>
      </c>
      <c r="C21" s="1"/>
      <c r="D21" s="1">
        <v>176</v>
      </c>
      <c r="E21" s="1"/>
      <c r="F21" s="1">
        <v>28</v>
      </c>
      <c r="G21" s="1"/>
      <c r="H21" s="1">
        <v>49</v>
      </c>
      <c r="I21" s="1"/>
      <c r="J21" s="1">
        <v>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2</v>
      </c>
      <c r="B22" s="1">
        <v>28</v>
      </c>
      <c r="C22" s="1"/>
      <c r="D22" s="1">
        <v>0</v>
      </c>
      <c r="E22" s="1"/>
      <c r="F22" s="1">
        <v>28</v>
      </c>
      <c r="G22" s="1"/>
      <c r="H22" s="1">
        <v>0</v>
      </c>
      <c r="I22" s="1"/>
      <c r="J22" s="1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3</v>
      </c>
      <c r="B23" s="1">
        <f>B21+B22</f>
        <v>289</v>
      </c>
      <c r="C23" s="1"/>
      <c r="D23" s="1">
        <f>D21+D22</f>
        <v>176</v>
      </c>
      <c r="E23" s="1"/>
      <c r="F23" s="1">
        <f>F21+F22</f>
        <v>56</v>
      </c>
      <c r="G23" s="1"/>
      <c r="H23" s="1">
        <v>49</v>
      </c>
      <c r="I23" s="1"/>
      <c r="J23" s="1">
        <v>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4</v>
      </c>
      <c r="B25" s="1">
        <v>18</v>
      </c>
      <c r="C25" s="1"/>
      <c r="D25" s="1">
        <v>10</v>
      </c>
      <c r="E25" s="1"/>
      <c r="F25" s="1">
        <v>5</v>
      </c>
      <c r="G25" s="1"/>
      <c r="H25" s="1">
        <v>3</v>
      </c>
      <c r="I25" s="1"/>
      <c r="J25" s="1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5</v>
      </c>
      <c r="B27" s="2">
        <f>B25/B23*100</f>
        <v>6.2283737024221448</v>
      </c>
      <c r="C27" s="1"/>
      <c r="D27" s="2">
        <f>D25/D23*100</f>
        <v>5.6818181818181817</v>
      </c>
      <c r="E27" s="1"/>
      <c r="F27" s="2">
        <f>F25/F23*100</f>
        <v>8.9285714285714288</v>
      </c>
      <c r="G27" s="1"/>
      <c r="H27" s="2">
        <f>H25/H23*100</f>
        <v>6.1224489795918364</v>
      </c>
      <c r="I27" s="1"/>
      <c r="J27" s="2">
        <f>J25/J23*100</f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29" t="s">
        <v>15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1</v>
      </c>
      <c r="B30" s="1">
        <v>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2</v>
      </c>
      <c r="B31" s="1">
        <v>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3</v>
      </c>
      <c r="B32" s="1">
        <v>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4</v>
      </c>
      <c r="B34" s="1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5</v>
      </c>
      <c r="B36" s="2">
        <f>B34/B32*100</f>
        <v>8.1081081081081088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9" t="s">
        <v>16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1</v>
      </c>
      <c r="B39" s="1">
        <v>34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2</v>
      </c>
      <c r="B40" s="1">
        <v>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17</v>
      </c>
      <c r="B41" s="1">
        <v>34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4</v>
      </c>
      <c r="B43" s="1">
        <v>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5</v>
      </c>
      <c r="B45" s="2">
        <f>B43/B41*100</f>
        <v>2.9411764705882351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B1"/>
    <mergeCell ref="A10:B10"/>
    <mergeCell ref="A20:B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workbookViewId="0">
      <selection activeCell="J27" activeCellId="13" sqref="A9 D9 G9 J9 M9 M18 J18 G18 D18 A18 A27 D27 G27 J27"/>
    </sheetView>
  </sheetViews>
  <sheetFormatPr baseColWidth="10" defaultColWidth="14.42578125" defaultRowHeight="15" customHeight="1" x14ac:dyDescent="0.25"/>
  <cols>
    <col min="1" max="1" width="23.140625" customWidth="1"/>
    <col min="2" max="2" width="12.5703125" customWidth="1"/>
    <col min="3" max="3" width="10.7109375" customWidth="1"/>
    <col min="4" max="4" width="20.140625" customWidth="1"/>
    <col min="5" max="6" width="10.7109375" customWidth="1"/>
    <col min="7" max="7" width="17.28515625" customWidth="1"/>
    <col min="8" max="9" width="10.7109375" customWidth="1"/>
    <col min="10" max="10" width="22" customWidth="1"/>
    <col min="11" max="12" width="10.7109375" customWidth="1"/>
    <col min="13" max="13" width="23.5703125" customWidth="1"/>
    <col min="14" max="26" width="10.7109375" customWidth="1"/>
  </cols>
  <sheetData>
    <row r="1" spans="1:14" ht="15" customHeight="1" x14ac:dyDescent="0.5">
      <c r="A1" s="348" t="s">
        <v>18</v>
      </c>
      <c r="B1" s="34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19</v>
      </c>
      <c r="B2" s="5">
        <v>483</v>
      </c>
    </row>
    <row r="3" spans="1:14" x14ac:dyDescent="0.25">
      <c r="A3" s="4" t="s">
        <v>20</v>
      </c>
      <c r="B3" s="5">
        <v>34</v>
      </c>
    </row>
    <row r="4" spans="1:14" x14ac:dyDescent="0.25">
      <c r="A4" s="4" t="s">
        <v>21</v>
      </c>
      <c r="B4" s="5">
        <f>B2+B3</f>
        <v>517</v>
      </c>
    </row>
    <row r="5" spans="1:14" x14ac:dyDescent="0.25">
      <c r="B5" s="5"/>
    </row>
    <row r="6" spans="1:14" x14ac:dyDescent="0.25">
      <c r="A6" s="4" t="s">
        <v>22</v>
      </c>
      <c r="B6" s="6">
        <v>44</v>
      </c>
    </row>
    <row r="7" spans="1:14" x14ac:dyDescent="0.25">
      <c r="A7" s="4" t="s">
        <v>23</v>
      </c>
      <c r="B7" s="7">
        <f>B6/B4*100</f>
        <v>8.5106382978723403</v>
      </c>
    </row>
    <row r="8" spans="1:14" x14ac:dyDescent="0.25">
      <c r="B8" s="5"/>
    </row>
    <row r="9" spans="1:14" x14ac:dyDescent="0.25">
      <c r="A9" s="29" t="s">
        <v>6</v>
      </c>
      <c r="D9" s="29" t="s">
        <v>24</v>
      </c>
      <c r="G9" s="29" t="s">
        <v>25</v>
      </c>
      <c r="J9" s="29" t="s">
        <v>26</v>
      </c>
      <c r="M9" s="29" t="s">
        <v>27</v>
      </c>
    </row>
    <row r="10" spans="1:14" x14ac:dyDescent="0.25">
      <c r="A10" s="4" t="s">
        <v>28</v>
      </c>
      <c r="B10" s="4">
        <v>119</v>
      </c>
      <c r="D10" s="4" t="s">
        <v>29</v>
      </c>
      <c r="E10" s="4">
        <v>81</v>
      </c>
      <c r="G10" s="4" t="s">
        <v>29</v>
      </c>
      <c r="H10" s="4">
        <v>13</v>
      </c>
      <c r="J10" s="4" t="s">
        <v>29</v>
      </c>
      <c r="K10" s="4">
        <v>25</v>
      </c>
      <c r="M10" s="4" t="s">
        <v>29</v>
      </c>
      <c r="N10" s="4">
        <v>2</v>
      </c>
    </row>
    <row r="11" spans="1:14" x14ac:dyDescent="0.25">
      <c r="A11" s="4" t="s">
        <v>30</v>
      </c>
      <c r="B11" s="4">
        <v>9</v>
      </c>
      <c r="D11" s="4" t="s">
        <v>30</v>
      </c>
      <c r="E11" s="4">
        <v>0</v>
      </c>
      <c r="G11" s="4" t="s">
        <v>30</v>
      </c>
      <c r="H11" s="4">
        <v>9</v>
      </c>
      <c r="J11" s="4" t="s">
        <v>30</v>
      </c>
      <c r="K11" s="4">
        <v>0</v>
      </c>
      <c r="M11" s="4" t="s">
        <v>30</v>
      </c>
      <c r="N11" s="4">
        <v>0</v>
      </c>
    </row>
    <row r="12" spans="1:14" x14ac:dyDescent="0.25">
      <c r="A12" s="4" t="s">
        <v>31</v>
      </c>
      <c r="B12" s="4">
        <f>B10+B11</f>
        <v>128</v>
      </c>
      <c r="D12" s="4" t="s">
        <v>31</v>
      </c>
      <c r="E12" s="4">
        <f>E10+E11</f>
        <v>81</v>
      </c>
      <c r="G12" s="4" t="s">
        <v>31</v>
      </c>
      <c r="H12" s="4">
        <f>H10+H11</f>
        <v>22</v>
      </c>
      <c r="J12" s="4" t="s">
        <v>31</v>
      </c>
      <c r="K12" s="4">
        <f>K10+K11</f>
        <v>25</v>
      </c>
      <c r="M12" s="4" t="s">
        <v>31</v>
      </c>
      <c r="N12" s="4">
        <f>N10+N11</f>
        <v>2</v>
      </c>
    </row>
    <row r="15" spans="1:14" x14ac:dyDescent="0.25">
      <c r="A15" s="4" t="s">
        <v>4</v>
      </c>
      <c r="B15" s="4">
        <v>11</v>
      </c>
      <c r="D15" s="4" t="s">
        <v>4</v>
      </c>
      <c r="E15" s="4">
        <v>4</v>
      </c>
      <c r="G15" s="4" t="s">
        <v>4</v>
      </c>
      <c r="H15" s="4">
        <v>1</v>
      </c>
      <c r="J15" s="4" t="s">
        <v>4</v>
      </c>
      <c r="K15" s="4">
        <v>6</v>
      </c>
      <c r="M15" s="4" t="s">
        <v>4</v>
      </c>
      <c r="N15" s="4">
        <v>0</v>
      </c>
    </row>
    <row r="16" spans="1:14" x14ac:dyDescent="0.25">
      <c r="A16" s="4" t="s">
        <v>5</v>
      </c>
      <c r="B16" s="2">
        <f>B15/128*100</f>
        <v>8.59375</v>
      </c>
      <c r="D16" s="4" t="s">
        <v>5</v>
      </c>
      <c r="E16" s="2">
        <f>E15/128*100</f>
        <v>3.125</v>
      </c>
      <c r="G16" s="4" t="s">
        <v>5</v>
      </c>
      <c r="H16" s="2">
        <f>H15/128*100</f>
        <v>0.78125</v>
      </c>
      <c r="J16" s="4" t="s">
        <v>5</v>
      </c>
      <c r="K16" s="2">
        <f>K15/128*100</f>
        <v>4.6875</v>
      </c>
      <c r="M16" s="4" t="s">
        <v>5</v>
      </c>
    </row>
    <row r="18" spans="1:14" x14ac:dyDescent="0.25">
      <c r="A18" s="29" t="s">
        <v>32</v>
      </c>
      <c r="D18" s="29" t="s">
        <v>33</v>
      </c>
      <c r="G18" s="29" t="s">
        <v>34</v>
      </c>
      <c r="J18" s="29" t="s">
        <v>35</v>
      </c>
      <c r="M18" s="29" t="s">
        <v>36</v>
      </c>
    </row>
    <row r="19" spans="1:14" x14ac:dyDescent="0.25">
      <c r="A19" s="4" t="s">
        <v>28</v>
      </c>
      <c r="B19" s="4">
        <v>258</v>
      </c>
      <c r="D19" s="4" t="s">
        <v>28</v>
      </c>
      <c r="E19" s="4">
        <v>176</v>
      </c>
      <c r="G19" s="4" t="s">
        <v>28</v>
      </c>
      <c r="H19" s="4">
        <v>28</v>
      </c>
      <c r="J19" s="4" t="s">
        <v>28</v>
      </c>
      <c r="K19" s="4">
        <v>46</v>
      </c>
      <c r="M19" s="4" t="s">
        <v>28</v>
      </c>
      <c r="N19" s="4">
        <v>8</v>
      </c>
    </row>
    <row r="20" spans="1:14" x14ac:dyDescent="0.25">
      <c r="A20" s="4" t="s">
        <v>30</v>
      </c>
      <c r="B20" s="4">
        <v>24</v>
      </c>
      <c r="D20" s="4" t="s">
        <v>30</v>
      </c>
      <c r="E20" s="4">
        <v>0</v>
      </c>
      <c r="G20" s="4" t="s">
        <v>30</v>
      </c>
      <c r="H20" s="4">
        <v>24</v>
      </c>
      <c r="J20" s="4" t="s">
        <v>30</v>
      </c>
      <c r="K20" s="4">
        <v>0</v>
      </c>
      <c r="M20" s="4" t="s">
        <v>30</v>
      </c>
      <c r="N20" s="4">
        <v>0</v>
      </c>
    </row>
    <row r="21" spans="1:14" ht="15.75" customHeight="1" x14ac:dyDescent="0.25">
      <c r="A21" s="4" t="s">
        <v>31</v>
      </c>
      <c r="B21" s="4">
        <f>B19+B20</f>
        <v>282</v>
      </c>
      <c r="D21" s="4" t="s">
        <v>31</v>
      </c>
      <c r="E21" s="4">
        <f>E19+E20</f>
        <v>176</v>
      </c>
      <c r="G21" s="4" t="s">
        <v>31</v>
      </c>
      <c r="H21" s="4">
        <f>H19+H20</f>
        <v>52</v>
      </c>
      <c r="J21" s="4" t="s">
        <v>31</v>
      </c>
      <c r="K21" s="4">
        <f>K19+K20</f>
        <v>46</v>
      </c>
      <c r="M21" s="4" t="s">
        <v>31</v>
      </c>
      <c r="N21" s="4">
        <f>N19+N20</f>
        <v>8</v>
      </c>
    </row>
    <row r="22" spans="1:14" ht="15.75" customHeight="1" x14ac:dyDescent="0.25"/>
    <row r="23" spans="1:14" ht="15.75" customHeight="1" x14ac:dyDescent="0.25"/>
    <row r="24" spans="1:14" ht="15.75" customHeight="1" x14ac:dyDescent="0.25">
      <c r="A24" s="4" t="s">
        <v>4</v>
      </c>
      <c r="B24" s="4">
        <v>28</v>
      </c>
      <c r="D24" s="4" t="s">
        <v>4</v>
      </c>
      <c r="E24" s="4">
        <v>14</v>
      </c>
      <c r="G24" s="4" t="s">
        <v>4</v>
      </c>
      <c r="H24" s="4">
        <v>9</v>
      </c>
      <c r="J24" s="4" t="s">
        <v>4</v>
      </c>
      <c r="K24" s="4">
        <v>4</v>
      </c>
      <c r="M24" s="4" t="s">
        <v>4</v>
      </c>
      <c r="N24" s="4">
        <v>1</v>
      </c>
    </row>
    <row r="25" spans="1:14" ht="15.75" customHeight="1" x14ac:dyDescent="0.25">
      <c r="A25" s="4" t="s">
        <v>5</v>
      </c>
      <c r="B25" s="2">
        <f>B24/B21*100</f>
        <v>9.9290780141843982</v>
      </c>
      <c r="D25" s="4" t="s">
        <v>5</v>
      </c>
      <c r="E25" s="2">
        <f>E24/128*100</f>
        <v>10.9375</v>
      </c>
      <c r="G25" s="4" t="s">
        <v>5</v>
      </c>
      <c r="H25" s="2">
        <f>H24/128*100</f>
        <v>7.03125</v>
      </c>
      <c r="J25" s="4" t="s">
        <v>5</v>
      </c>
      <c r="K25" s="2">
        <f>K24/128*100</f>
        <v>3.125</v>
      </c>
      <c r="M25" s="4" t="s">
        <v>5</v>
      </c>
      <c r="N25" s="2">
        <f>N24/128*100</f>
        <v>0.78125</v>
      </c>
    </row>
    <row r="26" spans="1:14" ht="15.75" customHeight="1" x14ac:dyDescent="0.25"/>
    <row r="27" spans="1:14" ht="15.75" customHeight="1" x14ac:dyDescent="0.25">
      <c r="A27" s="29" t="s">
        <v>15</v>
      </c>
      <c r="D27" s="29" t="s">
        <v>37</v>
      </c>
      <c r="G27" s="29" t="s">
        <v>38</v>
      </c>
      <c r="J27" s="29" t="s">
        <v>39</v>
      </c>
    </row>
    <row r="28" spans="1:14" ht="15.75" customHeight="1" x14ac:dyDescent="0.25">
      <c r="A28" s="4" t="s">
        <v>28</v>
      </c>
      <c r="B28" s="4">
        <v>40</v>
      </c>
      <c r="D28" s="4" t="s">
        <v>28</v>
      </c>
      <c r="E28" s="4">
        <v>15</v>
      </c>
      <c r="G28" s="4" t="s">
        <v>28</v>
      </c>
      <c r="H28" s="4">
        <v>6</v>
      </c>
      <c r="J28" s="4" t="s">
        <v>4</v>
      </c>
      <c r="K28" s="4">
        <v>1</v>
      </c>
    </row>
    <row r="29" spans="1:14" ht="15.75" customHeight="1" x14ac:dyDescent="0.25">
      <c r="A29" s="4" t="s">
        <v>30</v>
      </c>
      <c r="B29" s="4">
        <v>0</v>
      </c>
      <c r="D29" s="4" t="s">
        <v>30</v>
      </c>
      <c r="E29" s="4">
        <v>0</v>
      </c>
      <c r="G29" s="4" t="s">
        <v>30</v>
      </c>
      <c r="H29" s="4">
        <v>1</v>
      </c>
    </row>
    <row r="30" spans="1:14" ht="15.75" customHeight="1" x14ac:dyDescent="0.25">
      <c r="A30" s="4" t="s">
        <v>31</v>
      </c>
      <c r="B30" s="4">
        <f>B28+B29</f>
        <v>40</v>
      </c>
      <c r="D30" s="4" t="s">
        <v>31</v>
      </c>
      <c r="E30" s="4">
        <f>E28+E29</f>
        <v>15</v>
      </c>
      <c r="G30" s="4" t="s">
        <v>31</v>
      </c>
      <c r="H30" s="4">
        <f>H28+H29</f>
        <v>7</v>
      </c>
    </row>
    <row r="31" spans="1:14" ht="15.75" customHeight="1" x14ac:dyDescent="0.25"/>
    <row r="32" spans="1:14" ht="15.75" customHeight="1" x14ac:dyDescent="0.25"/>
    <row r="33" spans="1:8" ht="15.75" customHeight="1" x14ac:dyDescent="0.25">
      <c r="A33" s="4" t="s">
        <v>4</v>
      </c>
      <c r="B33" s="4">
        <v>2</v>
      </c>
      <c r="D33" s="4" t="s">
        <v>4</v>
      </c>
      <c r="E33" s="4">
        <v>1</v>
      </c>
      <c r="G33" s="4" t="s">
        <v>4</v>
      </c>
      <c r="H33" s="4">
        <v>1</v>
      </c>
    </row>
    <row r="34" spans="1:8" ht="15.75" customHeight="1" x14ac:dyDescent="0.25">
      <c r="A34" s="4" t="s">
        <v>5</v>
      </c>
      <c r="B34" s="2">
        <f>B33/B30*100</f>
        <v>5</v>
      </c>
      <c r="D34" s="4" t="s">
        <v>5</v>
      </c>
      <c r="E34" s="2">
        <f>E33/E30*100</f>
        <v>6.666666666666667</v>
      </c>
      <c r="G34" s="4" t="s">
        <v>5</v>
      </c>
      <c r="H34" s="2">
        <f>H33/128*100</f>
        <v>0.78125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4"/>
  <sheetViews>
    <sheetView showGridLines="0" workbookViewId="0">
      <selection activeCell="B6" sqref="B6"/>
    </sheetView>
  </sheetViews>
  <sheetFormatPr baseColWidth="10" defaultColWidth="14.42578125" defaultRowHeight="15" customHeight="1" x14ac:dyDescent="0.25"/>
  <cols>
    <col min="1" max="1" width="22.28515625" customWidth="1"/>
    <col min="4" max="4" width="30.42578125" customWidth="1"/>
    <col min="7" max="7" width="16.28515625" customWidth="1"/>
    <col min="10" max="10" width="16.85546875" customWidth="1"/>
    <col min="13" max="13" width="16" customWidth="1"/>
  </cols>
  <sheetData>
    <row r="1" spans="1:14" ht="15" customHeight="1" x14ac:dyDescent="0.5">
      <c r="A1" s="351" t="s">
        <v>18</v>
      </c>
      <c r="B1" s="352"/>
      <c r="C1" s="8"/>
      <c r="D1" s="3"/>
      <c r="E1" s="3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486</v>
      </c>
    </row>
    <row r="3" spans="1:14" x14ac:dyDescent="0.25">
      <c r="A3" s="10" t="s">
        <v>30</v>
      </c>
      <c r="B3" s="11">
        <v>31</v>
      </c>
    </row>
    <row r="4" spans="1:14" x14ac:dyDescent="0.25">
      <c r="A4" s="10" t="s">
        <v>3</v>
      </c>
      <c r="B4" s="11">
        <f>B2+B3</f>
        <v>517</v>
      </c>
      <c r="D4" s="12"/>
    </row>
    <row r="5" spans="1:14" x14ac:dyDescent="0.25">
      <c r="B5" s="13"/>
      <c r="D5" s="12"/>
    </row>
    <row r="6" spans="1:14" x14ac:dyDescent="0.25">
      <c r="A6" s="10" t="s">
        <v>4</v>
      </c>
      <c r="B6" s="14">
        <v>38</v>
      </c>
    </row>
    <row r="7" spans="1:14" x14ac:dyDescent="0.25">
      <c r="A7" s="10" t="s">
        <v>5</v>
      </c>
      <c r="B7" s="15">
        <f>B6/B4*100</f>
        <v>7.3500967117988401</v>
      </c>
    </row>
    <row r="8" spans="1:14" x14ac:dyDescent="0.25">
      <c r="B8" s="13"/>
    </row>
    <row r="9" spans="1:14" x14ac:dyDescent="0.25">
      <c r="A9" s="353" t="s">
        <v>6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f t="shared" ref="B10:B12" si="0">E10+H10+K10+N10</f>
        <v>117</v>
      </c>
      <c r="D10" s="10" t="s">
        <v>29</v>
      </c>
      <c r="E10" s="10">
        <v>79</v>
      </c>
      <c r="G10" s="10" t="s">
        <v>29</v>
      </c>
      <c r="H10" s="10">
        <v>12</v>
      </c>
      <c r="J10" s="10" t="s">
        <v>29</v>
      </c>
      <c r="K10" s="10">
        <v>24</v>
      </c>
      <c r="M10" s="10" t="s">
        <v>29</v>
      </c>
      <c r="N10" s="10">
        <v>2</v>
      </c>
    </row>
    <row r="11" spans="1:14" x14ac:dyDescent="0.25">
      <c r="A11" s="10" t="s">
        <v>30</v>
      </c>
      <c r="B11" s="10">
        <f t="shared" si="0"/>
        <v>8</v>
      </c>
      <c r="D11" s="10" t="s">
        <v>30</v>
      </c>
      <c r="E11" s="10">
        <v>0</v>
      </c>
      <c r="G11" s="10" t="s">
        <v>30</v>
      </c>
      <c r="H11" s="10">
        <v>8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 t="shared" si="0"/>
        <v>125</v>
      </c>
      <c r="D12" s="10" t="s">
        <v>31</v>
      </c>
      <c r="E12" s="10">
        <f>E10+E11</f>
        <v>79</v>
      </c>
      <c r="G12" s="10" t="s">
        <v>31</v>
      </c>
      <c r="H12" s="10">
        <f>H10+H11</f>
        <v>20</v>
      </c>
      <c r="J12" s="10" t="s">
        <v>31</v>
      </c>
      <c r="K12" s="10">
        <f>K10+K11</f>
        <v>24</v>
      </c>
      <c r="M12" s="10" t="s">
        <v>31</v>
      </c>
      <c r="N12" s="10">
        <f>N10+N11</f>
        <v>2</v>
      </c>
    </row>
    <row r="15" spans="1:14" x14ac:dyDescent="0.25">
      <c r="A15" s="10" t="s">
        <v>4</v>
      </c>
      <c r="B15" s="16">
        <v>16</v>
      </c>
      <c r="D15" s="10" t="s">
        <v>4</v>
      </c>
      <c r="E15" s="16">
        <v>9</v>
      </c>
      <c r="G15" s="10" t="s">
        <v>4</v>
      </c>
      <c r="H15" s="16">
        <v>3</v>
      </c>
      <c r="J15" s="10" t="s">
        <v>4</v>
      </c>
      <c r="K15" s="27">
        <v>4</v>
      </c>
      <c r="M15" s="10" t="s">
        <v>4</v>
      </c>
      <c r="N15" s="10">
        <v>0</v>
      </c>
    </row>
    <row r="16" spans="1:14" x14ac:dyDescent="0.25">
      <c r="A16" s="10" t="s">
        <v>5</v>
      </c>
      <c r="B16" s="17">
        <f>B15/128*100</f>
        <v>12.5</v>
      </c>
      <c r="D16" s="10" t="s">
        <v>5</v>
      </c>
      <c r="E16" s="17">
        <f>E15/128*100</f>
        <v>7.03125</v>
      </c>
      <c r="G16" s="10" t="s">
        <v>5</v>
      </c>
      <c r="H16" s="17">
        <f>H15/128*100</f>
        <v>2.34375</v>
      </c>
      <c r="J16" s="10" t="s">
        <v>5</v>
      </c>
      <c r="K16" s="28">
        <f>K15/128*100</f>
        <v>3.125</v>
      </c>
      <c r="M16" s="10" t="s">
        <v>5</v>
      </c>
      <c r="N16" s="18">
        <f>N15/128*100</f>
        <v>0</v>
      </c>
    </row>
    <row r="17" spans="1:14" x14ac:dyDescent="0.25">
      <c r="M17" s="19"/>
    </row>
    <row r="18" spans="1:14" x14ac:dyDescent="0.25">
      <c r="A18" s="349" t="s">
        <v>32</v>
      </c>
      <c r="B18" s="350"/>
      <c r="D18" s="20" t="s">
        <v>33</v>
      </c>
      <c r="G18" s="349" t="s">
        <v>34</v>
      </c>
      <c r="H18" s="350"/>
      <c r="J18" s="349" t="s">
        <v>35</v>
      </c>
      <c r="K18" s="350"/>
      <c r="M18" s="354" t="s">
        <v>36</v>
      </c>
      <c r="N18" s="350"/>
    </row>
    <row r="19" spans="1:14" x14ac:dyDescent="0.25">
      <c r="A19" s="10" t="s">
        <v>28</v>
      </c>
      <c r="B19" s="10">
        <f t="shared" ref="B19:B21" si="1">E19+H19+K19+N19</f>
        <v>261</v>
      </c>
      <c r="D19" s="10" t="s">
        <v>28</v>
      </c>
      <c r="E19" s="10">
        <v>179</v>
      </c>
      <c r="G19" s="10" t="s">
        <v>28</v>
      </c>
      <c r="H19" s="10">
        <v>28</v>
      </c>
      <c r="J19" s="10" t="s">
        <v>28</v>
      </c>
      <c r="K19" s="10">
        <v>46</v>
      </c>
      <c r="M19" s="10" t="s">
        <v>28</v>
      </c>
      <c r="N19" s="10">
        <v>8</v>
      </c>
    </row>
    <row r="20" spans="1:14" x14ac:dyDescent="0.25">
      <c r="A20" s="10" t="s">
        <v>30</v>
      </c>
      <c r="B20" s="10">
        <f t="shared" si="1"/>
        <v>22</v>
      </c>
      <c r="D20" s="10" t="s">
        <v>30</v>
      </c>
      <c r="E20" s="10">
        <v>0</v>
      </c>
      <c r="G20" s="10" t="s">
        <v>30</v>
      </c>
      <c r="H20" s="10">
        <v>22</v>
      </c>
      <c r="J20" s="10" t="s">
        <v>30</v>
      </c>
      <c r="K20" s="10">
        <v>0</v>
      </c>
      <c r="M20" s="10" t="s">
        <v>30</v>
      </c>
      <c r="N20" s="10">
        <v>0</v>
      </c>
    </row>
    <row r="21" spans="1:14" x14ac:dyDescent="0.25">
      <c r="A21" s="10" t="s">
        <v>31</v>
      </c>
      <c r="B21" s="10">
        <f t="shared" si="1"/>
        <v>283</v>
      </c>
      <c r="D21" s="10" t="s">
        <v>31</v>
      </c>
      <c r="E21" s="10">
        <f>E19+E20</f>
        <v>179</v>
      </c>
      <c r="G21" s="10" t="s">
        <v>31</v>
      </c>
      <c r="H21" s="10">
        <f>H19+H20</f>
        <v>50</v>
      </c>
      <c r="J21" s="10" t="s">
        <v>31</v>
      </c>
      <c r="K21" s="10">
        <f>K19+K20</f>
        <v>46</v>
      </c>
      <c r="M21" s="10" t="s">
        <v>31</v>
      </c>
      <c r="N21" s="10">
        <f>N19+N20</f>
        <v>8</v>
      </c>
    </row>
    <row r="22" spans="1:14" x14ac:dyDescent="0.25">
      <c r="F22" s="12"/>
    </row>
    <row r="24" spans="1:14" x14ac:dyDescent="0.25">
      <c r="A24" s="10" t="s">
        <v>4</v>
      </c>
      <c r="B24" s="21">
        <v>20</v>
      </c>
      <c r="D24" s="10" t="s">
        <v>4</v>
      </c>
      <c r="E24" s="22">
        <v>13</v>
      </c>
      <c r="G24" s="10" t="s">
        <v>4</v>
      </c>
      <c r="H24" s="21">
        <v>5</v>
      </c>
      <c r="J24" s="10" t="s">
        <v>4</v>
      </c>
      <c r="K24" s="27">
        <v>2</v>
      </c>
      <c r="M24" s="10" t="s">
        <v>4</v>
      </c>
      <c r="N24" s="10">
        <v>0</v>
      </c>
    </row>
    <row r="25" spans="1:14" x14ac:dyDescent="0.25">
      <c r="A25" s="10" t="s">
        <v>5</v>
      </c>
      <c r="B25" s="23">
        <f>B24/B21*100</f>
        <v>7.0671378091872796</v>
      </c>
      <c r="D25" s="10" t="s">
        <v>5</v>
      </c>
      <c r="E25" s="24">
        <f>E24/128*100</f>
        <v>10.15625</v>
      </c>
      <c r="G25" s="10" t="s">
        <v>5</v>
      </c>
      <c r="H25" s="23">
        <f>H24/128*100</f>
        <v>3.90625</v>
      </c>
      <c r="J25" s="10" t="s">
        <v>5</v>
      </c>
      <c r="K25" s="28">
        <f>K24/128*100</f>
        <v>1.5625</v>
      </c>
      <c r="M25" s="10" t="s">
        <v>5</v>
      </c>
      <c r="N25" s="18">
        <f>N24/128*100</f>
        <v>0</v>
      </c>
    </row>
    <row r="27" spans="1:14" x14ac:dyDescent="0.25">
      <c r="A27" s="349" t="s">
        <v>15</v>
      </c>
      <c r="B27" s="350"/>
      <c r="D27" s="349" t="s">
        <v>40</v>
      </c>
      <c r="E27" s="350"/>
      <c r="F27" s="12"/>
      <c r="G27" s="25"/>
      <c r="H27" s="12"/>
      <c r="I27" s="12"/>
      <c r="J27" s="25"/>
      <c r="K27" s="12"/>
      <c r="L27" s="12"/>
      <c r="M27" s="12"/>
    </row>
    <row r="28" spans="1:14" x14ac:dyDescent="0.25">
      <c r="A28" s="10" t="s">
        <v>28</v>
      </c>
      <c r="B28" s="10">
        <v>40</v>
      </c>
      <c r="D28" s="26" t="s">
        <v>41</v>
      </c>
      <c r="E28" s="26">
        <v>1</v>
      </c>
      <c r="F28" s="12"/>
      <c r="G28" s="12"/>
      <c r="H28" s="12"/>
      <c r="I28" s="12"/>
      <c r="J28" s="12"/>
      <c r="K28" s="12"/>
      <c r="L28" s="12"/>
      <c r="M28" s="12"/>
    </row>
    <row r="29" spans="1:14" x14ac:dyDescent="0.25">
      <c r="A29" s="10" t="s">
        <v>30</v>
      </c>
      <c r="B29" s="10"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4" x14ac:dyDescent="0.25">
      <c r="A30" s="10" t="s">
        <v>31</v>
      </c>
      <c r="B30" s="10">
        <f>B28+B29</f>
        <v>40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4" x14ac:dyDescent="0.25"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4" x14ac:dyDescent="0.25"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x14ac:dyDescent="0.25">
      <c r="A33" s="10" t="s">
        <v>4</v>
      </c>
      <c r="B33" s="10">
        <v>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x14ac:dyDescent="0.25">
      <c r="A34" s="10" t="s">
        <v>5</v>
      </c>
      <c r="B34" s="18">
        <f>B33/B30*100</f>
        <v>2.5</v>
      </c>
      <c r="E34" s="2"/>
      <c r="H34" s="2"/>
    </row>
  </sheetData>
  <mergeCells count="12">
    <mergeCell ref="M9:N9"/>
    <mergeCell ref="A18:B18"/>
    <mergeCell ref="M18:N18"/>
    <mergeCell ref="G18:H18"/>
    <mergeCell ref="J18:K18"/>
    <mergeCell ref="G9:H9"/>
    <mergeCell ref="J9:K9"/>
    <mergeCell ref="A27:B27"/>
    <mergeCell ref="D27:E27"/>
    <mergeCell ref="A1:B1"/>
    <mergeCell ref="A9:B9"/>
    <mergeCell ref="D9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BBE9-F160-459E-AB95-11364382F14A}">
  <sheetPr>
    <outlinePr summaryBelow="0" summaryRight="0"/>
  </sheetPr>
  <dimension ref="A1:N34"/>
  <sheetViews>
    <sheetView showGridLines="0" workbookViewId="0">
      <selection activeCell="H21" sqref="H21"/>
    </sheetView>
  </sheetViews>
  <sheetFormatPr baseColWidth="10" defaultColWidth="14.42578125" defaultRowHeight="15" customHeight="1" x14ac:dyDescent="0.25"/>
  <cols>
    <col min="1" max="1" width="22.28515625" customWidth="1"/>
    <col min="4" max="4" width="30.42578125" customWidth="1"/>
    <col min="7" max="7" width="16.28515625" customWidth="1"/>
    <col min="10" max="10" width="16.85546875" customWidth="1"/>
    <col min="13" max="13" width="16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493</v>
      </c>
      <c r="D2" s="31"/>
      <c r="E2" s="36"/>
    </row>
    <row r="3" spans="1:14" x14ac:dyDescent="0.25">
      <c r="A3" s="10" t="s">
        <v>30</v>
      </c>
      <c r="B3" s="11">
        <v>41</v>
      </c>
      <c r="D3" s="31"/>
      <c r="E3" s="36"/>
    </row>
    <row r="4" spans="1:14" x14ac:dyDescent="0.25">
      <c r="A4" s="10" t="s">
        <v>3</v>
      </c>
      <c r="B4" s="35">
        <f>B2+B3</f>
        <v>534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37</v>
      </c>
      <c r="C6" s="30"/>
      <c r="D6" s="33" t="s">
        <v>43</v>
      </c>
      <c r="E6" s="34">
        <v>11</v>
      </c>
      <c r="G6" s="10" t="s">
        <v>44</v>
      </c>
      <c r="H6" s="14">
        <v>48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8.9887640449438209</v>
      </c>
    </row>
    <row r="8" spans="1:14" x14ac:dyDescent="0.25">
      <c r="B8" s="13"/>
    </row>
    <row r="9" spans="1:14" x14ac:dyDescent="0.25">
      <c r="A9" s="353" t="s">
        <v>6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v>114</v>
      </c>
      <c r="D10" s="10" t="s">
        <v>29</v>
      </c>
      <c r="E10" s="10">
        <v>78</v>
      </c>
      <c r="G10" s="10" t="s">
        <v>29</v>
      </c>
      <c r="H10" s="10">
        <v>11</v>
      </c>
      <c r="J10" s="10" t="s">
        <v>29</v>
      </c>
      <c r="K10" s="10">
        <v>23</v>
      </c>
      <c r="M10" s="10" t="s">
        <v>29</v>
      </c>
      <c r="N10" s="10">
        <v>2</v>
      </c>
    </row>
    <row r="11" spans="1:14" x14ac:dyDescent="0.25">
      <c r="A11" s="10" t="s">
        <v>30</v>
      </c>
      <c r="B11" s="10">
        <v>12</v>
      </c>
      <c r="D11" s="10" t="s">
        <v>30</v>
      </c>
      <c r="E11" s="10">
        <v>0</v>
      </c>
      <c r="G11" s="10" t="s">
        <v>30</v>
      </c>
      <c r="H11" s="10">
        <v>12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126</v>
      </c>
      <c r="D12" s="10" t="s">
        <v>31</v>
      </c>
      <c r="E12" s="10">
        <f>E10+E11</f>
        <v>78</v>
      </c>
      <c r="G12" s="10" t="s">
        <v>31</v>
      </c>
      <c r="H12" s="10">
        <f>H10+H11</f>
        <v>23</v>
      </c>
      <c r="J12" s="10" t="s">
        <v>31</v>
      </c>
      <c r="K12" s="10">
        <f>K10+K11</f>
        <v>23</v>
      </c>
      <c r="M12" s="10" t="s">
        <v>31</v>
      </c>
      <c r="N12" s="10">
        <f>N10+N11</f>
        <v>2</v>
      </c>
    </row>
    <row r="15" spans="1:14" x14ac:dyDescent="0.25">
      <c r="A15" s="10" t="s">
        <v>4</v>
      </c>
      <c r="B15" s="16">
        <f>E15+H15+K15+N15</f>
        <v>19</v>
      </c>
      <c r="D15" s="10" t="s">
        <v>4</v>
      </c>
      <c r="E15" s="16">
        <v>11</v>
      </c>
      <c r="G15" s="10" t="s">
        <v>4</v>
      </c>
      <c r="H15" s="16">
        <v>5</v>
      </c>
      <c r="J15" s="10" t="s">
        <v>4</v>
      </c>
      <c r="K15" s="27">
        <v>2</v>
      </c>
      <c r="M15" s="10" t="s">
        <v>4</v>
      </c>
      <c r="N15" s="10">
        <v>1</v>
      </c>
    </row>
    <row r="16" spans="1:14" x14ac:dyDescent="0.25">
      <c r="A16" s="10" t="s">
        <v>5</v>
      </c>
      <c r="B16" s="17">
        <f>B15/B12*100</f>
        <v>15.079365079365079</v>
      </c>
      <c r="D16" s="10" t="s">
        <v>5</v>
      </c>
      <c r="E16" s="17">
        <f>E15/E12*100</f>
        <v>14.102564102564102</v>
      </c>
      <c r="G16" s="10" t="s">
        <v>5</v>
      </c>
      <c r="H16" s="17">
        <f>H15/H12*100</f>
        <v>21.739130434782609</v>
      </c>
      <c r="J16" s="10" t="s">
        <v>5</v>
      </c>
      <c r="K16" s="28">
        <f>K15/K12*100</f>
        <v>8.695652173913043</v>
      </c>
      <c r="M16" s="10" t="s">
        <v>5</v>
      </c>
      <c r="N16" s="18">
        <f>N15/128*100</f>
        <v>0.78125</v>
      </c>
    </row>
    <row r="17" spans="1:14" x14ac:dyDescent="0.25">
      <c r="M17" s="19"/>
    </row>
    <row r="18" spans="1:14" x14ac:dyDescent="0.25">
      <c r="A18" s="349" t="s">
        <v>32</v>
      </c>
      <c r="B18" s="350"/>
      <c r="D18" s="20" t="s">
        <v>33</v>
      </c>
      <c r="G18" s="349" t="s">
        <v>34</v>
      </c>
      <c r="H18" s="350"/>
      <c r="J18" s="349" t="s">
        <v>35</v>
      </c>
      <c r="K18" s="350"/>
      <c r="M18" s="354" t="s">
        <v>36</v>
      </c>
      <c r="N18" s="350"/>
    </row>
    <row r="19" spans="1:14" x14ac:dyDescent="0.25">
      <c r="A19" s="10" t="s">
        <v>28</v>
      </c>
      <c r="B19" s="10">
        <v>271</v>
      </c>
      <c r="D19" s="10" t="s">
        <v>28</v>
      </c>
      <c r="E19" s="10">
        <v>182</v>
      </c>
      <c r="G19" s="10" t="s">
        <v>28</v>
      </c>
      <c r="H19" s="10">
        <v>27</v>
      </c>
      <c r="J19" s="10" t="s">
        <v>28</v>
      </c>
      <c r="K19" s="10">
        <v>53</v>
      </c>
      <c r="M19" s="10" t="s">
        <v>28</v>
      </c>
      <c r="N19" s="10">
        <v>9</v>
      </c>
    </row>
    <row r="20" spans="1:14" x14ac:dyDescent="0.25">
      <c r="A20" s="10" t="s">
        <v>30</v>
      </c>
      <c r="B20" s="10">
        <v>29</v>
      </c>
      <c r="D20" s="10" t="s">
        <v>30</v>
      </c>
      <c r="E20" s="10">
        <v>1</v>
      </c>
      <c r="G20" s="10" t="s">
        <v>30</v>
      </c>
      <c r="H20" s="10">
        <v>28</v>
      </c>
      <c r="J20" s="10" t="s">
        <v>30</v>
      </c>
      <c r="K20" s="10">
        <v>0</v>
      </c>
      <c r="M20" s="10" t="s">
        <v>30</v>
      </c>
      <c r="N20" s="10">
        <v>0</v>
      </c>
    </row>
    <row r="21" spans="1:14" x14ac:dyDescent="0.25">
      <c r="A21" s="10" t="s">
        <v>31</v>
      </c>
      <c r="B21" s="10">
        <f>E21+H21+K21+N21</f>
        <v>300</v>
      </c>
      <c r="D21" s="10" t="s">
        <v>31</v>
      </c>
      <c r="E21" s="10">
        <f>E19+E20</f>
        <v>183</v>
      </c>
      <c r="G21" s="10" t="s">
        <v>31</v>
      </c>
      <c r="H21" s="10">
        <f>H19+H20</f>
        <v>55</v>
      </c>
      <c r="J21" s="10" t="s">
        <v>31</v>
      </c>
      <c r="K21" s="10">
        <f>K19+K20</f>
        <v>53</v>
      </c>
      <c r="M21" s="10" t="s">
        <v>31</v>
      </c>
      <c r="N21" s="10">
        <f>N19+N20</f>
        <v>9</v>
      </c>
    </row>
    <row r="22" spans="1:14" x14ac:dyDescent="0.25">
      <c r="F22" s="12"/>
    </row>
    <row r="24" spans="1:14" x14ac:dyDescent="0.25">
      <c r="A24" s="10" t="s">
        <v>4</v>
      </c>
      <c r="B24" s="21">
        <f>E24+H24+K24+C24+N24</f>
        <v>25</v>
      </c>
      <c r="D24" s="10" t="s">
        <v>4</v>
      </c>
      <c r="E24" s="22">
        <v>15</v>
      </c>
      <c r="G24" s="10" t="s">
        <v>4</v>
      </c>
      <c r="H24" s="21">
        <v>6</v>
      </c>
      <c r="J24" s="10" t="s">
        <v>4</v>
      </c>
      <c r="K24" s="27">
        <v>4</v>
      </c>
      <c r="M24" s="10" t="s">
        <v>4</v>
      </c>
      <c r="N24" s="10">
        <v>0</v>
      </c>
    </row>
    <row r="25" spans="1:14" x14ac:dyDescent="0.25">
      <c r="A25" s="10" t="s">
        <v>5</v>
      </c>
      <c r="B25" s="23">
        <f>B24/B21*100</f>
        <v>8.3333333333333321</v>
      </c>
      <c r="D25" s="10" t="s">
        <v>5</v>
      </c>
      <c r="E25" s="24">
        <f>E24/E21*100</f>
        <v>8.1967213114754092</v>
      </c>
      <c r="G25" s="10" t="s">
        <v>5</v>
      </c>
      <c r="H25" s="23">
        <f>H24/H21*100</f>
        <v>10.909090909090908</v>
      </c>
      <c r="J25" s="10" t="s">
        <v>5</v>
      </c>
      <c r="K25" s="28">
        <f>K24/K21*100</f>
        <v>7.5471698113207548</v>
      </c>
      <c r="M25" s="10" t="s">
        <v>5</v>
      </c>
      <c r="N25" s="18">
        <f>N24/N21*100</f>
        <v>0</v>
      </c>
    </row>
    <row r="27" spans="1:14" x14ac:dyDescent="0.25">
      <c r="A27" s="349" t="s">
        <v>15</v>
      </c>
      <c r="B27" s="350"/>
      <c r="D27" s="349" t="s">
        <v>40</v>
      </c>
      <c r="E27" s="350"/>
      <c r="F27" s="12"/>
      <c r="G27" s="25"/>
      <c r="H27" s="12"/>
      <c r="I27" s="12"/>
      <c r="J27" s="25"/>
      <c r="K27" s="12"/>
      <c r="L27" s="12"/>
      <c r="M27" s="12"/>
    </row>
    <row r="28" spans="1:14" x14ac:dyDescent="0.25">
      <c r="A28" s="10" t="s">
        <v>28</v>
      </c>
      <c r="B28" s="10">
        <v>41</v>
      </c>
      <c r="D28" s="26" t="s">
        <v>41</v>
      </c>
      <c r="E28" s="26">
        <v>0</v>
      </c>
      <c r="F28" s="12"/>
      <c r="G28" s="12"/>
      <c r="H28" s="12"/>
      <c r="I28" s="12"/>
      <c r="J28" s="12"/>
      <c r="K28" s="12"/>
      <c r="L28" s="12"/>
      <c r="M28" s="12"/>
    </row>
    <row r="29" spans="1:14" x14ac:dyDescent="0.25">
      <c r="A29" s="10" t="s">
        <v>30</v>
      </c>
      <c r="B29" s="10"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4" x14ac:dyDescent="0.25">
      <c r="A30" s="10" t="s">
        <v>31</v>
      </c>
      <c r="B30" s="10">
        <f>B28+B29</f>
        <v>41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4" x14ac:dyDescent="0.25"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4" x14ac:dyDescent="0.25"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x14ac:dyDescent="0.25">
      <c r="A33" s="10" t="s">
        <v>4</v>
      </c>
      <c r="B33" s="10">
        <v>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x14ac:dyDescent="0.25">
      <c r="A34" s="10" t="s">
        <v>5</v>
      </c>
      <c r="B34" s="18">
        <f>B33/B30*100</f>
        <v>9.7560975609756095</v>
      </c>
      <c r="E34" s="2"/>
      <c r="H34" s="2"/>
    </row>
  </sheetData>
  <mergeCells count="13">
    <mergeCell ref="M9:N9"/>
    <mergeCell ref="A1:B1"/>
    <mergeCell ref="A9:B9"/>
    <mergeCell ref="D9:E9"/>
    <mergeCell ref="G9:H9"/>
    <mergeCell ref="J9:K9"/>
    <mergeCell ref="D1:E1"/>
    <mergeCell ref="A18:B18"/>
    <mergeCell ref="G18:H18"/>
    <mergeCell ref="J18:K18"/>
    <mergeCell ref="M18:N18"/>
    <mergeCell ref="A27:B27"/>
    <mergeCell ref="D27:E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D658-D683-4B4E-88CF-E532542AA7C8}">
  <sheetPr>
    <outlinePr summaryBelow="0" summaryRight="0"/>
  </sheetPr>
  <dimension ref="A1:N34"/>
  <sheetViews>
    <sheetView showGridLines="0" workbookViewId="0">
      <selection activeCell="D1" sqref="D1:E1"/>
    </sheetView>
  </sheetViews>
  <sheetFormatPr baseColWidth="10" defaultColWidth="14.42578125" defaultRowHeight="15" customHeight="1" x14ac:dyDescent="0.25"/>
  <cols>
    <col min="1" max="1" width="22.28515625" customWidth="1"/>
    <col min="4" max="4" width="30.42578125" customWidth="1"/>
    <col min="7" max="7" width="16.28515625" customWidth="1"/>
    <col min="10" max="10" width="16.85546875" customWidth="1"/>
    <col min="13" max="13" width="16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496</v>
      </c>
      <c r="D2" s="31"/>
      <c r="E2" s="36"/>
    </row>
    <row r="3" spans="1:14" x14ac:dyDescent="0.25">
      <c r="A3" s="10" t="s">
        <v>30</v>
      </c>
      <c r="B3" s="11">
        <v>39</v>
      </c>
      <c r="D3" s="31"/>
      <c r="E3" s="36"/>
    </row>
    <row r="4" spans="1:14" x14ac:dyDescent="0.25">
      <c r="A4" s="10" t="s">
        <v>3</v>
      </c>
      <c r="B4" s="35">
        <f>B2+B3</f>
        <v>535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32</v>
      </c>
      <c r="C6" s="30"/>
      <c r="D6" s="33" t="s">
        <v>43</v>
      </c>
      <c r="E6" s="34">
        <v>12</v>
      </c>
      <c r="G6" s="10" t="s">
        <v>44</v>
      </c>
      <c r="H6" s="14">
        <f>B6+E6</f>
        <v>44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8.2242990654205617</v>
      </c>
    </row>
    <row r="8" spans="1:14" x14ac:dyDescent="0.25">
      <c r="B8" s="13"/>
    </row>
    <row r="9" spans="1:14" x14ac:dyDescent="0.25">
      <c r="A9" s="353" t="s">
        <v>6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v>107</v>
      </c>
      <c r="D10" s="10" t="s">
        <v>29</v>
      </c>
      <c r="E10" s="10">
        <v>75</v>
      </c>
      <c r="G10" s="10" t="s">
        <v>29</v>
      </c>
      <c r="H10" s="10">
        <v>10</v>
      </c>
      <c r="J10" s="10" t="s">
        <v>29</v>
      </c>
      <c r="K10" s="10">
        <v>22</v>
      </c>
      <c r="M10" s="10" t="s">
        <v>29</v>
      </c>
      <c r="N10" s="10">
        <v>2</v>
      </c>
    </row>
    <row r="11" spans="1:14" x14ac:dyDescent="0.25">
      <c r="A11" s="10" t="s">
        <v>30</v>
      </c>
      <c r="B11" s="37">
        <v>12</v>
      </c>
      <c r="D11" s="10" t="s">
        <v>30</v>
      </c>
      <c r="E11" s="10">
        <v>0</v>
      </c>
      <c r="G11" s="10" t="s">
        <v>30</v>
      </c>
      <c r="H11" s="10">
        <v>12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121</v>
      </c>
      <c r="D12" s="10" t="s">
        <v>31</v>
      </c>
      <c r="E12" s="10">
        <f>E10+E11</f>
        <v>75</v>
      </c>
      <c r="G12" s="10" t="s">
        <v>31</v>
      </c>
      <c r="H12" s="10">
        <f>H10+H11</f>
        <v>22</v>
      </c>
      <c r="J12" s="10" t="s">
        <v>31</v>
      </c>
      <c r="K12" s="10">
        <f>K10+K11</f>
        <v>22</v>
      </c>
      <c r="M12" s="10" t="s">
        <v>31</v>
      </c>
      <c r="N12" s="10">
        <f>N10+N11</f>
        <v>2</v>
      </c>
    </row>
    <row r="15" spans="1:14" x14ac:dyDescent="0.25">
      <c r="A15" s="10" t="s">
        <v>4</v>
      </c>
      <c r="B15" s="16">
        <f>E15+H15+K15+N15</f>
        <v>11</v>
      </c>
      <c r="D15" s="10" t="s">
        <v>4</v>
      </c>
      <c r="E15" s="16">
        <v>7</v>
      </c>
      <c r="G15" s="10" t="s">
        <v>4</v>
      </c>
      <c r="H15" s="16">
        <v>3</v>
      </c>
      <c r="J15" s="10" t="s">
        <v>4</v>
      </c>
      <c r="K15" s="27">
        <v>1</v>
      </c>
      <c r="M15" s="10" t="s">
        <v>4</v>
      </c>
      <c r="N15" s="10">
        <v>0</v>
      </c>
    </row>
    <row r="16" spans="1:14" x14ac:dyDescent="0.25">
      <c r="A16" s="10" t="s">
        <v>5</v>
      </c>
      <c r="B16" s="17">
        <f>B15/B12*100</f>
        <v>9.0909090909090917</v>
      </c>
      <c r="D16" s="10" t="s">
        <v>5</v>
      </c>
      <c r="E16" s="17">
        <f>E15/E12*100</f>
        <v>9.3333333333333339</v>
      </c>
      <c r="G16" s="10" t="s">
        <v>5</v>
      </c>
      <c r="H16" s="17">
        <f>H15/H12*100</f>
        <v>13.636363636363635</v>
      </c>
      <c r="J16" s="10" t="s">
        <v>5</v>
      </c>
      <c r="K16" s="28">
        <f>K15/K12*100</f>
        <v>4.5454545454545459</v>
      </c>
      <c r="M16" s="10" t="s">
        <v>5</v>
      </c>
      <c r="N16" s="18">
        <f>N15/128*100</f>
        <v>0</v>
      </c>
    </row>
    <row r="17" spans="1:14" x14ac:dyDescent="0.25">
      <c r="M17" s="19"/>
    </row>
    <row r="18" spans="1:14" x14ac:dyDescent="0.25">
      <c r="A18" s="349" t="s">
        <v>32</v>
      </c>
      <c r="B18" s="350"/>
      <c r="D18" s="20" t="s">
        <v>33</v>
      </c>
      <c r="G18" s="349" t="s">
        <v>34</v>
      </c>
      <c r="H18" s="350"/>
      <c r="J18" s="349" t="s">
        <v>35</v>
      </c>
      <c r="K18" s="350"/>
      <c r="M18" s="354" t="s">
        <v>36</v>
      </c>
      <c r="N18" s="350"/>
    </row>
    <row r="19" spans="1:14" x14ac:dyDescent="0.25">
      <c r="A19" s="10" t="s">
        <v>28</v>
      </c>
      <c r="B19" s="10">
        <v>275</v>
      </c>
      <c r="D19" s="10" t="s">
        <v>28</v>
      </c>
      <c r="E19" s="10">
        <v>188</v>
      </c>
      <c r="G19" s="10" t="s">
        <v>28</v>
      </c>
      <c r="H19" s="10">
        <v>28</v>
      </c>
      <c r="J19" s="10" t="s">
        <v>28</v>
      </c>
      <c r="K19" s="10">
        <v>49</v>
      </c>
      <c r="M19" s="10" t="s">
        <v>28</v>
      </c>
      <c r="N19" s="10">
        <v>9</v>
      </c>
    </row>
    <row r="20" spans="1:14" x14ac:dyDescent="0.25">
      <c r="A20" s="10" t="s">
        <v>30</v>
      </c>
      <c r="B20" s="10">
        <v>28</v>
      </c>
      <c r="D20" s="10" t="s">
        <v>30</v>
      </c>
      <c r="E20" s="10">
        <v>1</v>
      </c>
      <c r="G20" s="10" t="s">
        <v>30</v>
      </c>
      <c r="H20" s="10">
        <v>27</v>
      </c>
      <c r="J20" s="10" t="s">
        <v>30</v>
      </c>
      <c r="K20" s="10">
        <v>0</v>
      </c>
      <c r="M20" s="10" t="s">
        <v>30</v>
      </c>
      <c r="N20" s="10">
        <v>0</v>
      </c>
    </row>
    <row r="21" spans="1:14" x14ac:dyDescent="0.25">
      <c r="A21" s="10" t="s">
        <v>31</v>
      </c>
      <c r="B21" s="10">
        <f>B19+B20</f>
        <v>303</v>
      </c>
      <c r="D21" s="10" t="s">
        <v>31</v>
      </c>
      <c r="E21" s="10">
        <f>E19+E20</f>
        <v>189</v>
      </c>
      <c r="G21" s="10" t="s">
        <v>31</v>
      </c>
      <c r="H21" s="10">
        <f>H19+H20</f>
        <v>55</v>
      </c>
      <c r="J21" s="10" t="s">
        <v>31</v>
      </c>
      <c r="K21" s="10">
        <f>K19+K20</f>
        <v>49</v>
      </c>
      <c r="M21" s="10" t="s">
        <v>31</v>
      </c>
      <c r="N21" s="10">
        <f>N19+N20</f>
        <v>9</v>
      </c>
    </row>
    <row r="22" spans="1:14" x14ac:dyDescent="0.25">
      <c r="F22" s="12"/>
    </row>
    <row r="24" spans="1:14" x14ac:dyDescent="0.25">
      <c r="A24" s="10" t="s">
        <v>4</v>
      </c>
      <c r="B24" s="21">
        <f>E24+H24+K24+N24</f>
        <v>30</v>
      </c>
      <c r="D24" s="10" t="s">
        <v>4</v>
      </c>
      <c r="E24" s="22">
        <v>15</v>
      </c>
      <c r="G24" s="10" t="s">
        <v>4</v>
      </c>
      <c r="H24" s="21">
        <v>11</v>
      </c>
      <c r="J24" s="10" t="s">
        <v>4</v>
      </c>
      <c r="K24" s="27">
        <v>3</v>
      </c>
      <c r="M24" s="10" t="s">
        <v>4</v>
      </c>
      <c r="N24" s="10">
        <v>1</v>
      </c>
    </row>
    <row r="25" spans="1:14" x14ac:dyDescent="0.25">
      <c r="A25" s="10" t="s">
        <v>5</v>
      </c>
      <c r="B25" s="23">
        <f>B24/B21*100</f>
        <v>9.9009900990099009</v>
      </c>
      <c r="D25" s="10" t="s">
        <v>5</v>
      </c>
      <c r="E25" s="24">
        <f>E24/E21*100</f>
        <v>7.9365079365079358</v>
      </c>
      <c r="G25" s="10" t="s">
        <v>5</v>
      </c>
      <c r="H25" s="23">
        <f>H24/H21*100</f>
        <v>20</v>
      </c>
      <c r="J25" s="10" t="s">
        <v>5</v>
      </c>
      <c r="K25" s="28">
        <f>K24/K21*100</f>
        <v>6.1224489795918364</v>
      </c>
      <c r="M25" s="10" t="s">
        <v>5</v>
      </c>
      <c r="N25" s="18">
        <f>N24/N21*100</f>
        <v>11.111111111111111</v>
      </c>
    </row>
    <row r="27" spans="1:14" x14ac:dyDescent="0.25">
      <c r="A27" s="349" t="s">
        <v>15</v>
      </c>
      <c r="B27" s="350"/>
      <c r="D27" s="349" t="s">
        <v>40</v>
      </c>
      <c r="E27" s="350"/>
      <c r="F27" s="12"/>
      <c r="G27" s="25"/>
      <c r="H27" s="12"/>
      <c r="I27" s="12"/>
      <c r="J27" s="25"/>
      <c r="K27" s="12"/>
      <c r="L27" s="12"/>
      <c r="M27" s="12"/>
    </row>
    <row r="28" spans="1:14" x14ac:dyDescent="0.25">
      <c r="A28" s="10" t="s">
        <v>28</v>
      </c>
      <c r="B28" s="10">
        <v>39</v>
      </c>
      <c r="D28" s="26" t="s">
        <v>41</v>
      </c>
      <c r="E28" s="26">
        <v>0</v>
      </c>
      <c r="F28" s="12"/>
      <c r="G28" s="12"/>
      <c r="H28" s="12"/>
      <c r="I28" s="12"/>
      <c r="J28" s="12"/>
      <c r="K28" s="12"/>
      <c r="L28" s="12"/>
      <c r="M28" s="12"/>
    </row>
    <row r="29" spans="1:14" x14ac:dyDescent="0.25">
      <c r="A29" s="10" t="s">
        <v>30</v>
      </c>
      <c r="B29" s="10"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4" x14ac:dyDescent="0.25">
      <c r="A30" s="10" t="s">
        <v>31</v>
      </c>
      <c r="B30" s="10">
        <f>B28+B29</f>
        <v>39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4" x14ac:dyDescent="0.25"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4" x14ac:dyDescent="0.25"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x14ac:dyDescent="0.25">
      <c r="A33" s="10" t="s">
        <v>4</v>
      </c>
      <c r="B33" s="10">
        <v>2</v>
      </c>
      <c r="D33" s="349" t="s">
        <v>45</v>
      </c>
      <c r="E33" s="350"/>
      <c r="F33" s="12"/>
      <c r="G33" s="12"/>
      <c r="H33" s="12"/>
      <c r="I33" s="12"/>
      <c r="J33" s="12"/>
      <c r="K33" s="12"/>
      <c r="L33" s="12"/>
      <c r="M33" s="12"/>
    </row>
    <row r="34" spans="1:13" x14ac:dyDescent="0.25">
      <c r="A34" s="10" t="s">
        <v>5</v>
      </c>
      <c r="B34" s="18">
        <f>B33/B30*100</f>
        <v>5.1282051282051277</v>
      </c>
      <c r="D34" s="38" t="s">
        <v>46</v>
      </c>
      <c r="E34" s="26">
        <v>1</v>
      </c>
      <c r="H34" s="2"/>
    </row>
  </sheetData>
  <mergeCells count="14">
    <mergeCell ref="A1:B1"/>
    <mergeCell ref="D1:E1"/>
    <mergeCell ref="A9:B9"/>
    <mergeCell ref="D9:E9"/>
    <mergeCell ref="G9:H9"/>
    <mergeCell ref="D33:E33"/>
    <mergeCell ref="M9:N9"/>
    <mergeCell ref="A18:B18"/>
    <mergeCell ref="G18:H18"/>
    <mergeCell ref="J18:K18"/>
    <mergeCell ref="M18:N18"/>
    <mergeCell ref="A27:B27"/>
    <mergeCell ref="D27:E27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711E-5900-4FE0-9BC7-B30D27515DE6}">
  <sheetPr>
    <outlinePr summaryBelow="0" summaryRight="0"/>
  </sheetPr>
  <dimension ref="A1:N52"/>
  <sheetViews>
    <sheetView showGridLines="0" zoomScale="97" zoomScaleNormal="97" workbookViewId="0">
      <selection activeCell="F4" sqref="F4"/>
    </sheetView>
  </sheetViews>
  <sheetFormatPr baseColWidth="10" defaultColWidth="14.42578125" defaultRowHeight="15" customHeight="1" x14ac:dyDescent="0.25"/>
  <cols>
    <col min="1" max="1" width="22.28515625" customWidth="1"/>
    <col min="4" max="4" width="30.42578125" customWidth="1"/>
    <col min="7" max="7" width="16.28515625" customWidth="1"/>
    <col min="10" max="10" width="16.85546875" customWidth="1"/>
    <col min="11" max="11" width="17" customWidth="1"/>
    <col min="13" max="13" width="16" customWidth="1"/>
    <col min="14" max="14" width="23.5703125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512</v>
      </c>
      <c r="D2" s="31"/>
      <c r="E2" s="36"/>
    </row>
    <row r="3" spans="1:14" x14ac:dyDescent="0.25">
      <c r="A3" s="10" t="s">
        <v>30</v>
      </c>
      <c r="B3" s="11">
        <v>37</v>
      </c>
      <c r="D3" s="31"/>
      <c r="E3" s="36"/>
    </row>
    <row r="4" spans="1:14" x14ac:dyDescent="0.25">
      <c r="A4" s="10" t="s">
        <v>3</v>
      </c>
      <c r="B4" s="35">
        <f>B2+B3</f>
        <v>549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46</v>
      </c>
      <c r="C6" s="30"/>
      <c r="D6" s="33" t="s">
        <v>43</v>
      </c>
      <c r="E6" s="34">
        <v>9</v>
      </c>
      <c r="G6" s="10" t="s">
        <v>44</v>
      </c>
      <c r="H6" s="14">
        <f>B6+E6</f>
        <v>55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10.018214936247723</v>
      </c>
    </row>
    <row r="8" spans="1:14" x14ac:dyDescent="0.25">
      <c r="B8" s="13"/>
    </row>
    <row r="9" spans="1:14" x14ac:dyDescent="0.25">
      <c r="A9" s="353" t="s">
        <v>6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v>110</v>
      </c>
      <c r="D10" s="10" t="s">
        <v>29</v>
      </c>
      <c r="E10" s="10">
        <v>76</v>
      </c>
      <c r="G10" s="10" t="s">
        <v>29</v>
      </c>
      <c r="H10" s="10">
        <v>10</v>
      </c>
      <c r="J10" s="10" t="s">
        <v>29</v>
      </c>
      <c r="K10" s="10">
        <v>22</v>
      </c>
      <c r="M10" s="10" t="s">
        <v>29</v>
      </c>
      <c r="N10" s="10">
        <v>2</v>
      </c>
    </row>
    <row r="11" spans="1:14" x14ac:dyDescent="0.25">
      <c r="A11" s="10" t="s">
        <v>30</v>
      </c>
      <c r="B11" s="37">
        <v>11</v>
      </c>
      <c r="D11" s="10" t="s">
        <v>30</v>
      </c>
      <c r="E11" s="10">
        <v>0</v>
      </c>
      <c r="G11" s="10" t="s">
        <v>30</v>
      </c>
      <c r="H11" s="10">
        <v>11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121</v>
      </c>
      <c r="D12" s="10" t="s">
        <v>31</v>
      </c>
      <c r="E12" s="10">
        <f>E10+E11</f>
        <v>76</v>
      </c>
      <c r="G12" s="10" t="s">
        <v>31</v>
      </c>
      <c r="H12" s="10">
        <f>H10+H11</f>
        <v>21</v>
      </c>
      <c r="J12" s="10" t="s">
        <v>31</v>
      </c>
      <c r="K12" s="10">
        <f>K10+K11</f>
        <v>22</v>
      </c>
      <c r="M12" s="10" t="s">
        <v>31</v>
      </c>
      <c r="N12" s="10">
        <f>N10+N11</f>
        <v>2</v>
      </c>
    </row>
    <row r="15" spans="1:14" x14ac:dyDescent="0.25">
      <c r="A15" s="10" t="s">
        <v>4</v>
      </c>
      <c r="B15" s="16">
        <f>E15+H15+K15+N15</f>
        <v>14</v>
      </c>
      <c r="D15" s="10" t="s">
        <v>4</v>
      </c>
      <c r="E15" s="16">
        <v>7</v>
      </c>
      <c r="G15" s="10" t="s">
        <v>4</v>
      </c>
      <c r="H15" s="16">
        <v>4</v>
      </c>
      <c r="J15" s="10" t="s">
        <v>4</v>
      </c>
      <c r="K15" s="27">
        <v>3</v>
      </c>
      <c r="M15" s="10" t="s">
        <v>4</v>
      </c>
      <c r="N15" s="10">
        <v>0</v>
      </c>
    </row>
    <row r="16" spans="1:14" x14ac:dyDescent="0.25">
      <c r="A16" s="10" t="s">
        <v>5</v>
      </c>
      <c r="B16" s="17">
        <f>B15/B12*100</f>
        <v>11.570247933884298</v>
      </c>
      <c r="D16" s="10" t="s">
        <v>5</v>
      </c>
      <c r="E16" s="17">
        <f>E15/E12*100</f>
        <v>9.2105263157894726</v>
      </c>
      <c r="G16" s="10" t="s">
        <v>5</v>
      </c>
      <c r="H16" s="17">
        <f>H15/H12*100</f>
        <v>19.047619047619047</v>
      </c>
      <c r="J16" s="10" t="s">
        <v>5</v>
      </c>
      <c r="K16" s="28">
        <f>K15/K12*100</f>
        <v>13.636363636363635</v>
      </c>
      <c r="M16" s="10" t="s">
        <v>5</v>
      </c>
      <c r="N16" s="18">
        <f>N15/128*100</f>
        <v>0</v>
      </c>
    </row>
    <row r="17" spans="1:14" x14ac:dyDescent="0.25">
      <c r="M17" s="19"/>
    </row>
    <row r="18" spans="1:14" x14ac:dyDescent="0.25">
      <c r="A18" s="349" t="s">
        <v>32</v>
      </c>
      <c r="B18" s="350"/>
      <c r="D18" s="20" t="s">
        <v>33</v>
      </c>
      <c r="G18" s="349" t="s">
        <v>34</v>
      </c>
      <c r="H18" s="350"/>
      <c r="J18" s="349" t="s">
        <v>35</v>
      </c>
      <c r="K18" s="350"/>
      <c r="M18" s="354" t="s">
        <v>36</v>
      </c>
      <c r="N18" s="350"/>
    </row>
    <row r="19" spans="1:14" x14ac:dyDescent="0.25">
      <c r="A19" s="10" t="s">
        <v>28</v>
      </c>
      <c r="B19" s="10">
        <v>201</v>
      </c>
      <c r="D19" s="10" t="s">
        <v>28</v>
      </c>
      <c r="E19" s="10">
        <v>145</v>
      </c>
      <c r="G19" s="10" t="s">
        <v>28</v>
      </c>
      <c r="H19" s="10">
        <v>13</v>
      </c>
      <c r="J19" s="10" t="s">
        <v>28</v>
      </c>
      <c r="K19" s="10">
        <v>38</v>
      </c>
      <c r="M19" s="10" t="s">
        <v>28</v>
      </c>
      <c r="N19" s="10">
        <v>5</v>
      </c>
    </row>
    <row r="20" spans="1:14" x14ac:dyDescent="0.25">
      <c r="A20" s="10" t="s">
        <v>30</v>
      </c>
      <c r="B20" s="10">
        <v>26</v>
      </c>
      <c r="D20" s="10" t="s">
        <v>30</v>
      </c>
      <c r="E20" s="10">
        <v>1</v>
      </c>
      <c r="G20" s="10" t="s">
        <v>30</v>
      </c>
      <c r="H20" s="10">
        <v>25</v>
      </c>
      <c r="J20" s="10" t="s">
        <v>30</v>
      </c>
      <c r="K20" s="10">
        <v>0</v>
      </c>
      <c r="M20" s="10" t="s">
        <v>30</v>
      </c>
      <c r="N20" s="10">
        <v>0</v>
      </c>
    </row>
    <row r="21" spans="1:14" x14ac:dyDescent="0.25">
      <c r="A21" s="10" t="s">
        <v>31</v>
      </c>
      <c r="B21" s="10">
        <f>E21+H21+K21+N21</f>
        <v>227</v>
      </c>
      <c r="C21" t="s">
        <v>56</v>
      </c>
      <c r="D21" s="10" t="s">
        <v>31</v>
      </c>
      <c r="E21" s="10">
        <f>E19+E20</f>
        <v>146</v>
      </c>
      <c r="G21" s="10" t="s">
        <v>31</v>
      </c>
      <c r="H21" s="10">
        <f>H19+H20</f>
        <v>38</v>
      </c>
      <c r="J21" s="10" t="s">
        <v>31</v>
      </c>
      <c r="K21" s="10">
        <f>K19+K20</f>
        <v>38</v>
      </c>
      <c r="M21" s="10" t="s">
        <v>31</v>
      </c>
      <c r="N21" s="10">
        <f>N19+N20</f>
        <v>5</v>
      </c>
    </row>
    <row r="22" spans="1:14" x14ac:dyDescent="0.25">
      <c r="F22" s="12"/>
    </row>
    <row r="24" spans="1:14" x14ac:dyDescent="0.25">
      <c r="A24" s="10" t="s">
        <v>4</v>
      </c>
      <c r="B24" s="21">
        <v>36</v>
      </c>
      <c r="D24" s="10" t="s">
        <v>4</v>
      </c>
      <c r="E24" s="22">
        <v>25</v>
      </c>
      <c r="G24" s="10" t="s">
        <v>4</v>
      </c>
      <c r="H24" s="21">
        <v>7</v>
      </c>
      <c r="J24" s="10" t="s">
        <v>4</v>
      </c>
      <c r="K24" s="27">
        <v>4</v>
      </c>
      <c r="M24" s="10" t="s">
        <v>4</v>
      </c>
      <c r="N24" s="10">
        <v>0</v>
      </c>
    </row>
    <row r="25" spans="1:14" x14ac:dyDescent="0.25">
      <c r="A25" s="10" t="s">
        <v>5</v>
      </c>
      <c r="B25" s="23">
        <f>B24/B21*100</f>
        <v>15.859030837004406</v>
      </c>
      <c r="D25" s="10" t="s">
        <v>5</v>
      </c>
      <c r="E25" s="24">
        <f>E24/E21*100</f>
        <v>17.123287671232877</v>
      </c>
      <c r="G25" s="10" t="s">
        <v>5</v>
      </c>
      <c r="H25" s="23">
        <f>H24/H21*100</f>
        <v>18.421052631578945</v>
      </c>
      <c r="J25" s="10" t="s">
        <v>5</v>
      </c>
      <c r="K25" s="28">
        <f>K24/K21*100</f>
        <v>10.526315789473683</v>
      </c>
      <c r="M25" s="10" t="s">
        <v>5</v>
      </c>
      <c r="N25" s="18">
        <f>N24/N21*100</f>
        <v>0</v>
      </c>
    </row>
    <row r="27" spans="1:14" x14ac:dyDescent="0.25">
      <c r="G27" s="25"/>
      <c r="H27" s="12"/>
      <c r="I27" s="12"/>
      <c r="J27" s="25"/>
      <c r="K27" s="12"/>
      <c r="L27" s="12"/>
      <c r="M27" s="12"/>
    </row>
    <row r="28" spans="1:14" x14ac:dyDescent="0.25">
      <c r="A28" s="349" t="s">
        <v>47</v>
      </c>
      <c r="B28" s="350"/>
      <c r="D28" s="20" t="s">
        <v>48</v>
      </c>
      <c r="G28" s="349" t="s">
        <v>49</v>
      </c>
      <c r="H28" s="350"/>
      <c r="J28" s="349" t="s">
        <v>50</v>
      </c>
      <c r="K28" s="350"/>
      <c r="M28" s="354" t="s">
        <v>51</v>
      </c>
      <c r="N28" s="350"/>
    </row>
    <row r="29" spans="1:14" x14ac:dyDescent="0.25">
      <c r="A29" s="10" t="s">
        <v>28</v>
      </c>
      <c r="B29" s="10">
        <v>85</v>
      </c>
      <c r="D29" s="10" t="s">
        <v>28</v>
      </c>
      <c r="E29" s="10">
        <v>51</v>
      </c>
      <c r="G29" s="10" t="s">
        <v>28</v>
      </c>
      <c r="H29" s="10">
        <v>14</v>
      </c>
      <c r="J29" s="10" t="s">
        <v>28</v>
      </c>
      <c r="K29" s="10">
        <v>17</v>
      </c>
      <c r="M29" s="10" t="s">
        <v>28</v>
      </c>
      <c r="N29" s="10">
        <v>3</v>
      </c>
    </row>
    <row r="30" spans="1:14" x14ac:dyDescent="0.25">
      <c r="A30" s="10" t="s">
        <v>31</v>
      </c>
      <c r="B30" s="10">
        <f>E30+H30+K30+N30</f>
        <v>85</v>
      </c>
      <c r="D30" s="10" t="s">
        <v>31</v>
      </c>
      <c r="E30" s="10">
        <f>E29</f>
        <v>51</v>
      </c>
      <c r="G30" s="10" t="s">
        <v>31</v>
      </c>
      <c r="H30" s="10">
        <f>H29</f>
        <v>14</v>
      </c>
      <c r="J30" s="10" t="s">
        <v>31</v>
      </c>
      <c r="K30" s="10">
        <f>K29</f>
        <v>17</v>
      </c>
      <c r="M30" s="10" t="s">
        <v>31</v>
      </c>
      <c r="N30" s="10">
        <f>N29</f>
        <v>3</v>
      </c>
    </row>
    <row r="31" spans="1:14" x14ac:dyDescent="0.25">
      <c r="F31" s="12"/>
    </row>
    <row r="33" spans="1:14" x14ac:dyDescent="0.25">
      <c r="A33" s="10" t="s">
        <v>4</v>
      </c>
      <c r="B33" s="21">
        <v>2</v>
      </c>
      <c r="D33" s="10" t="s">
        <v>4</v>
      </c>
      <c r="E33" s="22">
        <v>1</v>
      </c>
      <c r="G33" s="10" t="s">
        <v>4</v>
      </c>
      <c r="H33" s="21">
        <v>0</v>
      </c>
      <c r="J33" s="10" t="s">
        <v>4</v>
      </c>
      <c r="K33" s="27">
        <v>1</v>
      </c>
      <c r="M33" s="10" t="s">
        <v>4</v>
      </c>
      <c r="N33" s="10">
        <v>0</v>
      </c>
    </row>
    <row r="34" spans="1:14" ht="15" customHeight="1" x14ac:dyDescent="0.25">
      <c r="A34" s="10" t="s">
        <v>5</v>
      </c>
      <c r="B34" s="23">
        <f>B33/B30*100</f>
        <v>2.3529411764705883</v>
      </c>
      <c r="D34" s="10" t="s">
        <v>5</v>
      </c>
      <c r="E34" s="24">
        <f>E33/E30*100</f>
        <v>1.9607843137254901</v>
      </c>
      <c r="G34" s="10" t="s">
        <v>5</v>
      </c>
      <c r="H34" s="23">
        <f>H33/H30*100</f>
        <v>0</v>
      </c>
      <c r="J34" s="10" t="s">
        <v>5</v>
      </c>
      <c r="K34" s="28">
        <f>K33/K30*100</f>
        <v>5.8823529411764701</v>
      </c>
      <c r="M34" s="10" t="s">
        <v>5</v>
      </c>
      <c r="N34" s="18">
        <f>N33/N30*100</f>
        <v>0</v>
      </c>
    </row>
    <row r="36" spans="1:14" ht="15" customHeight="1" x14ac:dyDescent="0.25">
      <c r="A36" s="46" t="s">
        <v>55</v>
      </c>
      <c r="B36" s="47">
        <f>B38/B37*100%</f>
        <v>0.12179487179487179</v>
      </c>
    </row>
    <row r="37" spans="1:14" ht="15" customHeight="1" x14ac:dyDescent="0.25">
      <c r="A37" t="s">
        <v>31</v>
      </c>
      <c r="B37">
        <f>B21+B30</f>
        <v>312</v>
      </c>
    </row>
    <row r="38" spans="1:14" ht="15" customHeight="1" x14ac:dyDescent="0.25">
      <c r="A38" t="s">
        <v>44</v>
      </c>
      <c r="B38">
        <f>B24+B33</f>
        <v>38</v>
      </c>
    </row>
    <row r="39" spans="1:14" ht="15" customHeight="1" x14ac:dyDescent="0.25">
      <c r="A39" s="43"/>
      <c r="B39" s="43"/>
      <c r="D39" s="349" t="s">
        <v>52</v>
      </c>
      <c r="E39" s="350"/>
      <c r="F39" s="12"/>
    </row>
    <row r="40" spans="1:14" ht="15" customHeight="1" x14ac:dyDescent="0.25">
      <c r="A40" s="361"/>
      <c r="B40" s="356"/>
      <c r="D40" s="359">
        <v>1</v>
      </c>
      <c r="E40" s="360"/>
      <c r="F40" s="12"/>
    </row>
    <row r="41" spans="1:14" ht="15" customHeight="1" x14ac:dyDescent="0.25">
      <c r="A41" s="44"/>
      <c r="B41" s="44"/>
      <c r="D41" s="349" t="s">
        <v>53</v>
      </c>
      <c r="E41" s="350"/>
      <c r="F41" s="12"/>
    </row>
    <row r="42" spans="1:14" ht="15" customHeight="1" x14ac:dyDescent="0.25">
      <c r="A42" s="44"/>
      <c r="B42" s="44"/>
      <c r="D42" s="359">
        <v>1</v>
      </c>
      <c r="E42" s="360"/>
      <c r="F42" s="12"/>
    </row>
    <row r="43" spans="1:14" ht="15" customHeight="1" x14ac:dyDescent="0.25">
      <c r="A43" s="44"/>
      <c r="B43" s="44"/>
      <c r="D43" s="349" t="s">
        <v>54</v>
      </c>
      <c r="E43" s="350"/>
      <c r="F43" s="12"/>
    </row>
    <row r="44" spans="1:14" ht="15" customHeight="1" x14ac:dyDescent="0.25">
      <c r="A44" s="43"/>
      <c r="B44" s="43"/>
      <c r="D44" s="357">
        <v>1</v>
      </c>
      <c r="E44" s="358"/>
      <c r="F44" s="12"/>
    </row>
    <row r="45" spans="1:14" ht="15" customHeight="1" x14ac:dyDescent="0.25">
      <c r="A45" s="43"/>
      <c r="B45" s="43"/>
      <c r="D45" s="42"/>
      <c r="E45" s="39"/>
      <c r="F45" s="12"/>
    </row>
    <row r="46" spans="1:14" ht="15" customHeight="1" x14ac:dyDescent="0.25">
      <c r="A46" s="44"/>
      <c r="B46" s="44"/>
      <c r="D46" s="40"/>
      <c r="E46" s="41"/>
    </row>
    <row r="47" spans="1:14" ht="15" customHeight="1" x14ac:dyDescent="0.25">
      <c r="A47" s="44"/>
      <c r="B47" s="45"/>
      <c r="D47" s="30"/>
      <c r="E47" s="30"/>
    </row>
    <row r="48" spans="1:14" ht="15" customHeight="1" x14ac:dyDescent="0.25">
      <c r="A48" s="43"/>
      <c r="B48" s="43"/>
    </row>
    <row r="49" spans="1:2" ht="15" customHeight="1" x14ac:dyDescent="0.25">
      <c r="A49" s="43"/>
      <c r="B49" s="43"/>
    </row>
    <row r="50" spans="1:2" ht="15" customHeight="1" x14ac:dyDescent="0.25">
      <c r="A50" s="43"/>
      <c r="B50" s="43"/>
    </row>
    <row r="51" spans="1:2" ht="15" customHeight="1" x14ac:dyDescent="0.25">
      <c r="A51" s="43"/>
      <c r="B51" s="43"/>
    </row>
    <row r="52" spans="1:2" ht="15" customHeight="1" x14ac:dyDescent="0.25">
      <c r="A52" s="43"/>
      <c r="B52" s="43"/>
    </row>
  </sheetData>
  <mergeCells count="22">
    <mergeCell ref="G9:H9"/>
    <mergeCell ref="D40:E40"/>
    <mergeCell ref="A1:B1"/>
    <mergeCell ref="D1:E1"/>
    <mergeCell ref="A9:B9"/>
    <mergeCell ref="D9:E9"/>
    <mergeCell ref="D44:E44"/>
    <mergeCell ref="A28:B28"/>
    <mergeCell ref="M9:N9"/>
    <mergeCell ref="J9:K9"/>
    <mergeCell ref="D41:E41"/>
    <mergeCell ref="D42:E42"/>
    <mergeCell ref="D43:E43"/>
    <mergeCell ref="A18:B18"/>
    <mergeCell ref="G18:H18"/>
    <mergeCell ref="J18:K18"/>
    <mergeCell ref="M18:N18"/>
    <mergeCell ref="A40:B40"/>
    <mergeCell ref="D39:E39"/>
    <mergeCell ref="G28:H28"/>
    <mergeCell ref="J28:K28"/>
    <mergeCell ref="M28:N2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1E94-9A07-4DC9-A927-464FF4996DB5}">
  <sheetPr>
    <outlinePr summaryBelow="0" summaryRight="0"/>
  </sheetPr>
  <dimension ref="A1:Q53"/>
  <sheetViews>
    <sheetView showGridLines="0" zoomScale="70" zoomScaleNormal="70" workbookViewId="0">
      <selection activeCell="B33" sqref="B33"/>
    </sheetView>
  </sheetViews>
  <sheetFormatPr baseColWidth="10" defaultColWidth="14.42578125" defaultRowHeight="15" customHeight="1" x14ac:dyDescent="0.25"/>
  <cols>
    <col min="1" max="1" width="22.28515625" customWidth="1"/>
    <col min="4" max="4" width="30.42578125" customWidth="1"/>
    <col min="7" max="7" width="16.28515625" customWidth="1"/>
    <col min="10" max="10" width="16.85546875" customWidth="1"/>
    <col min="11" max="11" width="17" customWidth="1"/>
    <col min="13" max="13" width="16" customWidth="1"/>
    <col min="14" max="14" width="23.5703125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514</v>
      </c>
      <c r="D2" s="31"/>
      <c r="E2" s="36"/>
    </row>
    <row r="3" spans="1:14" x14ac:dyDescent="0.25">
      <c r="A3" s="10" t="s">
        <v>30</v>
      </c>
      <c r="B3" s="11">
        <v>39</v>
      </c>
      <c r="D3" s="31"/>
      <c r="E3" s="36"/>
    </row>
    <row r="4" spans="1:14" x14ac:dyDescent="0.25">
      <c r="A4" s="10" t="s">
        <v>3</v>
      </c>
      <c r="B4" s="35">
        <f>B2+B3</f>
        <v>553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45</v>
      </c>
      <c r="C6" s="30"/>
      <c r="D6" s="33" t="s">
        <v>43</v>
      </c>
      <c r="E6" s="14">
        <v>6</v>
      </c>
      <c r="G6" s="10" t="s">
        <v>44</v>
      </c>
      <c r="H6" s="14">
        <f>B6+E6</f>
        <v>51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9.2224231464737798</v>
      </c>
    </row>
    <row r="8" spans="1:14" x14ac:dyDescent="0.25">
      <c r="B8" s="13"/>
    </row>
    <row r="9" spans="1:14" x14ac:dyDescent="0.25">
      <c r="A9" s="353" t="s">
        <v>6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f>109-B42</f>
        <v>67</v>
      </c>
      <c r="D10" s="10" t="s">
        <v>29</v>
      </c>
      <c r="E10" s="10">
        <f>75-E42</f>
        <v>48</v>
      </c>
      <c r="G10" s="10" t="s">
        <v>29</v>
      </c>
      <c r="H10" s="10">
        <f>10-H42</f>
        <v>3</v>
      </c>
      <c r="J10" s="10" t="s">
        <v>29</v>
      </c>
      <c r="K10" s="10">
        <f>22-K42</f>
        <v>15</v>
      </c>
      <c r="M10" s="10" t="s">
        <v>29</v>
      </c>
      <c r="N10" s="10">
        <f>2-N42</f>
        <v>1</v>
      </c>
    </row>
    <row r="11" spans="1:14" x14ac:dyDescent="0.25">
      <c r="A11" s="10" t="s">
        <v>30</v>
      </c>
      <c r="B11" s="50">
        <v>9</v>
      </c>
      <c r="D11" s="10" t="s">
        <v>30</v>
      </c>
      <c r="E11" s="10">
        <v>1</v>
      </c>
      <c r="G11" s="10" t="s">
        <v>30</v>
      </c>
      <c r="H11" s="10">
        <v>8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76</v>
      </c>
      <c r="D12" s="10" t="s">
        <v>31</v>
      </c>
      <c r="E12" s="10">
        <f>E10+E11</f>
        <v>49</v>
      </c>
      <c r="G12" s="10" t="s">
        <v>31</v>
      </c>
      <c r="H12" s="10">
        <f>H10+H11</f>
        <v>11</v>
      </c>
      <c r="J12" s="10" t="s">
        <v>31</v>
      </c>
      <c r="K12" s="10">
        <f>K10+K11</f>
        <v>15</v>
      </c>
      <c r="M12" s="10" t="s">
        <v>31</v>
      </c>
      <c r="N12" s="10">
        <f>N10+N11</f>
        <v>1</v>
      </c>
    </row>
    <row r="15" spans="1:14" x14ac:dyDescent="0.25">
      <c r="A15" s="10" t="s">
        <v>4</v>
      </c>
      <c r="B15" s="48">
        <v>9</v>
      </c>
      <c r="D15" s="10" t="s">
        <v>4</v>
      </c>
      <c r="E15" s="51">
        <v>6</v>
      </c>
      <c r="G15" s="10" t="s">
        <v>4</v>
      </c>
      <c r="H15" s="48">
        <v>0</v>
      </c>
      <c r="J15" s="10" t="s">
        <v>4</v>
      </c>
      <c r="K15" s="27">
        <v>3</v>
      </c>
      <c r="M15" s="10" t="s">
        <v>4</v>
      </c>
      <c r="N15" s="10">
        <v>0</v>
      </c>
    </row>
    <row r="16" spans="1:14" x14ac:dyDescent="0.25">
      <c r="A16" s="10" t="s">
        <v>5</v>
      </c>
      <c r="B16" s="49">
        <f>B15/B12*100</f>
        <v>11.842105263157894</v>
      </c>
      <c r="D16" s="10" t="s">
        <v>5</v>
      </c>
      <c r="E16" s="52">
        <f>E15/E12*100</f>
        <v>12.244897959183673</v>
      </c>
      <c r="G16" s="10" t="s">
        <v>5</v>
      </c>
      <c r="H16" s="49">
        <f>H15/H12*100</f>
        <v>0</v>
      </c>
      <c r="J16" s="10" t="s">
        <v>5</v>
      </c>
      <c r="K16" s="28">
        <f>K15/K12*100</f>
        <v>20</v>
      </c>
      <c r="M16" s="10" t="s">
        <v>5</v>
      </c>
      <c r="N16" s="18">
        <f>N15/128*100</f>
        <v>0</v>
      </c>
    </row>
    <row r="17" spans="1:14" x14ac:dyDescent="0.25">
      <c r="M17" s="19"/>
    </row>
    <row r="18" spans="1:14" x14ac:dyDescent="0.25">
      <c r="A18" s="349" t="s">
        <v>32</v>
      </c>
      <c r="B18" s="350"/>
      <c r="D18" s="20" t="s">
        <v>33</v>
      </c>
      <c r="G18" s="349" t="s">
        <v>34</v>
      </c>
      <c r="H18" s="350"/>
      <c r="J18" s="349" t="s">
        <v>35</v>
      </c>
      <c r="K18" s="350"/>
      <c r="M18" s="354" t="s">
        <v>36</v>
      </c>
      <c r="N18" s="350"/>
    </row>
    <row r="19" spans="1:14" x14ac:dyDescent="0.25">
      <c r="A19" s="10" t="s">
        <v>28</v>
      </c>
      <c r="B19" s="10">
        <v>196</v>
      </c>
      <c r="D19" s="10" t="s">
        <v>28</v>
      </c>
      <c r="E19" s="10">
        <v>140</v>
      </c>
      <c r="G19" s="10" t="s">
        <v>28</v>
      </c>
      <c r="H19" s="10">
        <v>16</v>
      </c>
      <c r="J19" s="10" t="s">
        <v>28</v>
      </c>
      <c r="K19" s="10">
        <v>34</v>
      </c>
      <c r="M19" s="10" t="s">
        <v>28</v>
      </c>
      <c r="N19" s="10">
        <v>6</v>
      </c>
    </row>
    <row r="20" spans="1:14" x14ac:dyDescent="0.25">
      <c r="A20" s="10" t="s">
        <v>30</v>
      </c>
      <c r="B20" s="10">
        <v>29</v>
      </c>
      <c r="D20" s="10" t="s">
        <v>30</v>
      </c>
      <c r="E20" s="10">
        <v>1</v>
      </c>
      <c r="G20" s="10" t="s">
        <v>30</v>
      </c>
      <c r="H20" s="10">
        <v>28</v>
      </c>
      <c r="J20" s="10" t="s">
        <v>30</v>
      </c>
      <c r="K20" s="10">
        <v>0</v>
      </c>
      <c r="M20" s="10" t="s">
        <v>30</v>
      </c>
      <c r="N20" s="10">
        <v>0</v>
      </c>
    </row>
    <row r="21" spans="1:14" x14ac:dyDescent="0.25">
      <c r="A21" s="10" t="s">
        <v>31</v>
      </c>
      <c r="B21" s="10">
        <f>E21+H21+K21+N21</f>
        <v>225</v>
      </c>
      <c r="D21" s="10" t="s">
        <v>31</v>
      </c>
      <c r="E21" s="10">
        <f>E19+E20</f>
        <v>141</v>
      </c>
      <c r="G21" s="10" t="s">
        <v>31</v>
      </c>
      <c r="H21" s="10">
        <f>H19+H20</f>
        <v>44</v>
      </c>
      <c r="J21" s="10" t="s">
        <v>31</v>
      </c>
      <c r="K21" s="10">
        <f>K19+K20</f>
        <v>34</v>
      </c>
      <c r="M21" s="10" t="s">
        <v>31</v>
      </c>
      <c r="N21" s="10">
        <f>N19+N20</f>
        <v>6</v>
      </c>
    </row>
    <row r="22" spans="1:14" x14ac:dyDescent="0.25">
      <c r="F22" s="12"/>
    </row>
    <row r="24" spans="1:14" x14ac:dyDescent="0.25">
      <c r="A24" s="10" t="s">
        <v>4</v>
      </c>
      <c r="B24" s="21">
        <v>27</v>
      </c>
      <c r="D24" s="10" t="s">
        <v>4</v>
      </c>
      <c r="E24" s="53">
        <v>18</v>
      </c>
      <c r="G24" s="10" t="s">
        <v>4</v>
      </c>
      <c r="H24" s="55">
        <v>7</v>
      </c>
      <c r="J24" s="10" t="s">
        <v>4</v>
      </c>
      <c r="K24" s="27">
        <v>1</v>
      </c>
      <c r="M24" s="10" t="s">
        <v>4</v>
      </c>
      <c r="N24" s="16">
        <v>1</v>
      </c>
    </row>
    <row r="25" spans="1:14" x14ac:dyDescent="0.25">
      <c r="A25" s="10" t="s">
        <v>5</v>
      </c>
      <c r="B25" s="23">
        <f>B24/B21*100</f>
        <v>12</v>
      </c>
      <c r="D25" s="10" t="s">
        <v>5</v>
      </c>
      <c r="E25" s="54">
        <f>E24/E21*100</f>
        <v>12.76595744680851</v>
      </c>
      <c r="G25" s="10" t="s">
        <v>5</v>
      </c>
      <c r="H25" s="56">
        <f>H24/H21*100</f>
        <v>15.909090909090908</v>
      </c>
      <c r="J25" s="10" t="s">
        <v>5</v>
      </c>
      <c r="K25" s="28">
        <f>K24/K21*100</f>
        <v>2.9411764705882351</v>
      </c>
      <c r="M25" s="10" t="s">
        <v>5</v>
      </c>
      <c r="N25" s="58">
        <f>N24/N21*100</f>
        <v>16.666666666666664</v>
      </c>
    </row>
    <row r="26" spans="1:14" ht="15" customHeight="1" x14ac:dyDescent="0.25">
      <c r="N26" s="31"/>
    </row>
    <row r="27" spans="1:14" x14ac:dyDescent="0.25">
      <c r="G27" s="25"/>
      <c r="H27" s="12"/>
      <c r="I27" s="12"/>
      <c r="J27" s="25"/>
      <c r="K27" s="12"/>
      <c r="L27" s="12"/>
      <c r="M27" s="12"/>
    </row>
    <row r="28" spans="1:14" x14ac:dyDescent="0.25">
      <c r="A28" s="349" t="s">
        <v>47</v>
      </c>
      <c r="B28" s="350"/>
      <c r="D28" s="20" t="s">
        <v>48</v>
      </c>
      <c r="G28" s="349" t="s">
        <v>49</v>
      </c>
      <c r="H28" s="350"/>
      <c r="J28" s="349" t="s">
        <v>50</v>
      </c>
      <c r="K28" s="350"/>
      <c r="M28" s="354" t="s">
        <v>51</v>
      </c>
      <c r="N28" s="350"/>
    </row>
    <row r="29" spans="1:14" x14ac:dyDescent="0.25">
      <c r="A29" s="10" t="s">
        <v>28</v>
      </c>
      <c r="B29" s="10">
        <v>88</v>
      </c>
      <c r="D29" s="10" t="s">
        <v>28</v>
      </c>
      <c r="E29" s="10">
        <v>55</v>
      </c>
      <c r="G29" s="10" t="s">
        <v>28</v>
      </c>
      <c r="H29" s="10">
        <v>14</v>
      </c>
      <c r="J29" s="10" t="s">
        <v>28</v>
      </c>
      <c r="K29" s="10">
        <v>16</v>
      </c>
      <c r="M29" s="10" t="s">
        <v>28</v>
      </c>
      <c r="N29" s="10">
        <v>3</v>
      </c>
    </row>
    <row r="30" spans="1:14" x14ac:dyDescent="0.25">
      <c r="A30" s="10" t="s">
        <v>31</v>
      </c>
      <c r="B30" s="10">
        <f>E30+H30+K30+N30</f>
        <v>88</v>
      </c>
      <c r="D30" s="10" t="s">
        <v>31</v>
      </c>
      <c r="E30" s="10">
        <f>E29</f>
        <v>55</v>
      </c>
      <c r="G30" s="10" t="s">
        <v>31</v>
      </c>
      <c r="H30" s="10">
        <f>H29</f>
        <v>14</v>
      </c>
      <c r="J30" s="10" t="s">
        <v>31</v>
      </c>
      <c r="K30" s="10">
        <f>K29</f>
        <v>16</v>
      </c>
      <c r="M30" s="10" t="s">
        <v>31</v>
      </c>
      <c r="N30" s="10">
        <f>N29</f>
        <v>3</v>
      </c>
    </row>
    <row r="31" spans="1:14" x14ac:dyDescent="0.25">
      <c r="F31" s="12"/>
    </row>
    <row r="33" spans="1:17" x14ac:dyDescent="0.25">
      <c r="A33" s="10" t="s">
        <v>4</v>
      </c>
      <c r="B33" s="16">
        <v>6</v>
      </c>
      <c r="D33" s="10" t="s">
        <v>4</v>
      </c>
      <c r="E33" s="16">
        <v>6</v>
      </c>
      <c r="G33" s="10" t="s">
        <v>4</v>
      </c>
      <c r="H33" s="21">
        <v>0</v>
      </c>
      <c r="J33" s="10" t="s">
        <v>4</v>
      </c>
      <c r="K33" s="27">
        <v>0</v>
      </c>
      <c r="M33" s="10" t="s">
        <v>4</v>
      </c>
      <c r="N33" s="10">
        <v>0</v>
      </c>
    </row>
    <row r="34" spans="1:17" ht="15" customHeight="1" x14ac:dyDescent="0.25">
      <c r="A34" s="10" t="s">
        <v>5</v>
      </c>
      <c r="B34" s="57">
        <f>B33/B30*100</f>
        <v>6.8181818181818175</v>
      </c>
      <c r="D34" s="10" t="s">
        <v>5</v>
      </c>
      <c r="E34" s="57">
        <f>E33/E30*100</f>
        <v>10.909090909090908</v>
      </c>
      <c r="G34" s="10" t="s">
        <v>5</v>
      </c>
      <c r="H34" s="23">
        <f>H33/H30*100</f>
        <v>0</v>
      </c>
      <c r="J34" s="10" t="s">
        <v>5</v>
      </c>
      <c r="K34" s="28">
        <f>K33/K30*100</f>
        <v>0</v>
      </c>
      <c r="M34" s="10" t="s">
        <v>5</v>
      </c>
      <c r="N34" s="18">
        <f>N33/N30*100</f>
        <v>0</v>
      </c>
    </row>
    <row r="36" spans="1:17" ht="15" customHeight="1" x14ac:dyDescent="0.25">
      <c r="A36" s="60" t="s">
        <v>31</v>
      </c>
      <c r="B36" s="60">
        <f>B21+B30</f>
        <v>313</v>
      </c>
      <c r="Q36">
        <f>B15+B24+B33+D53+F53+H53+J53</f>
        <v>50</v>
      </c>
    </row>
    <row r="37" spans="1:17" ht="15" customHeight="1" x14ac:dyDescent="0.25">
      <c r="A37" s="60" t="s">
        <v>44</v>
      </c>
      <c r="B37" s="60">
        <f>B24+B33</f>
        <v>33</v>
      </c>
    </row>
    <row r="38" spans="1:17" ht="15" customHeight="1" x14ac:dyDescent="0.25">
      <c r="A38" s="46" t="s">
        <v>55</v>
      </c>
      <c r="B38" s="59">
        <f>B37/B36*100%</f>
        <v>0.10543130990415335</v>
      </c>
    </row>
    <row r="40" spans="1:17" ht="15" customHeight="1" x14ac:dyDescent="0.25">
      <c r="A40" s="341" t="s">
        <v>60</v>
      </c>
      <c r="B40" s="341"/>
      <c r="D40" s="60" t="s">
        <v>61</v>
      </c>
      <c r="E40" s="60"/>
      <c r="G40" s="60" t="s">
        <v>62</v>
      </c>
      <c r="H40" s="60"/>
      <c r="J40" s="60" t="s">
        <v>63</v>
      </c>
      <c r="K40" s="60"/>
      <c r="M40" s="60" t="s">
        <v>64</v>
      </c>
      <c r="N40" s="60"/>
    </row>
    <row r="41" spans="1:17" ht="15" customHeight="1" x14ac:dyDescent="0.25">
      <c r="A41" s="61" t="s">
        <v>29</v>
      </c>
      <c r="B41" s="62">
        <v>42</v>
      </c>
      <c r="D41" s="60" t="s">
        <v>29</v>
      </c>
      <c r="E41" s="60">
        <v>27</v>
      </c>
      <c r="G41" s="60" t="s">
        <v>29</v>
      </c>
      <c r="H41" s="60">
        <v>7</v>
      </c>
      <c r="J41" s="60" t="s">
        <v>29</v>
      </c>
      <c r="K41" s="60">
        <v>7</v>
      </c>
      <c r="M41" s="60" t="s">
        <v>29</v>
      </c>
      <c r="N41" s="60">
        <v>1</v>
      </c>
    </row>
    <row r="42" spans="1:17" ht="15" customHeight="1" x14ac:dyDescent="0.25">
      <c r="A42" s="63" t="s">
        <v>31</v>
      </c>
      <c r="B42" s="64">
        <f>E42+H42+K42+N42</f>
        <v>42</v>
      </c>
      <c r="D42" s="60" t="s">
        <v>31</v>
      </c>
      <c r="E42" s="60">
        <f>E41</f>
        <v>27</v>
      </c>
      <c r="G42" s="60" t="s">
        <v>31</v>
      </c>
      <c r="H42" s="60">
        <f>H41</f>
        <v>7</v>
      </c>
      <c r="J42" s="60" t="s">
        <v>31</v>
      </c>
      <c r="K42" s="60">
        <f>K41</f>
        <v>7</v>
      </c>
      <c r="M42" s="60" t="s">
        <v>31</v>
      </c>
      <c r="N42" s="60">
        <f>N41</f>
        <v>1</v>
      </c>
    </row>
    <row r="43" spans="1:17" ht="15" customHeight="1" x14ac:dyDescent="0.25">
      <c r="A43" s="44"/>
      <c r="B43" s="44"/>
    </row>
    <row r="44" spans="1:17" ht="15" customHeight="1" x14ac:dyDescent="0.25">
      <c r="A44" s="10" t="s">
        <v>4</v>
      </c>
      <c r="B44" s="16">
        <v>1</v>
      </c>
      <c r="D44" s="10" t="s">
        <v>4</v>
      </c>
      <c r="E44" s="16">
        <v>1</v>
      </c>
      <c r="G44" s="10" t="s">
        <v>4</v>
      </c>
      <c r="H44" s="10">
        <v>0</v>
      </c>
      <c r="J44" s="10" t="s">
        <v>4</v>
      </c>
      <c r="K44" s="10">
        <v>0</v>
      </c>
      <c r="M44" s="10" t="s">
        <v>4</v>
      </c>
      <c r="N44" s="10">
        <v>0</v>
      </c>
    </row>
    <row r="45" spans="1:17" ht="15" customHeight="1" x14ac:dyDescent="0.25">
      <c r="A45" s="10" t="s">
        <v>5</v>
      </c>
      <c r="B45" s="57">
        <f>B44/B41*100</f>
        <v>2.3809523809523809</v>
      </c>
      <c r="D45" s="10" t="s">
        <v>5</v>
      </c>
      <c r="E45" s="57">
        <f>E44/E41*100</f>
        <v>3.7037037037037033</v>
      </c>
      <c r="F45" s="12"/>
      <c r="G45" s="10" t="s">
        <v>5</v>
      </c>
      <c r="H45" s="18">
        <f>H44/H41*100</f>
        <v>0</v>
      </c>
      <c r="J45" s="10" t="s">
        <v>5</v>
      </c>
      <c r="K45" s="18">
        <f>K44/K41*100</f>
        <v>0</v>
      </c>
      <c r="M45" s="10" t="s">
        <v>5</v>
      </c>
      <c r="N45" s="18">
        <f>N44/N41*100</f>
        <v>0</v>
      </c>
    </row>
    <row r="46" spans="1:17" ht="15" customHeight="1" x14ac:dyDescent="0.25">
      <c r="A46" s="44"/>
      <c r="B46" s="44"/>
    </row>
    <row r="47" spans="1:17" ht="15" customHeight="1" x14ac:dyDescent="0.25">
      <c r="A47" s="44"/>
      <c r="B47" s="45"/>
      <c r="D47" s="30"/>
      <c r="E47" s="30"/>
    </row>
    <row r="48" spans="1:17" ht="15" customHeight="1" x14ac:dyDescent="0.25">
      <c r="A48" s="60" t="s">
        <v>31</v>
      </c>
      <c r="B48" s="60">
        <f>B12+B42</f>
        <v>118</v>
      </c>
    </row>
    <row r="49" spans="1:11" ht="15" customHeight="1" x14ac:dyDescent="0.25">
      <c r="A49" s="60" t="s">
        <v>44</v>
      </c>
      <c r="B49" s="60">
        <f>B15+B44</f>
        <v>10</v>
      </c>
    </row>
    <row r="50" spans="1:11" ht="15" customHeight="1" x14ac:dyDescent="0.25">
      <c r="A50" s="46" t="s">
        <v>55</v>
      </c>
      <c r="B50" s="59">
        <f>B49/B48*100%</f>
        <v>8.4745762711864403E-2</v>
      </c>
    </row>
    <row r="51" spans="1:11" ht="15" customHeight="1" x14ac:dyDescent="0.25">
      <c r="A51" s="43"/>
      <c r="B51" s="43"/>
    </row>
    <row r="52" spans="1:11" ht="15" customHeight="1" x14ac:dyDescent="0.25">
      <c r="A52" s="43"/>
      <c r="B52" s="43"/>
      <c r="D52" s="349" t="s">
        <v>52</v>
      </c>
      <c r="E52" s="350"/>
      <c r="F52" s="349" t="s">
        <v>58</v>
      </c>
      <c r="G52" s="350"/>
      <c r="H52" s="349" t="s">
        <v>57</v>
      </c>
      <c r="I52" s="350"/>
      <c r="J52" s="349" t="s">
        <v>59</v>
      </c>
      <c r="K52" s="350"/>
    </row>
    <row r="53" spans="1:11" ht="15" customHeight="1" x14ac:dyDescent="0.25">
      <c r="D53" s="359">
        <v>1</v>
      </c>
      <c r="E53" s="360"/>
      <c r="F53" s="359">
        <v>3</v>
      </c>
      <c r="G53" s="360"/>
      <c r="H53" s="357">
        <v>3</v>
      </c>
      <c r="I53" s="358"/>
      <c r="J53" s="357">
        <v>1</v>
      </c>
      <c r="K53" s="358"/>
    </row>
  </sheetData>
  <mergeCells count="24">
    <mergeCell ref="H53:I53"/>
    <mergeCell ref="J52:K52"/>
    <mergeCell ref="J53:K53"/>
    <mergeCell ref="D52:E52"/>
    <mergeCell ref="D53:E53"/>
    <mergeCell ref="F52:G52"/>
    <mergeCell ref="F53:G53"/>
    <mergeCell ref="H52:I52"/>
    <mergeCell ref="J9:K9"/>
    <mergeCell ref="M9:N9"/>
    <mergeCell ref="A18:B18"/>
    <mergeCell ref="G18:H18"/>
    <mergeCell ref="J18:K18"/>
    <mergeCell ref="M18:N18"/>
    <mergeCell ref="A1:B1"/>
    <mergeCell ref="D1:E1"/>
    <mergeCell ref="A9:B9"/>
    <mergeCell ref="D9:E9"/>
    <mergeCell ref="G9:H9"/>
    <mergeCell ref="A40:B40"/>
    <mergeCell ref="A28:B28"/>
    <mergeCell ref="G28:H28"/>
    <mergeCell ref="J28:K28"/>
    <mergeCell ref="M28:N28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BD4-3802-439B-90EC-CCD9A9EB8CC7}">
  <sheetPr>
    <outlinePr summaryBelow="0" summaryRight="0"/>
  </sheetPr>
  <dimension ref="A1:Q61"/>
  <sheetViews>
    <sheetView showGridLines="0" topLeftCell="A25" zoomScale="70" zoomScaleNormal="70" workbookViewId="0">
      <selection activeCell="E65" sqref="E65"/>
    </sheetView>
  </sheetViews>
  <sheetFormatPr baseColWidth="10" defaultColWidth="14.42578125" defaultRowHeight="15" customHeight="1" x14ac:dyDescent="0.25"/>
  <cols>
    <col min="1" max="1" width="21.42578125" customWidth="1"/>
    <col min="4" max="4" width="26.7109375" customWidth="1"/>
    <col min="7" max="7" width="30.85546875" customWidth="1"/>
    <col min="10" max="10" width="26.42578125" customWidth="1"/>
    <col min="11" max="11" width="17" customWidth="1"/>
    <col min="13" max="13" width="23.28515625" customWidth="1"/>
    <col min="14" max="14" width="23.5703125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511</v>
      </c>
      <c r="D2" s="31"/>
      <c r="E2" s="36"/>
    </row>
    <row r="3" spans="1:14" x14ac:dyDescent="0.25">
      <c r="A3" s="10" t="s">
        <v>30</v>
      </c>
      <c r="B3" s="11">
        <v>37</v>
      </c>
      <c r="D3" s="31"/>
      <c r="E3" s="36"/>
    </row>
    <row r="4" spans="1:14" x14ac:dyDescent="0.25">
      <c r="A4" s="10" t="s">
        <v>3</v>
      </c>
      <c r="B4" s="35">
        <f>B2+B3</f>
        <v>548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46</v>
      </c>
      <c r="C6" s="30"/>
      <c r="D6" s="33" t="s">
        <v>43</v>
      </c>
      <c r="E6" s="14">
        <v>11</v>
      </c>
      <c r="G6" s="10" t="s">
        <v>44</v>
      </c>
      <c r="H6" s="14">
        <f>B6+E6</f>
        <v>57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10.401459854014599</v>
      </c>
    </row>
    <row r="8" spans="1:14" x14ac:dyDescent="0.25">
      <c r="B8" s="13"/>
    </row>
    <row r="9" spans="1:14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54" t="s">
        <v>27</v>
      </c>
      <c r="N9" s="350"/>
    </row>
    <row r="10" spans="1:14" x14ac:dyDescent="0.25">
      <c r="A10" s="10" t="s">
        <v>28</v>
      </c>
      <c r="B10" s="10">
        <v>70</v>
      </c>
      <c r="D10" s="10" t="s">
        <v>29</v>
      </c>
      <c r="E10" s="10">
        <v>49</v>
      </c>
      <c r="G10" s="10" t="s">
        <v>29</v>
      </c>
      <c r="H10" s="10">
        <v>4</v>
      </c>
      <c r="J10" s="10" t="s">
        <v>29</v>
      </c>
      <c r="K10" s="10">
        <v>16</v>
      </c>
      <c r="M10" s="10" t="s">
        <v>29</v>
      </c>
      <c r="N10" s="10">
        <f>2-N21</f>
        <v>1</v>
      </c>
    </row>
    <row r="11" spans="1:14" x14ac:dyDescent="0.25">
      <c r="A11" s="10" t="s">
        <v>30</v>
      </c>
      <c r="B11" s="50">
        <v>10</v>
      </c>
      <c r="D11" s="10" t="s">
        <v>30</v>
      </c>
      <c r="E11" s="10">
        <v>1</v>
      </c>
      <c r="G11" s="10" t="s">
        <v>30</v>
      </c>
      <c r="H11" s="10">
        <v>9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80</v>
      </c>
      <c r="D12" s="10" t="s">
        <v>31</v>
      </c>
      <c r="E12" s="10">
        <f>E10+E11</f>
        <v>50</v>
      </c>
      <c r="G12" s="10" t="s">
        <v>31</v>
      </c>
      <c r="H12" s="10">
        <f>H10+H11</f>
        <v>13</v>
      </c>
      <c r="J12" s="10" t="s">
        <v>31</v>
      </c>
      <c r="K12" s="10">
        <f>K10+K11</f>
        <v>16</v>
      </c>
      <c r="M12" s="10" t="s">
        <v>31</v>
      </c>
      <c r="N12" s="10">
        <f>N10+N11</f>
        <v>1</v>
      </c>
    </row>
    <row r="15" spans="1:14" x14ac:dyDescent="0.25">
      <c r="A15" s="69" t="s">
        <v>66</v>
      </c>
      <c r="B15" s="48">
        <v>11</v>
      </c>
      <c r="D15" s="69" t="s">
        <v>67</v>
      </c>
      <c r="E15" s="51">
        <v>5</v>
      </c>
      <c r="G15" s="69" t="s">
        <v>68</v>
      </c>
      <c r="H15" s="48">
        <v>3</v>
      </c>
      <c r="J15" s="69" t="s">
        <v>69</v>
      </c>
      <c r="K15" s="27">
        <v>3</v>
      </c>
      <c r="M15" s="69" t="s">
        <v>70</v>
      </c>
      <c r="N15" s="10">
        <v>0</v>
      </c>
    </row>
    <row r="16" spans="1:14" x14ac:dyDescent="0.25">
      <c r="A16" s="10" t="s">
        <v>5</v>
      </c>
      <c r="B16" s="49">
        <f>B15/B12*100</f>
        <v>13.750000000000002</v>
      </c>
      <c r="D16" s="10" t="s">
        <v>5</v>
      </c>
      <c r="E16" s="52">
        <f>E15/E12*100</f>
        <v>10</v>
      </c>
      <c r="G16" s="10" t="s">
        <v>5</v>
      </c>
      <c r="H16" s="49">
        <f>H15/H12*100</f>
        <v>23.076923076923077</v>
      </c>
      <c r="J16" s="10" t="s">
        <v>5</v>
      </c>
      <c r="K16" s="28">
        <f>K15/K12*100</f>
        <v>18.75</v>
      </c>
      <c r="M16" s="10" t="s">
        <v>5</v>
      </c>
      <c r="N16" s="18">
        <f>N15/128*100</f>
        <v>0</v>
      </c>
    </row>
    <row r="17" spans="1:14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14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14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63</v>
      </c>
      <c r="K19" s="352"/>
      <c r="M19" s="353" t="s">
        <v>64</v>
      </c>
      <c r="N19" s="352"/>
    </row>
    <row r="20" spans="1:14" x14ac:dyDescent="0.25">
      <c r="A20" s="61" t="s">
        <v>29</v>
      </c>
      <c r="B20" s="62">
        <v>42</v>
      </c>
      <c r="D20" s="60" t="s">
        <v>29</v>
      </c>
      <c r="E20" s="60">
        <v>29</v>
      </c>
      <c r="G20" s="60" t="s">
        <v>29</v>
      </c>
      <c r="H20" s="60">
        <v>7</v>
      </c>
      <c r="J20" s="60" t="s">
        <v>29</v>
      </c>
      <c r="K20" s="60">
        <v>5</v>
      </c>
      <c r="M20" s="60" t="s">
        <v>29</v>
      </c>
      <c r="N20" s="60">
        <v>1</v>
      </c>
    </row>
    <row r="21" spans="1:14" x14ac:dyDescent="0.25">
      <c r="A21" s="63" t="s">
        <v>31</v>
      </c>
      <c r="B21" s="64">
        <f>E21+H21+K21+N21</f>
        <v>42</v>
      </c>
      <c r="D21" s="60" t="s">
        <v>31</v>
      </c>
      <c r="E21" s="60">
        <f>E20</f>
        <v>29</v>
      </c>
      <c r="G21" s="60" t="s">
        <v>31</v>
      </c>
      <c r="H21" s="60">
        <f>H20</f>
        <v>7</v>
      </c>
      <c r="J21" s="60" t="s">
        <v>31</v>
      </c>
      <c r="K21" s="60">
        <f>K20</f>
        <v>5</v>
      </c>
      <c r="M21" s="60" t="s">
        <v>31</v>
      </c>
      <c r="N21" s="60">
        <f>N20</f>
        <v>1</v>
      </c>
    </row>
    <row r="22" spans="1:14" x14ac:dyDescent="0.25">
      <c r="A22" s="44"/>
      <c r="B22" s="44"/>
    </row>
    <row r="23" spans="1:14" x14ac:dyDescent="0.25">
      <c r="A23" s="69" t="s">
        <v>72</v>
      </c>
      <c r="B23" s="16">
        <v>3</v>
      </c>
      <c r="D23" s="69" t="s">
        <v>73</v>
      </c>
      <c r="E23" s="16">
        <v>2</v>
      </c>
      <c r="G23" s="69" t="s">
        <v>74</v>
      </c>
      <c r="H23" s="10">
        <v>0</v>
      </c>
      <c r="J23" s="69" t="s">
        <v>75</v>
      </c>
      <c r="K23" s="10">
        <v>1</v>
      </c>
      <c r="M23" s="69" t="s">
        <v>76</v>
      </c>
      <c r="N23" s="10">
        <v>0</v>
      </c>
    </row>
    <row r="24" spans="1:14" x14ac:dyDescent="0.25">
      <c r="A24" s="10" t="s">
        <v>5</v>
      </c>
      <c r="B24" s="57">
        <f>B23/B20*100</f>
        <v>7.1428571428571423</v>
      </c>
      <c r="D24" s="10" t="s">
        <v>5</v>
      </c>
      <c r="E24" s="57">
        <f>E23/E20*100</f>
        <v>6.8965517241379306</v>
      </c>
      <c r="F24" s="12"/>
      <c r="G24" s="10" t="s">
        <v>5</v>
      </c>
      <c r="H24" s="18">
        <f>H23/H20*100</f>
        <v>0</v>
      </c>
      <c r="J24" s="10" t="s">
        <v>5</v>
      </c>
      <c r="K24" s="18">
        <f>K23/K20*100</f>
        <v>20</v>
      </c>
      <c r="M24" s="10" t="s">
        <v>5</v>
      </c>
      <c r="N24" s="18">
        <f>N23/N20*100</f>
        <v>0</v>
      </c>
    </row>
    <row r="25" spans="1:14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14" x14ac:dyDescent="0.25">
      <c r="A26" s="60" t="s">
        <v>31</v>
      </c>
      <c r="B26" s="60">
        <f>B12+B21</f>
        <v>122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14" x14ac:dyDescent="0.25">
      <c r="A27" s="60" t="s">
        <v>44</v>
      </c>
      <c r="B27" s="60">
        <f>B15+B23</f>
        <v>14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14" x14ac:dyDescent="0.25">
      <c r="A28" s="46" t="s">
        <v>83</v>
      </c>
      <c r="B28" s="59">
        <f>B27/B26*100%</f>
        <v>0.11475409836065574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14" x14ac:dyDescent="0.25">
      <c r="M29" s="19"/>
    </row>
    <row r="30" spans="1:14" x14ac:dyDescent="0.25">
      <c r="A30" s="349" t="s">
        <v>32</v>
      </c>
      <c r="B30" s="350"/>
      <c r="D30" s="20" t="s">
        <v>33</v>
      </c>
      <c r="G30" s="349" t="s">
        <v>34</v>
      </c>
      <c r="H30" s="350"/>
      <c r="J30" s="349" t="s">
        <v>35</v>
      </c>
      <c r="K30" s="350"/>
      <c r="M30" s="354" t="s">
        <v>36</v>
      </c>
      <c r="N30" s="350"/>
    </row>
    <row r="31" spans="1:14" x14ac:dyDescent="0.25">
      <c r="A31" s="10" t="s">
        <v>28</v>
      </c>
      <c r="B31" s="10">
        <v>195</v>
      </c>
      <c r="D31" s="10" t="s">
        <v>28</v>
      </c>
      <c r="E31" s="10">
        <v>141</v>
      </c>
      <c r="G31" s="10" t="s">
        <v>28</v>
      </c>
      <c r="H31" s="10">
        <v>12</v>
      </c>
      <c r="J31" s="10" t="s">
        <v>28</v>
      </c>
      <c r="K31" s="10">
        <v>35</v>
      </c>
      <c r="M31" s="10" t="s">
        <v>28</v>
      </c>
      <c r="N31" s="10">
        <v>7</v>
      </c>
    </row>
    <row r="32" spans="1:14" x14ac:dyDescent="0.25">
      <c r="A32" s="10" t="s">
        <v>30</v>
      </c>
      <c r="B32" s="10">
        <v>28</v>
      </c>
      <c r="D32" s="10" t="s">
        <v>30</v>
      </c>
      <c r="E32" s="10">
        <v>1</v>
      </c>
      <c r="G32" s="10" t="s">
        <v>30</v>
      </c>
      <c r="H32" s="10">
        <v>27</v>
      </c>
      <c r="J32" s="10" t="s">
        <v>30</v>
      </c>
      <c r="K32" s="10">
        <v>0</v>
      </c>
      <c r="M32" s="10" t="s">
        <v>30</v>
      </c>
      <c r="N32" s="10">
        <v>0</v>
      </c>
    </row>
    <row r="33" spans="1:17" x14ac:dyDescent="0.25">
      <c r="A33" s="10" t="s">
        <v>31</v>
      </c>
      <c r="B33" s="10">
        <f>E33+H33+K33+N33</f>
        <v>223</v>
      </c>
      <c r="D33" s="10" t="s">
        <v>31</v>
      </c>
      <c r="E33" s="10">
        <f>E31+E32</f>
        <v>142</v>
      </c>
      <c r="G33" s="10" t="s">
        <v>31</v>
      </c>
      <c r="H33" s="10">
        <f>H31+H32</f>
        <v>39</v>
      </c>
      <c r="J33" s="10" t="s">
        <v>31</v>
      </c>
      <c r="K33" s="10">
        <f>K31+K32</f>
        <v>35</v>
      </c>
      <c r="M33" s="10" t="s">
        <v>31</v>
      </c>
      <c r="N33" s="10">
        <f>N31+N32</f>
        <v>7</v>
      </c>
    </row>
    <row r="34" spans="1:17" x14ac:dyDescent="0.25">
      <c r="F34" s="12"/>
    </row>
    <row r="36" spans="1:17" x14ac:dyDescent="0.25">
      <c r="A36" s="10" t="s">
        <v>4</v>
      </c>
      <c r="B36" s="21">
        <v>33</v>
      </c>
      <c r="D36" s="10" t="s">
        <v>4</v>
      </c>
      <c r="E36" s="53">
        <v>23</v>
      </c>
      <c r="G36" s="10" t="s">
        <v>4</v>
      </c>
      <c r="H36" s="55">
        <v>8</v>
      </c>
      <c r="J36" s="10" t="s">
        <v>4</v>
      </c>
      <c r="K36" s="27">
        <v>2</v>
      </c>
      <c r="M36" s="10" t="s">
        <v>4</v>
      </c>
      <c r="N36" s="16">
        <v>0</v>
      </c>
    </row>
    <row r="37" spans="1:17" x14ac:dyDescent="0.25">
      <c r="A37" s="10" t="s">
        <v>5</v>
      </c>
      <c r="B37" s="23">
        <f>B36/B33*100</f>
        <v>14.798206278026907</v>
      </c>
      <c r="D37" s="10" t="s">
        <v>5</v>
      </c>
      <c r="E37" s="54">
        <f>E36/E33*100</f>
        <v>16.197183098591552</v>
      </c>
      <c r="G37" s="10" t="s">
        <v>5</v>
      </c>
      <c r="H37" s="56">
        <f>H36/H33*100</f>
        <v>20.512820512820511</v>
      </c>
      <c r="J37" s="10" t="s">
        <v>5</v>
      </c>
      <c r="K37" s="28">
        <f>K36/K33*100</f>
        <v>5.7142857142857144</v>
      </c>
      <c r="M37" s="10" t="s">
        <v>5</v>
      </c>
      <c r="N37" s="58">
        <f>N36/N33*100</f>
        <v>0</v>
      </c>
    </row>
    <row r="38" spans="1:17" ht="15" customHeight="1" x14ac:dyDescent="0.25">
      <c r="N38" s="31"/>
    </row>
    <row r="39" spans="1:17" x14ac:dyDescent="0.25">
      <c r="G39" s="25"/>
      <c r="H39" s="12"/>
      <c r="I39" s="12"/>
      <c r="J39" s="25"/>
      <c r="K39" s="12"/>
      <c r="L39" s="12"/>
      <c r="M39" s="12"/>
    </row>
    <row r="40" spans="1:17" x14ac:dyDescent="0.25">
      <c r="A40" s="349" t="s">
        <v>77</v>
      </c>
      <c r="B40" s="350"/>
      <c r="D40" s="20" t="s">
        <v>48</v>
      </c>
      <c r="G40" s="349" t="s">
        <v>49</v>
      </c>
      <c r="H40" s="350"/>
      <c r="J40" s="349" t="s">
        <v>50</v>
      </c>
      <c r="K40" s="350"/>
      <c r="M40" s="354" t="s">
        <v>51</v>
      </c>
      <c r="N40" s="350"/>
    </row>
    <row r="41" spans="1:17" x14ac:dyDescent="0.25">
      <c r="A41" s="10" t="s">
        <v>28</v>
      </c>
      <c r="B41" s="10">
        <v>89</v>
      </c>
      <c r="D41" s="10" t="s">
        <v>28</v>
      </c>
      <c r="E41" s="10">
        <v>53</v>
      </c>
      <c r="G41" s="10" t="s">
        <v>28</v>
      </c>
      <c r="H41" s="10">
        <v>17</v>
      </c>
      <c r="J41" s="10" t="s">
        <v>28</v>
      </c>
      <c r="K41" s="10">
        <v>16</v>
      </c>
      <c r="M41" s="10" t="s">
        <v>28</v>
      </c>
      <c r="N41" s="10">
        <v>3</v>
      </c>
    </row>
    <row r="42" spans="1:17" x14ac:dyDescent="0.25">
      <c r="F42" s="12"/>
    </row>
    <row r="44" spans="1:17" x14ac:dyDescent="0.25">
      <c r="A44" s="69" t="s">
        <v>78</v>
      </c>
      <c r="B44" s="16">
        <v>4</v>
      </c>
      <c r="D44" s="69" t="s">
        <v>79</v>
      </c>
      <c r="E44" s="16">
        <v>3</v>
      </c>
      <c r="G44" s="69" t="s">
        <v>80</v>
      </c>
      <c r="H44" s="21">
        <v>0</v>
      </c>
      <c r="J44" s="69" t="s">
        <v>81</v>
      </c>
      <c r="K44" s="27">
        <v>0</v>
      </c>
      <c r="M44" s="69" t="s">
        <v>82</v>
      </c>
      <c r="N44" s="10">
        <v>1</v>
      </c>
    </row>
    <row r="45" spans="1:17" ht="15" customHeight="1" x14ac:dyDescent="0.25">
      <c r="A45" s="10" t="s">
        <v>5</v>
      </c>
      <c r="B45" s="57">
        <f>B44/B41*100</f>
        <v>4.4943820224719104</v>
      </c>
      <c r="D45" s="10" t="s">
        <v>5</v>
      </c>
      <c r="E45" s="57">
        <f>E44/E41*100</f>
        <v>5.6603773584905666</v>
      </c>
      <c r="G45" s="10" t="s">
        <v>5</v>
      </c>
      <c r="H45" s="23">
        <f>H44/H41*100</f>
        <v>0</v>
      </c>
      <c r="J45" s="10" t="s">
        <v>5</v>
      </c>
      <c r="K45" s="23">
        <f>K44/K41*100</f>
        <v>0</v>
      </c>
      <c r="M45" s="10" t="s">
        <v>5</v>
      </c>
      <c r="N45" s="18">
        <f>N44/N41*100</f>
        <v>33.333333333333329</v>
      </c>
    </row>
    <row r="47" spans="1:17" ht="15" customHeight="1" x14ac:dyDescent="0.25">
      <c r="A47" s="60" t="s">
        <v>31</v>
      </c>
      <c r="B47" s="60">
        <f>B33+B41</f>
        <v>312</v>
      </c>
      <c r="Q47">
        <f>B15+B36+B44+D58+F58+H58+J58</f>
        <v>55</v>
      </c>
    </row>
    <row r="48" spans="1:17" ht="15" customHeight="1" x14ac:dyDescent="0.25">
      <c r="A48" s="60" t="s">
        <v>44</v>
      </c>
      <c r="B48" s="60">
        <f>B36+B44</f>
        <v>37</v>
      </c>
    </row>
    <row r="49" spans="1:11" ht="15" customHeight="1" x14ac:dyDescent="0.25">
      <c r="A49" s="46" t="s">
        <v>55</v>
      </c>
      <c r="B49" s="59">
        <f>B48/B47*100%</f>
        <v>0.11858974358974358</v>
      </c>
    </row>
    <row r="54" spans="1:11" ht="15" customHeight="1" x14ac:dyDescent="0.25">
      <c r="A54" s="44"/>
      <c r="B54" s="44"/>
    </row>
    <row r="55" spans="1:11" ht="15" customHeight="1" x14ac:dyDescent="0.25">
      <c r="A55" s="44"/>
      <c r="B55" s="45"/>
      <c r="D55" s="30"/>
      <c r="E55" s="30"/>
    </row>
    <row r="56" spans="1:11" ht="15" customHeight="1" x14ac:dyDescent="0.25">
      <c r="A56" s="43"/>
      <c r="B56" s="43"/>
    </row>
    <row r="57" spans="1:11" ht="15" customHeight="1" x14ac:dyDescent="0.25">
      <c r="A57" s="43"/>
      <c r="B57" s="43"/>
      <c r="D57" s="349" t="s">
        <v>52</v>
      </c>
      <c r="E57" s="350"/>
      <c r="F57" s="349" t="s">
        <v>58</v>
      </c>
      <c r="G57" s="350"/>
      <c r="H57" s="349" t="s">
        <v>57</v>
      </c>
      <c r="I57" s="350"/>
      <c r="J57" s="349" t="s">
        <v>59</v>
      </c>
      <c r="K57" s="350"/>
    </row>
    <row r="58" spans="1:11" ht="15" customHeight="1" x14ac:dyDescent="0.25">
      <c r="D58" s="359">
        <v>2</v>
      </c>
      <c r="E58" s="360"/>
      <c r="F58" s="362">
        <v>5</v>
      </c>
      <c r="G58" s="363"/>
      <c r="H58" s="357">
        <v>0</v>
      </c>
      <c r="I58" s="358"/>
      <c r="J58" s="357">
        <v>0</v>
      </c>
      <c r="K58" s="358"/>
    </row>
    <row r="59" spans="1:11" ht="15" customHeight="1" x14ac:dyDescent="0.25">
      <c r="F59" s="341">
        <v>36</v>
      </c>
      <c r="G59" s="341"/>
      <c r="H59" s="338">
        <v>14</v>
      </c>
      <c r="I59" s="340"/>
    </row>
    <row r="61" spans="1:11" ht="15" customHeight="1" x14ac:dyDescent="0.25">
      <c r="F61" t="s">
        <v>100</v>
      </c>
      <c r="G61" s="88">
        <f>F58/F59*100%</f>
        <v>0.1388888888888889</v>
      </c>
      <c r="H61" t="s">
        <v>100</v>
      </c>
      <c r="I61" s="89">
        <f>H58/H59*100%</f>
        <v>0</v>
      </c>
    </row>
  </sheetData>
  <mergeCells count="30">
    <mergeCell ref="F59:G59"/>
    <mergeCell ref="H59:I59"/>
    <mergeCell ref="A40:B40"/>
    <mergeCell ref="G40:H40"/>
    <mergeCell ref="J40:K40"/>
    <mergeCell ref="M40:N40"/>
    <mergeCell ref="D58:E58"/>
    <mergeCell ref="F58:G58"/>
    <mergeCell ref="H58:I58"/>
    <mergeCell ref="J58:K58"/>
    <mergeCell ref="D57:E57"/>
    <mergeCell ref="F57:G57"/>
    <mergeCell ref="H57:I57"/>
    <mergeCell ref="J57:K57"/>
    <mergeCell ref="A30:B30"/>
    <mergeCell ref="G30:H30"/>
    <mergeCell ref="J30:K30"/>
    <mergeCell ref="M30:N30"/>
    <mergeCell ref="M9:N9"/>
    <mergeCell ref="J9:K9"/>
    <mergeCell ref="D19:E19"/>
    <mergeCell ref="G19:H19"/>
    <mergeCell ref="J19:K19"/>
    <mergeCell ref="M19:N19"/>
    <mergeCell ref="A19:B1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2D29-A29B-4CA1-88A3-F958FA9BAD50}">
  <sheetPr>
    <outlinePr summaryBelow="0" summaryRight="0"/>
  </sheetPr>
  <dimension ref="A1:Q60"/>
  <sheetViews>
    <sheetView showGridLines="0" topLeftCell="C1" zoomScale="70" zoomScaleNormal="70" workbookViewId="0">
      <selection activeCell="B26" sqref="B26"/>
    </sheetView>
  </sheetViews>
  <sheetFormatPr baseColWidth="10" defaultColWidth="14.42578125" defaultRowHeight="15" customHeight="1" x14ac:dyDescent="0.25"/>
  <cols>
    <col min="1" max="1" width="21.42578125" customWidth="1"/>
    <col min="4" max="4" width="26.7109375" customWidth="1"/>
    <col min="7" max="7" width="30.85546875" customWidth="1"/>
    <col min="10" max="10" width="26.42578125" customWidth="1"/>
    <col min="11" max="11" width="17" customWidth="1"/>
    <col min="13" max="13" width="23.28515625" customWidth="1"/>
    <col min="14" max="14" width="23.5703125" customWidth="1"/>
  </cols>
  <sheetData>
    <row r="1" spans="1:14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14" x14ac:dyDescent="0.25">
      <c r="A2" s="10" t="s">
        <v>29</v>
      </c>
      <c r="B2" s="11">
        <v>507</v>
      </c>
      <c r="D2" s="31"/>
      <c r="E2" s="36"/>
    </row>
    <row r="3" spans="1:14" x14ac:dyDescent="0.25">
      <c r="A3" s="10" t="s">
        <v>30</v>
      </c>
      <c r="B3" s="11">
        <v>29</v>
      </c>
      <c r="D3" s="31"/>
      <c r="E3" s="36"/>
    </row>
    <row r="4" spans="1:14" x14ac:dyDescent="0.25">
      <c r="A4" s="10" t="s">
        <v>3</v>
      </c>
      <c r="B4" s="35">
        <f>B2+B3</f>
        <v>536</v>
      </c>
      <c r="D4" s="31"/>
      <c r="E4" s="36"/>
    </row>
    <row r="5" spans="1:14" x14ac:dyDescent="0.25">
      <c r="B5" s="13"/>
      <c r="D5" s="12"/>
    </row>
    <row r="6" spans="1:14" x14ac:dyDescent="0.25">
      <c r="A6" s="33" t="s">
        <v>42</v>
      </c>
      <c r="B6" s="34">
        <v>41</v>
      </c>
      <c r="C6" s="30"/>
      <c r="D6" s="33" t="s">
        <v>43</v>
      </c>
      <c r="E6" s="14">
        <v>10</v>
      </c>
      <c r="G6" s="10" t="s">
        <v>44</v>
      </c>
      <c r="H6" s="14">
        <f>B6+E6</f>
        <v>51</v>
      </c>
    </row>
    <row r="7" spans="1:14" x14ac:dyDescent="0.25">
      <c r="A7" s="31"/>
      <c r="B7" s="32"/>
      <c r="C7" s="30"/>
      <c r="D7" s="31"/>
      <c r="E7" s="32"/>
      <c r="G7" s="10" t="s">
        <v>5</v>
      </c>
      <c r="H7" s="15">
        <f>H6/B4*100</f>
        <v>9.5149253731343286</v>
      </c>
    </row>
    <row r="8" spans="1:14" x14ac:dyDescent="0.25">
      <c r="B8" s="13"/>
    </row>
    <row r="9" spans="1:14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26</v>
      </c>
      <c r="K9" s="350"/>
      <c r="M9" s="349" t="s">
        <v>27</v>
      </c>
      <c r="N9" s="350"/>
    </row>
    <row r="10" spans="1:14" x14ac:dyDescent="0.25">
      <c r="A10" s="10" t="s">
        <v>28</v>
      </c>
      <c r="B10" s="10">
        <v>68</v>
      </c>
      <c r="D10" s="10" t="s">
        <v>29</v>
      </c>
      <c r="E10" s="10">
        <v>47</v>
      </c>
      <c r="G10" s="10" t="s">
        <v>29</v>
      </c>
      <c r="H10" s="10">
        <v>4</v>
      </c>
      <c r="J10" s="10" t="s">
        <v>29</v>
      </c>
      <c r="K10" s="10">
        <v>16</v>
      </c>
      <c r="M10" s="10" t="s">
        <v>29</v>
      </c>
      <c r="N10" s="10">
        <f>2-N21</f>
        <v>1</v>
      </c>
    </row>
    <row r="11" spans="1:14" x14ac:dyDescent="0.25">
      <c r="A11" s="10" t="s">
        <v>30</v>
      </c>
      <c r="B11" s="72">
        <v>8</v>
      </c>
      <c r="D11" s="10" t="s">
        <v>30</v>
      </c>
      <c r="E11" s="10">
        <v>1</v>
      </c>
      <c r="G11" s="10" t="s">
        <v>30</v>
      </c>
      <c r="H11" s="10">
        <v>7</v>
      </c>
      <c r="J11" s="10" t="s">
        <v>30</v>
      </c>
      <c r="K11" s="10">
        <v>0</v>
      </c>
      <c r="M11" s="10" t="s">
        <v>30</v>
      </c>
      <c r="N11" s="10">
        <v>0</v>
      </c>
    </row>
    <row r="12" spans="1:14" x14ac:dyDescent="0.25">
      <c r="A12" s="10" t="s">
        <v>31</v>
      </c>
      <c r="B12" s="10">
        <f>E12+H12+K12+N12</f>
        <v>76</v>
      </c>
      <c r="D12" s="10" t="s">
        <v>31</v>
      </c>
      <c r="E12" s="10">
        <f>E10+E11</f>
        <v>48</v>
      </c>
      <c r="G12" s="10" t="s">
        <v>31</v>
      </c>
      <c r="H12" s="10">
        <f>H10+H11</f>
        <v>11</v>
      </c>
      <c r="J12" s="10" t="s">
        <v>31</v>
      </c>
      <c r="K12" s="10">
        <f>K10+K11</f>
        <v>16</v>
      </c>
      <c r="M12" s="10" t="s">
        <v>31</v>
      </c>
      <c r="N12" s="10">
        <f>N10+N11</f>
        <v>1</v>
      </c>
    </row>
    <row r="15" spans="1:14" x14ac:dyDescent="0.25">
      <c r="A15" s="69" t="s">
        <v>66</v>
      </c>
      <c r="B15" s="73">
        <f>E15+H15+K15+N15</f>
        <v>15</v>
      </c>
      <c r="D15" s="69" t="s">
        <v>67</v>
      </c>
      <c r="E15" s="73">
        <v>10</v>
      </c>
      <c r="G15" s="69" t="s">
        <v>68</v>
      </c>
      <c r="H15" s="74">
        <v>2</v>
      </c>
      <c r="J15" s="69" t="s">
        <v>69</v>
      </c>
      <c r="K15" s="75">
        <v>3</v>
      </c>
      <c r="M15" s="69" t="s">
        <v>70</v>
      </c>
      <c r="N15" s="10">
        <v>0</v>
      </c>
    </row>
    <row r="16" spans="1:14" x14ac:dyDescent="0.25">
      <c r="A16" s="10" t="s">
        <v>5</v>
      </c>
      <c r="B16" s="49">
        <f>B15/B12*100</f>
        <v>19.736842105263158</v>
      </c>
      <c r="D16" s="10" t="s">
        <v>5</v>
      </c>
      <c r="E16" s="49">
        <f>E15/E12*100</f>
        <v>20.833333333333336</v>
      </c>
      <c r="G16" s="10" t="s">
        <v>5</v>
      </c>
      <c r="H16" s="49">
        <f>H15/H12*100</f>
        <v>18.181818181818183</v>
      </c>
      <c r="J16" s="10" t="s">
        <v>5</v>
      </c>
      <c r="K16" s="28">
        <f>K15/K12*100</f>
        <v>18.75</v>
      </c>
      <c r="M16" s="10" t="s">
        <v>5</v>
      </c>
      <c r="N16" s="18">
        <f>N15/128*100</f>
        <v>0</v>
      </c>
    </row>
    <row r="17" spans="1:14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14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14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63</v>
      </c>
      <c r="K19" s="352"/>
      <c r="M19" s="353" t="s">
        <v>64</v>
      </c>
      <c r="N19" s="352"/>
    </row>
    <row r="20" spans="1:14" x14ac:dyDescent="0.25">
      <c r="A20" s="61" t="s">
        <v>29</v>
      </c>
      <c r="B20" s="62">
        <v>40</v>
      </c>
      <c r="D20" s="60" t="s">
        <v>29</v>
      </c>
      <c r="E20" s="60">
        <v>27</v>
      </c>
      <c r="G20" s="60" t="s">
        <v>29</v>
      </c>
      <c r="H20" s="60">
        <v>7</v>
      </c>
      <c r="J20" s="60" t="s">
        <v>29</v>
      </c>
      <c r="K20" s="60">
        <v>5</v>
      </c>
      <c r="M20" s="60" t="s">
        <v>29</v>
      </c>
      <c r="N20" s="60">
        <v>1</v>
      </c>
    </row>
    <row r="21" spans="1:14" x14ac:dyDescent="0.25">
      <c r="A21" s="63" t="s">
        <v>31</v>
      </c>
      <c r="B21" s="64">
        <f>E21+H21+K21+N21</f>
        <v>40</v>
      </c>
      <c r="D21" s="60" t="s">
        <v>31</v>
      </c>
      <c r="E21" s="60">
        <f>E20</f>
        <v>27</v>
      </c>
      <c r="G21" s="60" t="s">
        <v>31</v>
      </c>
      <c r="H21" s="60">
        <f>H20</f>
        <v>7</v>
      </c>
      <c r="J21" s="60" t="s">
        <v>31</v>
      </c>
      <c r="K21" s="60">
        <f>K20</f>
        <v>5</v>
      </c>
      <c r="M21" s="60" t="s">
        <v>31</v>
      </c>
      <c r="N21" s="60">
        <f>N20</f>
        <v>1</v>
      </c>
    </row>
    <row r="22" spans="1:14" x14ac:dyDescent="0.25">
      <c r="A22" s="44"/>
      <c r="B22" s="44"/>
    </row>
    <row r="23" spans="1:14" x14ac:dyDescent="0.25">
      <c r="A23" s="69" t="s">
        <v>72</v>
      </c>
      <c r="B23" s="73">
        <f>E23+H23+K23</f>
        <v>3</v>
      </c>
      <c r="D23" s="69" t="s">
        <v>73</v>
      </c>
      <c r="E23" s="73">
        <v>1</v>
      </c>
      <c r="G23" s="69" t="s">
        <v>74</v>
      </c>
      <c r="H23" s="76">
        <v>1</v>
      </c>
      <c r="J23" s="69" t="s">
        <v>75</v>
      </c>
      <c r="K23" s="76">
        <v>1</v>
      </c>
      <c r="M23" s="69" t="s">
        <v>76</v>
      </c>
      <c r="N23" s="10">
        <v>0</v>
      </c>
    </row>
    <row r="24" spans="1:14" x14ac:dyDescent="0.25">
      <c r="A24" s="10" t="s">
        <v>5</v>
      </c>
      <c r="B24" s="57">
        <f>B23/B20*100</f>
        <v>7.5</v>
      </c>
      <c r="D24" s="10" t="s">
        <v>5</v>
      </c>
      <c r="E24" s="57">
        <f>E23/E20*100</f>
        <v>3.7037037037037033</v>
      </c>
      <c r="F24" s="12"/>
      <c r="G24" s="10" t="s">
        <v>5</v>
      </c>
      <c r="H24" s="18">
        <f>H23/H20*100</f>
        <v>14.285714285714285</v>
      </c>
      <c r="J24" s="10" t="s">
        <v>5</v>
      </c>
      <c r="K24" s="18">
        <f>K23/K20*100</f>
        <v>20</v>
      </c>
      <c r="M24" s="10" t="s">
        <v>5</v>
      </c>
      <c r="N24" s="18">
        <f>N23/N20*100</f>
        <v>0</v>
      </c>
    </row>
    <row r="25" spans="1:14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14" x14ac:dyDescent="0.25">
      <c r="A26" s="60" t="s">
        <v>31</v>
      </c>
      <c r="B26" s="60">
        <f>B12+B21</f>
        <v>116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14" x14ac:dyDescent="0.25">
      <c r="A27" s="60" t="s">
        <v>44</v>
      </c>
      <c r="B27" s="77">
        <f>B15+B23</f>
        <v>18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14" x14ac:dyDescent="0.25">
      <c r="A28" s="46" t="s">
        <v>83</v>
      </c>
      <c r="B28" s="59">
        <f>B27/B26*100%</f>
        <v>0.15517241379310345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14" x14ac:dyDescent="0.25">
      <c r="M29" s="19"/>
    </row>
    <row r="30" spans="1:14" x14ac:dyDescent="0.25">
      <c r="A30" s="349" t="s">
        <v>32</v>
      </c>
      <c r="B30" s="350"/>
      <c r="D30" s="20" t="s">
        <v>33</v>
      </c>
      <c r="G30" s="349" t="s">
        <v>34</v>
      </c>
      <c r="H30" s="350"/>
      <c r="J30" s="349" t="s">
        <v>35</v>
      </c>
      <c r="K30" s="350"/>
      <c r="M30" s="349" t="s">
        <v>36</v>
      </c>
      <c r="N30" s="350"/>
    </row>
    <row r="31" spans="1:14" x14ac:dyDescent="0.25">
      <c r="A31" s="10" t="s">
        <v>28</v>
      </c>
      <c r="B31" s="10">
        <v>202</v>
      </c>
      <c r="D31" s="10" t="s">
        <v>28</v>
      </c>
      <c r="E31" s="10">
        <v>142</v>
      </c>
      <c r="G31" s="10" t="s">
        <v>28</v>
      </c>
      <c r="H31" s="10">
        <v>12</v>
      </c>
      <c r="J31" s="10" t="s">
        <v>28</v>
      </c>
      <c r="K31" s="10">
        <v>41</v>
      </c>
      <c r="M31" s="10" t="s">
        <v>28</v>
      </c>
      <c r="N31" s="10">
        <v>7</v>
      </c>
    </row>
    <row r="32" spans="1:14" x14ac:dyDescent="0.25">
      <c r="A32" s="10" t="s">
        <v>30</v>
      </c>
      <c r="B32" s="10">
        <v>21</v>
      </c>
      <c r="D32" s="10" t="s">
        <v>30</v>
      </c>
      <c r="E32" s="10">
        <v>0</v>
      </c>
      <c r="G32" s="10" t="s">
        <v>30</v>
      </c>
      <c r="H32" s="10">
        <v>21</v>
      </c>
      <c r="J32" s="10" t="s">
        <v>30</v>
      </c>
      <c r="K32" s="10">
        <v>0</v>
      </c>
      <c r="M32" s="10" t="s">
        <v>30</v>
      </c>
      <c r="N32" s="10">
        <v>0</v>
      </c>
    </row>
    <row r="33" spans="1:17" x14ac:dyDescent="0.25">
      <c r="A33" s="10" t="s">
        <v>31</v>
      </c>
      <c r="B33" s="10">
        <f>E33+H33+K33+N33</f>
        <v>223</v>
      </c>
      <c r="D33" s="10" t="s">
        <v>31</v>
      </c>
      <c r="E33" s="10">
        <f>E31+E32</f>
        <v>142</v>
      </c>
      <c r="G33" s="10" t="s">
        <v>31</v>
      </c>
      <c r="H33" s="10">
        <f>H31+H32</f>
        <v>33</v>
      </c>
      <c r="J33" s="10" t="s">
        <v>31</v>
      </c>
      <c r="K33" s="10">
        <f>K31+K32</f>
        <v>41</v>
      </c>
      <c r="M33" s="10" t="s">
        <v>31</v>
      </c>
      <c r="N33" s="10">
        <f>N31+N32</f>
        <v>7</v>
      </c>
    </row>
    <row r="34" spans="1:17" x14ac:dyDescent="0.25">
      <c r="F34" s="12"/>
    </row>
    <row r="36" spans="1:17" x14ac:dyDescent="0.25">
      <c r="A36" s="10" t="s">
        <v>4</v>
      </c>
      <c r="B36" s="79">
        <f>E36+H36+K36+N36</f>
        <v>28</v>
      </c>
      <c r="D36" s="10" t="s">
        <v>4</v>
      </c>
      <c r="E36" s="78">
        <v>15</v>
      </c>
      <c r="G36" s="10" t="s">
        <v>4</v>
      </c>
      <c r="H36" s="79">
        <v>7</v>
      </c>
      <c r="J36" s="10" t="s">
        <v>4</v>
      </c>
      <c r="K36" s="75">
        <v>6</v>
      </c>
      <c r="M36" s="10" t="s">
        <v>4</v>
      </c>
      <c r="N36" s="73">
        <v>0</v>
      </c>
    </row>
    <row r="37" spans="1:17" x14ac:dyDescent="0.25">
      <c r="A37" s="10" t="s">
        <v>5</v>
      </c>
      <c r="B37" s="80">
        <f>B36/B33*100</f>
        <v>12.556053811659194</v>
      </c>
      <c r="D37" s="10" t="s">
        <v>5</v>
      </c>
      <c r="E37" s="80">
        <f>E36/E33*100</f>
        <v>10.56338028169014</v>
      </c>
      <c r="G37" s="10" t="s">
        <v>5</v>
      </c>
      <c r="H37" s="80">
        <f>H36/H33*100</f>
        <v>21.212121212121211</v>
      </c>
      <c r="J37" s="10" t="s">
        <v>5</v>
      </c>
      <c r="K37" s="81">
        <f>K36/K33*100</f>
        <v>14.634146341463413</v>
      </c>
      <c r="M37" s="10" t="s">
        <v>5</v>
      </c>
      <c r="N37" s="81">
        <f>N36/N33*100</f>
        <v>0</v>
      </c>
    </row>
    <row r="38" spans="1:17" ht="15" customHeight="1" x14ac:dyDescent="0.25">
      <c r="N38" s="31"/>
    </row>
    <row r="39" spans="1:17" x14ac:dyDescent="0.25">
      <c r="G39" s="25"/>
      <c r="H39" s="12"/>
      <c r="I39" s="12"/>
      <c r="J39" s="25"/>
      <c r="K39" s="12"/>
      <c r="L39" s="12"/>
      <c r="M39" s="12"/>
    </row>
    <row r="40" spans="1:17" x14ac:dyDescent="0.25">
      <c r="A40" s="349" t="s">
        <v>77</v>
      </c>
      <c r="B40" s="350"/>
      <c r="D40" s="20" t="s">
        <v>48</v>
      </c>
      <c r="G40" s="349" t="s">
        <v>49</v>
      </c>
      <c r="H40" s="350"/>
      <c r="J40" s="349" t="s">
        <v>50</v>
      </c>
      <c r="K40" s="350"/>
      <c r="M40" s="349" t="s">
        <v>51</v>
      </c>
      <c r="N40" s="350"/>
    </row>
    <row r="41" spans="1:17" x14ac:dyDescent="0.25">
      <c r="A41" s="10" t="s">
        <v>28</v>
      </c>
      <c r="B41" s="10">
        <v>85</v>
      </c>
      <c r="D41" s="10" t="s">
        <v>28</v>
      </c>
      <c r="E41" s="10">
        <v>50</v>
      </c>
      <c r="G41" s="10" t="s">
        <v>28</v>
      </c>
      <c r="H41" s="10">
        <v>17</v>
      </c>
      <c r="J41" s="10" t="s">
        <v>28</v>
      </c>
      <c r="K41" s="10">
        <v>16</v>
      </c>
      <c r="M41" s="10" t="s">
        <v>28</v>
      </c>
      <c r="N41" s="10">
        <v>2</v>
      </c>
    </row>
    <row r="42" spans="1:17" x14ac:dyDescent="0.25">
      <c r="F42" s="12"/>
    </row>
    <row r="44" spans="1:17" x14ac:dyDescent="0.25">
      <c r="A44" s="69" t="s">
        <v>78</v>
      </c>
      <c r="B44" s="73">
        <v>5</v>
      </c>
      <c r="D44" s="69" t="s">
        <v>79</v>
      </c>
      <c r="E44" s="73">
        <v>2</v>
      </c>
      <c r="G44" s="69" t="s">
        <v>80</v>
      </c>
      <c r="H44" s="73">
        <v>1</v>
      </c>
      <c r="J44" s="69" t="s">
        <v>81</v>
      </c>
      <c r="K44" s="75">
        <v>2</v>
      </c>
      <c r="M44" s="69" t="s">
        <v>82</v>
      </c>
      <c r="N44" s="10">
        <v>0</v>
      </c>
    </row>
    <row r="45" spans="1:17" ht="15" customHeight="1" x14ac:dyDescent="0.25">
      <c r="A45" s="10" t="s">
        <v>5</v>
      </c>
      <c r="B45" s="57">
        <f>B44/B41*100</f>
        <v>5.8823529411764701</v>
      </c>
      <c r="D45" s="10" t="s">
        <v>5</v>
      </c>
      <c r="E45" s="57">
        <f>E44/E41*100</f>
        <v>4</v>
      </c>
      <c r="G45" s="10" t="s">
        <v>5</v>
      </c>
      <c r="H45" s="23">
        <f>H44/H41*100</f>
        <v>5.8823529411764701</v>
      </c>
      <c r="J45" s="10" t="s">
        <v>5</v>
      </c>
      <c r="K45" s="23">
        <f>K44/K41*100</f>
        <v>12.5</v>
      </c>
      <c r="M45" s="10" t="s">
        <v>5</v>
      </c>
      <c r="N45" s="18">
        <f>N44/N41*100</f>
        <v>0</v>
      </c>
    </row>
    <row r="47" spans="1:17" ht="15" customHeight="1" x14ac:dyDescent="0.25">
      <c r="A47" s="60" t="s">
        <v>31</v>
      </c>
      <c r="B47" s="60">
        <f>B33+B41</f>
        <v>308</v>
      </c>
      <c r="Q47">
        <f>B15+B36+B44+D58+F58+H58+J58</f>
        <v>48</v>
      </c>
    </row>
    <row r="48" spans="1:17" ht="15" customHeight="1" x14ac:dyDescent="0.25">
      <c r="A48" s="60" t="s">
        <v>44</v>
      </c>
      <c r="B48" s="77">
        <f>B36+B44</f>
        <v>33</v>
      </c>
    </row>
    <row r="49" spans="1:11" ht="15" customHeight="1" x14ac:dyDescent="0.25">
      <c r="A49" s="46" t="s">
        <v>55</v>
      </c>
      <c r="B49" s="59">
        <f>B48/B47*100%</f>
        <v>0.10714285714285714</v>
      </c>
    </row>
    <row r="54" spans="1:11" ht="15" customHeight="1" x14ac:dyDescent="0.25">
      <c r="A54" s="44"/>
      <c r="B54" s="44"/>
    </row>
    <row r="55" spans="1:11" ht="15" customHeight="1" x14ac:dyDescent="0.25">
      <c r="A55" s="44"/>
      <c r="B55" s="45"/>
      <c r="D55" s="30"/>
      <c r="E55" s="30"/>
    </row>
    <row r="56" spans="1:11" ht="15" customHeight="1" x14ac:dyDescent="0.25">
      <c r="A56" s="43"/>
      <c r="B56" s="43"/>
    </row>
    <row r="57" spans="1:11" ht="15" customHeight="1" x14ac:dyDescent="0.25">
      <c r="A57" s="43"/>
      <c r="B57" s="43"/>
      <c r="D57" s="349" t="s">
        <v>52</v>
      </c>
      <c r="E57" s="350"/>
      <c r="F57" s="349" t="s">
        <v>58</v>
      </c>
      <c r="G57" s="350"/>
      <c r="H57" s="349" t="s">
        <v>57</v>
      </c>
      <c r="I57" s="350"/>
      <c r="J57" s="349" t="s">
        <v>59</v>
      </c>
      <c r="K57" s="350"/>
    </row>
    <row r="58" spans="1:11" s="67" customFormat="1" ht="15" customHeight="1" x14ac:dyDescent="0.25">
      <c r="D58" s="364">
        <v>0</v>
      </c>
      <c r="E58" s="365"/>
      <c r="F58" s="366">
        <v>0</v>
      </c>
      <c r="G58" s="367"/>
      <c r="H58" s="368">
        <v>0</v>
      </c>
      <c r="I58" s="369"/>
      <c r="J58" s="368">
        <v>0</v>
      </c>
      <c r="K58" s="369"/>
    </row>
    <row r="59" spans="1:11" ht="15" customHeight="1" x14ac:dyDescent="0.25">
      <c r="F59" s="370">
        <v>31</v>
      </c>
      <c r="G59" s="371"/>
      <c r="H59" s="341">
        <v>14</v>
      </c>
      <c r="I59" s="341"/>
    </row>
    <row r="60" spans="1:11" ht="15" customHeight="1" x14ac:dyDescent="0.25">
      <c r="F60" t="s">
        <v>100</v>
      </c>
      <c r="G60">
        <f>F58/F59*100%</f>
        <v>0</v>
      </c>
      <c r="H60" t="s">
        <v>100</v>
      </c>
      <c r="I60">
        <f>H58/H59*100%</f>
        <v>0</v>
      </c>
    </row>
  </sheetData>
  <mergeCells count="30">
    <mergeCell ref="F59:G59"/>
    <mergeCell ref="H59:I59"/>
    <mergeCell ref="D57:E57"/>
    <mergeCell ref="F57:G57"/>
    <mergeCell ref="H57:I57"/>
    <mergeCell ref="J57:K57"/>
    <mergeCell ref="D58:E58"/>
    <mergeCell ref="F58:G58"/>
    <mergeCell ref="H58:I58"/>
    <mergeCell ref="J58:K58"/>
    <mergeCell ref="A30:B30"/>
    <mergeCell ref="G30:H30"/>
    <mergeCell ref="J30:K30"/>
    <mergeCell ref="M30:N30"/>
    <mergeCell ref="A40:B40"/>
    <mergeCell ref="G40:H40"/>
    <mergeCell ref="J40:K40"/>
    <mergeCell ref="M40:N40"/>
    <mergeCell ref="M9:N9"/>
    <mergeCell ref="A19:B19"/>
    <mergeCell ref="D19:E19"/>
    <mergeCell ref="G19:H19"/>
    <mergeCell ref="J19:K19"/>
    <mergeCell ref="M19:N19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AD88-AB2B-4E03-9608-565FB9B48CF2}">
  <sheetPr>
    <outlinePr summaryBelow="0" summaryRight="0"/>
  </sheetPr>
  <dimension ref="A1:T60"/>
  <sheetViews>
    <sheetView showGridLines="0" zoomScale="84" zoomScaleNormal="84" workbookViewId="0">
      <selection activeCell="B16" sqref="B16"/>
    </sheetView>
  </sheetViews>
  <sheetFormatPr baseColWidth="10" defaultColWidth="14.42578125" defaultRowHeight="15" customHeight="1" x14ac:dyDescent="0.25"/>
  <cols>
    <col min="1" max="1" width="21.42578125" customWidth="1"/>
    <col min="4" max="4" width="26.7109375" customWidth="1"/>
    <col min="7" max="7" width="30.85546875" customWidth="1"/>
    <col min="10" max="10" width="26.42578125" customWidth="1"/>
    <col min="11" max="11" width="17" customWidth="1"/>
    <col min="13" max="13" width="23.28515625" customWidth="1"/>
    <col min="14" max="14" width="23.5703125" customWidth="1"/>
    <col min="16" max="16" width="24.42578125" customWidth="1"/>
    <col min="17" max="17" width="17.140625" customWidth="1"/>
    <col min="19" max="19" width="21.42578125" customWidth="1"/>
  </cols>
  <sheetData>
    <row r="1" spans="1:20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20" x14ac:dyDescent="0.25">
      <c r="A2" s="10" t="s">
        <v>29</v>
      </c>
      <c r="B2" s="11">
        <v>498</v>
      </c>
      <c r="D2" s="31"/>
      <c r="E2" s="36"/>
    </row>
    <row r="3" spans="1:20" x14ac:dyDescent="0.25">
      <c r="A3" s="10" t="s">
        <v>30</v>
      </c>
      <c r="B3" s="11">
        <v>22</v>
      </c>
      <c r="D3" s="31"/>
      <c r="E3" s="36"/>
    </row>
    <row r="4" spans="1:20" x14ac:dyDescent="0.25">
      <c r="A4" s="10" t="s">
        <v>3</v>
      </c>
      <c r="B4" s="35">
        <f>B2+B3</f>
        <v>520</v>
      </c>
      <c r="D4" s="31"/>
      <c r="E4" s="36"/>
    </row>
    <row r="5" spans="1:20" x14ac:dyDescent="0.25">
      <c r="B5" s="13"/>
      <c r="D5" s="12"/>
    </row>
    <row r="6" spans="1:20" x14ac:dyDescent="0.25">
      <c r="A6" s="33" t="s">
        <v>42</v>
      </c>
      <c r="B6" s="34">
        <v>37</v>
      </c>
      <c r="C6" s="30"/>
      <c r="D6" s="33" t="s">
        <v>43</v>
      </c>
      <c r="E6" s="14">
        <v>4</v>
      </c>
      <c r="G6" s="10" t="s">
        <v>44</v>
      </c>
      <c r="H6" s="14">
        <f>B6+E6</f>
        <v>41</v>
      </c>
    </row>
    <row r="7" spans="1:20" x14ac:dyDescent="0.25">
      <c r="A7" s="31"/>
      <c r="B7" s="32"/>
      <c r="C7" s="30"/>
      <c r="D7" s="31"/>
      <c r="E7" s="32"/>
      <c r="G7" s="10" t="s">
        <v>5</v>
      </c>
      <c r="H7" s="15">
        <f>H6/B4*100</f>
        <v>7.8846153846153841</v>
      </c>
    </row>
    <row r="8" spans="1:20" x14ac:dyDescent="0.25">
      <c r="B8" s="13"/>
    </row>
    <row r="9" spans="1:20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89</v>
      </c>
      <c r="K9" s="350"/>
      <c r="M9" s="349" t="s">
        <v>27</v>
      </c>
      <c r="N9" s="350"/>
      <c r="P9" s="349" t="s">
        <v>87</v>
      </c>
      <c r="Q9" s="350"/>
      <c r="S9" s="349" t="s">
        <v>88</v>
      </c>
      <c r="T9" s="350"/>
    </row>
    <row r="10" spans="1:20" x14ac:dyDescent="0.25">
      <c r="A10" s="10" t="s">
        <v>28</v>
      </c>
      <c r="B10" s="10">
        <v>64</v>
      </c>
      <c r="D10" s="10" t="s">
        <v>29</v>
      </c>
      <c r="E10" s="10">
        <v>45</v>
      </c>
      <c r="G10" s="10" t="s">
        <v>29</v>
      </c>
      <c r="H10" s="10">
        <v>4</v>
      </c>
      <c r="J10" s="10" t="s">
        <v>29</v>
      </c>
      <c r="K10" s="10">
        <v>1</v>
      </c>
      <c r="M10" s="10" t="s">
        <v>29</v>
      </c>
      <c r="N10" s="10">
        <f>2-N21</f>
        <v>1</v>
      </c>
      <c r="P10" s="10" t="s">
        <v>29</v>
      </c>
      <c r="Q10" s="10">
        <v>9</v>
      </c>
      <c r="S10" s="10" t="s">
        <v>29</v>
      </c>
      <c r="T10" s="10">
        <v>4</v>
      </c>
    </row>
    <row r="11" spans="1:20" x14ac:dyDescent="0.25">
      <c r="A11" s="10" t="s">
        <v>30</v>
      </c>
      <c r="B11" s="72">
        <v>8</v>
      </c>
      <c r="D11" s="10" t="s">
        <v>30</v>
      </c>
      <c r="E11" s="82">
        <v>0</v>
      </c>
      <c r="G11" s="10" t="s">
        <v>30</v>
      </c>
      <c r="H11" s="10">
        <v>8</v>
      </c>
      <c r="J11" s="10" t="s">
        <v>30</v>
      </c>
      <c r="K11" s="10">
        <v>0</v>
      </c>
      <c r="M11" s="10" t="s">
        <v>30</v>
      </c>
      <c r="N11" s="10">
        <v>0</v>
      </c>
      <c r="P11" s="10" t="s">
        <v>30</v>
      </c>
      <c r="Q11" s="10">
        <v>0</v>
      </c>
      <c r="S11" s="10" t="s">
        <v>30</v>
      </c>
      <c r="T11" s="10">
        <v>0</v>
      </c>
    </row>
    <row r="12" spans="1:20" x14ac:dyDescent="0.25">
      <c r="A12" s="10" t="s">
        <v>31</v>
      </c>
      <c r="B12" s="10">
        <f>E12+H12+K12+N12+Q12+T12</f>
        <v>72</v>
      </c>
      <c r="D12" s="10" t="s">
        <v>31</v>
      </c>
      <c r="E12" s="10">
        <f>E10+E11</f>
        <v>45</v>
      </c>
      <c r="G12" s="10" t="s">
        <v>31</v>
      </c>
      <c r="H12" s="10">
        <f>H10+H11</f>
        <v>12</v>
      </c>
      <c r="J12" s="10" t="s">
        <v>31</v>
      </c>
      <c r="K12" s="10">
        <f>K10+K11</f>
        <v>1</v>
      </c>
      <c r="M12" s="10" t="s">
        <v>31</v>
      </c>
      <c r="N12" s="10">
        <f>N10+N11</f>
        <v>1</v>
      </c>
      <c r="P12" s="10" t="s">
        <v>31</v>
      </c>
      <c r="Q12" s="10">
        <f>Q10+Q11</f>
        <v>9</v>
      </c>
      <c r="S12" s="10" t="s">
        <v>31</v>
      </c>
      <c r="T12" s="10">
        <f>T10+T11</f>
        <v>4</v>
      </c>
    </row>
    <row r="15" spans="1:20" x14ac:dyDescent="0.25">
      <c r="A15" s="69" t="s">
        <v>66</v>
      </c>
      <c r="B15" s="73">
        <f>E15+H15+K15+N15+Q15+T15</f>
        <v>10</v>
      </c>
      <c r="D15" s="69" t="s">
        <v>67</v>
      </c>
      <c r="E15" s="85">
        <v>4</v>
      </c>
      <c r="G15" s="69" t="s">
        <v>68</v>
      </c>
      <c r="H15" s="84">
        <v>3</v>
      </c>
      <c r="J15" s="69" t="s">
        <v>69</v>
      </c>
      <c r="K15" s="83">
        <v>0</v>
      </c>
      <c r="M15" s="69" t="s">
        <v>70</v>
      </c>
      <c r="N15" s="10">
        <v>0</v>
      </c>
      <c r="P15" s="69" t="s">
        <v>69</v>
      </c>
      <c r="Q15" s="83">
        <v>3</v>
      </c>
      <c r="S15" s="69" t="s">
        <v>69</v>
      </c>
      <c r="T15" s="83">
        <v>0</v>
      </c>
    </row>
    <row r="16" spans="1:20" x14ac:dyDescent="0.25">
      <c r="A16" s="10" t="s">
        <v>5</v>
      </c>
      <c r="B16" s="49">
        <f>B15/B12*100</f>
        <v>13.888888888888889</v>
      </c>
      <c r="D16" s="10" t="s">
        <v>5</v>
      </c>
      <c r="E16" s="49">
        <f>E15/E12*100</f>
        <v>8.8888888888888893</v>
      </c>
      <c r="G16" s="10" t="s">
        <v>5</v>
      </c>
      <c r="H16" s="49">
        <f>H15/H12*100</f>
        <v>25</v>
      </c>
      <c r="J16" s="10" t="s">
        <v>5</v>
      </c>
      <c r="K16" s="28">
        <f>K15/K12*100</f>
        <v>0</v>
      </c>
      <c r="M16" s="10" t="s">
        <v>5</v>
      </c>
      <c r="N16" s="18">
        <f>N15/128*100</f>
        <v>0</v>
      </c>
      <c r="P16" s="10" t="s">
        <v>5</v>
      </c>
      <c r="Q16" s="28">
        <f>Q15/Q12*100</f>
        <v>33.333333333333329</v>
      </c>
      <c r="S16" s="10" t="s">
        <v>5</v>
      </c>
      <c r="T16" s="28">
        <f>T15/T12*100</f>
        <v>0</v>
      </c>
    </row>
    <row r="17" spans="1:20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20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20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92</v>
      </c>
      <c r="K19" s="352"/>
      <c r="M19" s="353" t="s">
        <v>64</v>
      </c>
      <c r="N19" s="352"/>
      <c r="P19" s="353" t="s">
        <v>90</v>
      </c>
      <c r="Q19" s="352"/>
      <c r="S19" s="353" t="s">
        <v>91</v>
      </c>
      <c r="T19" s="352"/>
    </row>
    <row r="20" spans="1:20" x14ac:dyDescent="0.25">
      <c r="A20" s="61" t="s">
        <v>29</v>
      </c>
      <c r="B20" s="62">
        <v>37</v>
      </c>
      <c r="D20" s="60" t="s">
        <v>29</v>
      </c>
      <c r="E20" s="60">
        <v>25</v>
      </c>
      <c r="G20" s="60" t="s">
        <v>29</v>
      </c>
      <c r="H20" s="60">
        <v>6</v>
      </c>
      <c r="J20" s="60" t="s">
        <v>29</v>
      </c>
      <c r="K20" s="60">
        <v>1</v>
      </c>
      <c r="M20" s="60" t="s">
        <v>29</v>
      </c>
      <c r="N20" s="60">
        <v>1</v>
      </c>
      <c r="P20" s="60" t="s">
        <v>29</v>
      </c>
      <c r="Q20" s="60">
        <v>3</v>
      </c>
      <c r="S20" s="60" t="s">
        <v>29</v>
      </c>
      <c r="T20" s="60">
        <v>1</v>
      </c>
    </row>
    <row r="21" spans="1:20" x14ac:dyDescent="0.25">
      <c r="A21" s="63" t="s">
        <v>31</v>
      </c>
      <c r="B21" s="64">
        <f>E21+H21+K21+N21+Q21+T21</f>
        <v>37</v>
      </c>
      <c r="D21" s="60" t="s">
        <v>31</v>
      </c>
      <c r="E21" s="60">
        <f>E20</f>
        <v>25</v>
      </c>
      <c r="G21" s="60" t="s">
        <v>31</v>
      </c>
      <c r="H21" s="60">
        <f>H20</f>
        <v>6</v>
      </c>
      <c r="J21" s="60" t="s">
        <v>31</v>
      </c>
      <c r="K21" s="60">
        <f>K20</f>
        <v>1</v>
      </c>
      <c r="M21" s="60" t="s">
        <v>31</v>
      </c>
      <c r="N21" s="60">
        <f>N20</f>
        <v>1</v>
      </c>
      <c r="P21" s="60" t="s">
        <v>31</v>
      </c>
      <c r="Q21" s="60">
        <f>Q20</f>
        <v>3</v>
      </c>
      <c r="S21" s="60" t="s">
        <v>31</v>
      </c>
      <c r="T21" s="60">
        <f>T20</f>
        <v>1</v>
      </c>
    </row>
    <row r="22" spans="1:20" x14ac:dyDescent="0.25">
      <c r="A22" s="44"/>
      <c r="B22" s="44"/>
    </row>
    <row r="23" spans="1:20" x14ac:dyDescent="0.25">
      <c r="A23" s="69" t="s">
        <v>72</v>
      </c>
      <c r="B23" s="73">
        <v>3</v>
      </c>
      <c r="D23" s="69" t="s">
        <v>73</v>
      </c>
      <c r="E23" s="85">
        <v>2</v>
      </c>
      <c r="G23" s="69" t="s">
        <v>74</v>
      </c>
      <c r="H23" s="82">
        <v>0</v>
      </c>
      <c r="J23" s="69" t="s">
        <v>75</v>
      </c>
      <c r="K23" s="76">
        <v>0</v>
      </c>
      <c r="M23" s="69" t="s">
        <v>76</v>
      </c>
      <c r="N23" s="10">
        <v>0</v>
      </c>
      <c r="P23" s="69" t="s">
        <v>76</v>
      </c>
      <c r="Q23" s="10">
        <v>1</v>
      </c>
      <c r="S23" s="69" t="s">
        <v>76</v>
      </c>
      <c r="T23" s="10">
        <v>0</v>
      </c>
    </row>
    <row r="24" spans="1:20" x14ac:dyDescent="0.25">
      <c r="A24" s="10" t="s">
        <v>5</v>
      </c>
      <c r="B24" s="57">
        <f>B23/B20*100</f>
        <v>8.1081081081081088</v>
      </c>
      <c r="D24" s="10" t="s">
        <v>5</v>
      </c>
      <c r="E24" s="86">
        <f>E23/E20*100</f>
        <v>8</v>
      </c>
      <c r="F24" s="12"/>
      <c r="G24" s="10" t="s">
        <v>5</v>
      </c>
      <c r="H24" s="18">
        <f>H23/H20*100</f>
        <v>0</v>
      </c>
      <c r="J24" s="10" t="s">
        <v>5</v>
      </c>
      <c r="K24" s="18">
        <f>K23/K20*100</f>
        <v>0</v>
      </c>
      <c r="M24" s="10" t="s">
        <v>5</v>
      </c>
      <c r="N24" s="18">
        <f>N23/N20*100</f>
        <v>0</v>
      </c>
      <c r="P24" s="10" t="s">
        <v>5</v>
      </c>
      <c r="Q24" s="18">
        <f>Q23/Q20*100</f>
        <v>33.333333333333329</v>
      </c>
      <c r="S24" s="10" t="s">
        <v>5</v>
      </c>
      <c r="T24" s="18">
        <f>T23/T20*100</f>
        <v>0</v>
      </c>
    </row>
    <row r="25" spans="1:20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20" x14ac:dyDescent="0.25">
      <c r="A26" s="60" t="s">
        <v>31</v>
      </c>
      <c r="B26" s="60">
        <f>B12+B21</f>
        <v>109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20" x14ac:dyDescent="0.25">
      <c r="A27" s="60" t="s">
        <v>44</v>
      </c>
      <c r="B27" s="77">
        <f>B15+B23</f>
        <v>13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20" x14ac:dyDescent="0.25">
      <c r="A28" s="46" t="s">
        <v>83</v>
      </c>
      <c r="B28" s="59">
        <f>B27/B26*100%</f>
        <v>0.11926605504587157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20" x14ac:dyDescent="0.25">
      <c r="M29" s="19"/>
    </row>
    <row r="30" spans="1:20" x14ac:dyDescent="0.25">
      <c r="A30" s="349" t="s">
        <v>84</v>
      </c>
      <c r="B30" s="350"/>
      <c r="D30" s="372" t="s">
        <v>33</v>
      </c>
      <c r="E30" s="372"/>
      <c r="G30" s="349" t="s">
        <v>34</v>
      </c>
      <c r="H30" s="350"/>
      <c r="J30" s="349" t="s">
        <v>95</v>
      </c>
      <c r="K30" s="350"/>
      <c r="M30" s="349" t="s">
        <v>36</v>
      </c>
      <c r="N30" s="350"/>
      <c r="P30" s="349" t="s">
        <v>93</v>
      </c>
      <c r="Q30" s="350"/>
      <c r="S30" s="349" t="s">
        <v>94</v>
      </c>
      <c r="T30" s="350"/>
    </row>
    <row r="31" spans="1:20" x14ac:dyDescent="0.25">
      <c r="A31" s="10" t="s">
        <v>28</v>
      </c>
      <c r="B31" s="10">
        <v>200</v>
      </c>
      <c r="D31" s="10" t="s">
        <v>28</v>
      </c>
      <c r="E31" s="10">
        <v>139</v>
      </c>
      <c r="G31" s="10" t="s">
        <v>28</v>
      </c>
      <c r="H31" s="10">
        <v>12</v>
      </c>
      <c r="J31" s="10" t="s">
        <v>28</v>
      </c>
      <c r="K31" s="10">
        <v>6</v>
      </c>
      <c r="M31" s="10" t="s">
        <v>28</v>
      </c>
      <c r="N31" s="10">
        <v>7</v>
      </c>
      <c r="P31" s="10" t="s">
        <v>28</v>
      </c>
      <c r="Q31" s="10">
        <v>25</v>
      </c>
      <c r="S31" s="10" t="s">
        <v>28</v>
      </c>
      <c r="T31" s="10">
        <v>11</v>
      </c>
    </row>
    <row r="32" spans="1:20" x14ac:dyDescent="0.25">
      <c r="A32" s="10" t="s">
        <v>30</v>
      </c>
      <c r="B32" s="10">
        <v>14</v>
      </c>
      <c r="D32" s="10" t="s">
        <v>30</v>
      </c>
      <c r="E32" s="10">
        <v>0</v>
      </c>
      <c r="G32" s="10" t="s">
        <v>30</v>
      </c>
      <c r="H32" s="10">
        <v>14</v>
      </c>
      <c r="J32" s="10" t="s">
        <v>30</v>
      </c>
      <c r="K32" s="10">
        <v>0</v>
      </c>
      <c r="M32" s="10" t="s">
        <v>30</v>
      </c>
      <c r="N32" s="10">
        <v>0</v>
      </c>
      <c r="P32" s="10" t="s">
        <v>30</v>
      </c>
      <c r="Q32" s="10">
        <v>0</v>
      </c>
      <c r="S32" s="10" t="s">
        <v>30</v>
      </c>
      <c r="T32" s="10">
        <v>0</v>
      </c>
    </row>
    <row r="33" spans="1:20" x14ac:dyDescent="0.25">
      <c r="A33" s="10" t="s">
        <v>31</v>
      </c>
      <c r="B33" s="10">
        <f>E33+H33+K33+N33+Q33+T33</f>
        <v>214</v>
      </c>
      <c r="D33" s="10" t="s">
        <v>31</v>
      </c>
      <c r="E33" s="10">
        <f>E31+E32</f>
        <v>139</v>
      </c>
      <c r="G33" s="10" t="s">
        <v>31</v>
      </c>
      <c r="H33" s="10">
        <f>H31+H32</f>
        <v>26</v>
      </c>
      <c r="J33" s="10" t="s">
        <v>31</v>
      </c>
      <c r="K33" s="10">
        <f>K31+K32</f>
        <v>6</v>
      </c>
      <c r="M33" s="10" t="s">
        <v>31</v>
      </c>
      <c r="N33" s="10">
        <f>N31+N32</f>
        <v>7</v>
      </c>
      <c r="P33" s="10" t="s">
        <v>31</v>
      </c>
      <c r="Q33" s="10">
        <f>Q31+Q32</f>
        <v>25</v>
      </c>
      <c r="S33" s="10" t="s">
        <v>31</v>
      </c>
      <c r="T33" s="10">
        <f>T31+T32</f>
        <v>11</v>
      </c>
    </row>
    <row r="34" spans="1:20" x14ac:dyDescent="0.25">
      <c r="F34" s="12"/>
    </row>
    <row r="36" spans="1:20" x14ac:dyDescent="0.25">
      <c r="A36" s="10" t="s">
        <v>4</v>
      </c>
      <c r="B36" s="79">
        <f>E36+H36+K36+N36+Q36+T36</f>
        <v>22</v>
      </c>
      <c r="D36" s="10" t="s">
        <v>4</v>
      </c>
      <c r="E36" s="78">
        <v>15</v>
      </c>
      <c r="G36" s="10" t="s">
        <v>4</v>
      </c>
      <c r="H36" s="79">
        <v>1</v>
      </c>
      <c r="J36" s="10" t="s">
        <v>4</v>
      </c>
      <c r="K36" s="75">
        <v>1</v>
      </c>
      <c r="M36" s="10" t="s">
        <v>4</v>
      </c>
      <c r="N36" s="73">
        <v>0</v>
      </c>
      <c r="P36" s="10" t="s">
        <v>4</v>
      </c>
      <c r="Q36" s="73">
        <v>3</v>
      </c>
      <c r="S36" s="10" t="s">
        <v>4</v>
      </c>
      <c r="T36" s="73">
        <v>2</v>
      </c>
    </row>
    <row r="37" spans="1:20" x14ac:dyDescent="0.25">
      <c r="A37" s="10" t="s">
        <v>5</v>
      </c>
      <c r="B37" s="80">
        <f>B36/B33*100</f>
        <v>10.2803738317757</v>
      </c>
      <c r="D37" s="10" t="s">
        <v>5</v>
      </c>
      <c r="E37" s="80">
        <f>E36/E33*100</f>
        <v>10.791366906474821</v>
      </c>
      <c r="G37" s="10" t="s">
        <v>5</v>
      </c>
      <c r="H37" s="80">
        <f>H36/H33*100</f>
        <v>3.8461538461538463</v>
      </c>
      <c r="J37" s="10" t="s">
        <v>5</v>
      </c>
      <c r="K37" s="81">
        <f>K36/K33*100</f>
        <v>16.666666666666664</v>
      </c>
      <c r="M37" s="10" t="s">
        <v>5</v>
      </c>
      <c r="N37" s="81">
        <f>N36/N33*100</f>
        <v>0</v>
      </c>
      <c r="P37" s="10" t="s">
        <v>5</v>
      </c>
      <c r="Q37" s="81">
        <v>1</v>
      </c>
      <c r="S37" s="10" t="s">
        <v>5</v>
      </c>
      <c r="T37" s="81">
        <v>1</v>
      </c>
    </row>
    <row r="38" spans="1:20" ht="15" customHeight="1" x14ac:dyDescent="0.25">
      <c r="N38" s="31"/>
    </row>
    <row r="39" spans="1:20" x14ac:dyDescent="0.25">
      <c r="G39" s="25"/>
      <c r="H39" s="12"/>
      <c r="I39" s="12"/>
      <c r="J39" s="25"/>
      <c r="K39" s="12"/>
      <c r="L39" s="12"/>
      <c r="M39" s="12"/>
    </row>
    <row r="40" spans="1:20" x14ac:dyDescent="0.25">
      <c r="A40" s="349" t="s">
        <v>77</v>
      </c>
      <c r="B40" s="350"/>
      <c r="D40" s="372" t="s">
        <v>48</v>
      </c>
      <c r="E40" s="372"/>
      <c r="G40" s="349" t="s">
        <v>49</v>
      </c>
      <c r="H40" s="350"/>
      <c r="J40" s="349" t="s">
        <v>96</v>
      </c>
      <c r="K40" s="350"/>
      <c r="M40" s="349" t="s">
        <v>51</v>
      </c>
      <c r="N40" s="350"/>
      <c r="P40" s="349" t="s">
        <v>98</v>
      </c>
      <c r="Q40" s="350"/>
      <c r="S40" s="349" t="s">
        <v>97</v>
      </c>
      <c r="T40" s="350"/>
    </row>
    <row r="41" spans="1:20" x14ac:dyDescent="0.25">
      <c r="A41" s="10" t="s">
        <v>28</v>
      </c>
      <c r="B41" s="10">
        <f>E41+H41+K41+N41+Q41+T41</f>
        <v>85</v>
      </c>
      <c r="D41" s="10" t="s">
        <v>28</v>
      </c>
      <c r="E41" s="10">
        <v>51</v>
      </c>
      <c r="G41" s="10" t="s">
        <v>28</v>
      </c>
      <c r="H41" s="10">
        <v>16</v>
      </c>
      <c r="J41" s="10" t="s">
        <v>28</v>
      </c>
      <c r="K41" s="10">
        <v>3</v>
      </c>
      <c r="M41" s="10" t="s">
        <v>28</v>
      </c>
      <c r="N41" s="10">
        <v>2</v>
      </c>
      <c r="P41" s="10" t="s">
        <v>28</v>
      </c>
      <c r="Q41" s="10">
        <v>8</v>
      </c>
      <c r="S41" s="10" t="s">
        <v>28</v>
      </c>
      <c r="T41" s="10">
        <v>5</v>
      </c>
    </row>
    <row r="42" spans="1:20" x14ac:dyDescent="0.25">
      <c r="F42" s="12"/>
    </row>
    <row r="44" spans="1:20" x14ac:dyDescent="0.25">
      <c r="A44" s="69" t="s">
        <v>78</v>
      </c>
      <c r="B44" s="73">
        <v>2</v>
      </c>
      <c r="D44" s="69" t="s">
        <v>79</v>
      </c>
      <c r="E44" s="73">
        <v>2</v>
      </c>
      <c r="G44" s="69" t="s">
        <v>80</v>
      </c>
      <c r="H44" s="73">
        <v>0</v>
      </c>
      <c r="J44" s="69" t="s">
        <v>81</v>
      </c>
      <c r="K44" s="75">
        <v>0</v>
      </c>
      <c r="M44" s="69" t="s">
        <v>82</v>
      </c>
      <c r="N44" s="10">
        <v>0</v>
      </c>
      <c r="P44" s="69" t="s">
        <v>82</v>
      </c>
      <c r="Q44" s="10">
        <v>0</v>
      </c>
      <c r="S44" s="69" t="s">
        <v>82</v>
      </c>
      <c r="T44" s="10">
        <v>0</v>
      </c>
    </row>
    <row r="45" spans="1:20" ht="15" customHeight="1" x14ac:dyDescent="0.25">
      <c r="A45" s="10" t="s">
        <v>5</v>
      </c>
      <c r="B45" s="57">
        <f>B44/B41*100</f>
        <v>2.3529411764705883</v>
      </c>
      <c r="D45" s="10" t="s">
        <v>5</v>
      </c>
      <c r="E45" s="57">
        <f>E44/E41*100</f>
        <v>3.9215686274509802</v>
      </c>
      <c r="G45" s="10" t="s">
        <v>5</v>
      </c>
      <c r="H45" s="23">
        <f>H44/H41*100</f>
        <v>0</v>
      </c>
      <c r="J45" s="10" t="s">
        <v>5</v>
      </c>
      <c r="K45" s="23">
        <f>K44/K41*100</f>
        <v>0</v>
      </c>
      <c r="M45" s="10" t="s">
        <v>5</v>
      </c>
      <c r="N45" s="18">
        <f>N44/N41*100</f>
        <v>0</v>
      </c>
      <c r="P45" s="10" t="s">
        <v>5</v>
      </c>
      <c r="Q45" s="18">
        <f>Q44/Q41*100</f>
        <v>0</v>
      </c>
      <c r="S45" s="10" t="s">
        <v>5</v>
      </c>
      <c r="T45" s="18">
        <f>T44/T41*100</f>
        <v>0</v>
      </c>
    </row>
    <row r="47" spans="1:20" ht="15" customHeight="1" x14ac:dyDescent="0.25">
      <c r="A47" s="60" t="s">
        <v>31</v>
      </c>
      <c r="B47" s="60">
        <f>B33+B41</f>
        <v>299</v>
      </c>
    </row>
    <row r="48" spans="1:20" ht="15" customHeight="1" x14ac:dyDescent="0.25">
      <c r="A48" s="60" t="s">
        <v>44</v>
      </c>
      <c r="B48" s="77">
        <f>B36+B44</f>
        <v>24</v>
      </c>
    </row>
    <row r="49" spans="1:11" ht="15" customHeight="1" x14ac:dyDescent="0.25">
      <c r="A49" s="46" t="s">
        <v>55</v>
      </c>
      <c r="B49" s="59">
        <f>B48/B47*100%</f>
        <v>8.0267558528428096E-2</v>
      </c>
    </row>
    <row r="54" spans="1:11" ht="15" customHeight="1" x14ac:dyDescent="0.25">
      <c r="A54" s="44"/>
      <c r="B54" s="44"/>
    </row>
    <row r="55" spans="1:11" ht="15" customHeight="1" x14ac:dyDescent="0.25">
      <c r="A55" s="44"/>
      <c r="B55" s="45"/>
      <c r="D55" s="30"/>
      <c r="E55" s="30"/>
    </row>
    <row r="56" spans="1:11" ht="15" customHeight="1" x14ac:dyDescent="0.25">
      <c r="A56" s="43"/>
      <c r="B56" s="43"/>
    </row>
    <row r="57" spans="1:11" ht="15" customHeight="1" x14ac:dyDescent="0.25">
      <c r="A57" s="43"/>
      <c r="B57" s="43"/>
      <c r="D57" s="349" t="s">
        <v>86</v>
      </c>
      <c r="E57" s="350"/>
      <c r="F57" s="349" t="s">
        <v>99</v>
      </c>
      <c r="G57" s="350"/>
      <c r="H57" s="349" t="s">
        <v>57</v>
      </c>
      <c r="I57" s="350"/>
      <c r="J57" s="349" t="s">
        <v>85</v>
      </c>
      <c r="K57" s="350"/>
    </row>
    <row r="58" spans="1:11" s="67" customFormat="1" ht="15" customHeight="1" x14ac:dyDescent="0.25">
      <c r="D58" s="364">
        <v>1</v>
      </c>
      <c r="E58" s="365"/>
      <c r="F58" s="366">
        <v>1</v>
      </c>
      <c r="G58" s="367"/>
      <c r="H58" s="368">
        <v>1</v>
      </c>
      <c r="I58" s="369"/>
      <c r="J58" s="368">
        <v>1</v>
      </c>
      <c r="K58" s="369"/>
    </row>
    <row r="59" spans="1:11" ht="15" customHeight="1" x14ac:dyDescent="0.25">
      <c r="F59" s="341">
        <v>31</v>
      </c>
      <c r="G59" s="341"/>
      <c r="H59" s="341">
        <v>14</v>
      </c>
      <c r="I59" s="341"/>
    </row>
    <row r="60" spans="1:11" ht="15" customHeight="1" x14ac:dyDescent="0.25">
      <c r="F60" t="s">
        <v>100</v>
      </c>
      <c r="G60" s="87">
        <f>F58/F59*100%</f>
        <v>3.2258064516129031E-2</v>
      </c>
      <c r="H60" t="s">
        <v>100</v>
      </c>
      <c r="I60" s="87">
        <f>H58/H59*100%</f>
        <v>7.1428571428571425E-2</v>
      </c>
    </row>
  </sheetData>
  <mergeCells count="40">
    <mergeCell ref="F59:G59"/>
    <mergeCell ref="H59:I59"/>
    <mergeCell ref="P40:Q40"/>
    <mergeCell ref="S40:T40"/>
    <mergeCell ref="M30:N30"/>
    <mergeCell ref="J57:K57"/>
    <mergeCell ref="J58:K58"/>
    <mergeCell ref="A40:B40"/>
    <mergeCell ref="G40:H40"/>
    <mergeCell ref="J40:K40"/>
    <mergeCell ref="M40:N40"/>
    <mergeCell ref="D30:E30"/>
    <mergeCell ref="D40:E40"/>
    <mergeCell ref="A30:B30"/>
    <mergeCell ref="G30:H30"/>
    <mergeCell ref="J30:K30"/>
    <mergeCell ref="M9:N9"/>
    <mergeCell ref="A19:B19"/>
    <mergeCell ref="D19:E19"/>
    <mergeCell ref="G19:H19"/>
    <mergeCell ref="J19:K19"/>
    <mergeCell ref="M19:N19"/>
    <mergeCell ref="J9:K9"/>
    <mergeCell ref="A1:B1"/>
    <mergeCell ref="D1:E1"/>
    <mergeCell ref="A9:B9"/>
    <mergeCell ref="D9:E9"/>
    <mergeCell ref="G9:H9"/>
    <mergeCell ref="D57:E57"/>
    <mergeCell ref="F57:G57"/>
    <mergeCell ref="H57:I57"/>
    <mergeCell ref="D58:E58"/>
    <mergeCell ref="F58:G58"/>
    <mergeCell ref="H58:I58"/>
    <mergeCell ref="P9:Q9"/>
    <mergeCell ref="S9:T9"/>
    <mergeCell ref="P19:Q19"/>
    <mergeCell ref="S19:T19"/>
    <mergeCell ref="P30:Q30"/>
    <mergeCell ref="S30:T30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CDC4-206B-4FE1-A602-7E5F98E941F1}">
  <sheetPr>
    <outlinePr summaryBelow="0" summaryRight="0"/>
  </sheetPr>
  <dimension ref="A1:T58"/>
  <sheetViews>
    <sheetView showGridLines="0" zoomScaleNormal="100" workbookViewId="0">
      <selection activeCell="B41" sqref="B41"/>
    </sheetView>
  </sheetViews>
  <sheetFormatPr baseColWidth="10" defaultColWidth="14.42578125" defaultRowHeight="15" customHeight="1" x14ac:dyDescent="0.25"/>
  <cols>
    <col min="1" max="1" width="21.42578125" customWidth="1"/>
    <col min="4" max="4" width="26.7109375" customWidth="1"/>
    <col min="7" max="7" width="30.85546875" customWidth="1"/>
    <col min="10" max="10" width="26.42578125" customWidth="1"/>
    <col min="11" max="11" width="17" customWidth="1"/>
    <col min="13" max="13" width="23.28515625" customWidth="1"/>
    <col min="14" max="14" width="23.5703125" customWidth="1"/>
    <col min="16" max="16" width="24.42578125" customWidth="1"/>
    <col min="17" max="17" width="17.140625" customWidth="1"/>
    <col min="19" max="19" width="21.42578125" customWidth="1"/>
  </cols>
  <sheetData>
    <row r="1" spans="1:20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20" x14ac:dyDescent="0.25">
      <c r="A2" s="10" t="s">
        <v>29</v>
      </c>
      <c r="B2" s="11">
        <v>504</v>
      </c>
      <c r="D2" s="31"/>
      <c r="E2" s="36"/>
    </row>
    <row r="3" spans="1:20" x14ac:dyDescent="0.25">
      <c r="A3" s="10" t="s">
        <v>30</v>
      </c>
      <c r="B3" s="11">
        <v>27</v>
      </c>
      <c r="D3" s="31"/>
      <c r="E3" s="36"/>
    </row>
    <row r="4" spans="1:20" x14ac:dyDescent="0.25">
      <c r="A4" s="10" t="s">
        <v>3</v>
      </c>
      <c r="B4" s="35">
        <f>B2+B3</f>
        <v>531</v>
      </c>
      <c r="D4" s="31"/>
      <c r="E4" s="36"/>
    </row>
    <row r="5" spans="1:20" x14ac:dyDescent="0.25">
      <c r="B5" s="13"/>
      <c r="D5" s="12"/>
    </row>
    <row r="6" spans="1:20" x14ac:dyDescent="0.25">
      <c r="A6" s="33" t="s">
        <v>42</v>
      </c>
      <c r="B6" s="34">
        <v>36</v>
      </c>
      <c r="C6" s="30"/>
      <c r="D6" s="33" t="s">
        <v>43</v>
      </c>
      <c r="E6" s="14">
        <v>6</v>
      </c>
      <c r="G6" s="10" t="s">
        <v>44</v>
      </c>
      <c r="H6" s="14">
        <f>B6+E6</f>
        <v>42</v>
      </c>
    </row>
    <row r="7" spans="1:20" x14ac:dyDescent="0.25">
      <c r="A7" s="31"/>
      <c r="B7" s="32"/>
      <c r="C7" s="30"/>
      <c r="D7" s="31"/>
      <c r="E7" s="32"/>
      <c r="G7" s="10" t="s">
        <v>5</v>
      </c>
      <c r="H7" s="15">
        <f>H6/B4*100</f>
        <v>7.9096045197740121</v>
      </c>
    </row>
    <row r="8" spans="1:20" x14ac:dyDescent="0.25">
      <c r="B8" s="13"/>
    </row>
    <row r="9" spans="1:20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89</v>
      </c>
      <c r="K9" s="350"/>
      <c r="M9" s="349" t="s">
        <v>27</v>
      </c>
      <c r="N9" s="350"/>
      <c r="P9" s="349" t="s">
        <v>87</v>
      </c>
      <c r="Q9" s="350"/>
      <c r="S9" s="349" t="s">
        <v>88</v>
      </c>
      <c r="T9" s="350"/>
    </row>
    <row r="10" spans="1:20" x14ac:dyDescent="0.25">
      <c r="A10" s="10" t="s">
        <v>28</v>
      </c>
      <c r="B10" s="10">
        <v>70</v>
      </c>
      <c r="D10" s="10" t="s">
        <v>29</v>
      </c>
      <c r="E10" s="10">
        <v>49</v>
      </c>
      <c r="G10" s="10" t="s">
        <v>29</v>
      </c>
      <c r="H10" s="10">
        <v>5</v>
      </c>
      <c r="J10" s="10" t="s">
        <v>29</v>
      </c>
      <c r="K10" s="10">
        <v>2</v>
      </c>
      <c r="M10" s="10" t="s">
        <v>29</v>
      </c>
      <c r="N10" s="10">
        <f>2-N21</f>
        <v>1</v>
      </c>
      <c r="P10" s="10" t="s">
        <v>29</v>
      </c>
      <c r="Q10" s="10">
        <v>9</v>
      </c>
      <c r="S10" s="10" t="s">
        <v>29</v>
      </c>
      <c r="T10" s="10">
        <v>4</v>
      </c>
    </row>
    <row r="11" spans="1:20" x14ac:dyDescent="0.25">
      <c r="A11" s="10" t="s">
        <v>30</v>
      </c>
      <c r="B11" s="72">
        <v>5</v>
      </c>
      <c r="D11" s="10" t="s">
        <v>30</v>
      </c>
      <c r="E11" s="82">
        <v>0</v>
      </c>
      <c r="G11" s="10" t="s">
        <v>30</v>
      </c>
      <c r="H11" s="10">
        <v>5</v>
      </c>
      <c r="J11" s="10" t="s">
        <v>30</v>
      </c>
      <c r="K11" s="10">
        <v>0</v>
      </c>
      <c r="M11" s="10" t="s">
        <v>30</v>
      </c>
      <c r="N11" s="10">
        <v>0</v>
      </c>
      <c r="P11" s="10" t="s">
        <v>30</v>
      </c>
      <c r="Q11" s="10">
        <v>0</v>
      </c>
      <c r="S11" s="10" t="s">
        <v>30</v>
      </c>
      <c r="T11" s="10">
        <v>0</v>
      </c>
    </row>
    <row r="12" spans="1:20" x14ac:dyDescent="0.25">
      <c r="A12" s="10" t="s">
        <v>31</v>
      </c>
      <c r="B12" s="10">
        <f>E12+H12+K12+N12+Q12+T12</f>
        <v>75</v>
      </c>
      <c r="D12" s="10" t="s">
        <v>31</v>
      </c>
      <c r="E12" s="10">
        <f>E10+E11</f>
        <v>49</v>
      </c>
      <c r="G12" s="10" t="s">
        <v>31</v>
      </c>
      <c r="H12" s="10">
        <f>H10+H11</f>
        <v>10</v>
      </c>
      <c r="J12" s="10" t="s">
        <v>31</v>
      </c>
      <c r="K12" s="10">
        <f>K10+K11</f>
        <v>2</v>
      </c>
      <c r="M12" s="10" t="s">
        <v>31</v>
      </c>
      <c r="N12" s="10">
        <f>N10+N11</f>
        <v>1</v>
      </c>
      <c r="P12" s="10" t="s">
        <v>31</v>
      </c>
      <c r="Q12" s="10">
        <f>Q10+Q11</f>
        <v>9</v>
      </c>
      <c r="S12" s="10" t="s">
        <v>31</v>
      </c>
      <c r="T12" s="10">
        <f>T10+T11</f>
        <v>4</v>
      </c>
    </row>
    <row r="15" spans="1:20" x14ac:dyDescent="0.25">
      <c r="A15" s="69" t="s">
        <v>66</v>
      </c>
      <c r="B15" s="73">
        <v>8</v>
      </c>
      <c r="D15" s="69" t="s">
        <v>67</v>
      </c>
      <c r="E15" s="85">
        <v>6</v>
      </c>
      <c r="G15" s="69" t="s">
        <v>68</v>
      </c>
      <c r="H15" s="84">
        <v>0</v>
      </c>
      <c r="J15" s="69" t="s">
        <v>69</v>
      </c>
      <c r="K15" s="83">
        <v>0</v>
      </c>
      <c r="M15" s="69" t="s">
        <v>70</v>
      </c>
      <c r="N15" s="10">
        <v>0</v>
      </c>
      <c r="P15" s="69" t="s">
        <v>69</v>
      </c>
      <c r="Q15" s="83">
        <v>1</v>
      </c>
      <c r="S15" s="69" t="s">
        <v>69</v>
      </c>
      <c r="T15" s="83">
        <v>0</v>
      </c>
    </row>
    <row r="16" spans="1:20" x14ac:dyDescent="0.25">
      <c r="A16" s="10" t="s">
        <v>5</v>
      </c>
      <c r="B16" s="49">
        <f>B15/B12*100</f>
        <v>10.666666666666668</v>
      </c>
      <c r="D16" s="10" t="s">
        <v>5</v>
      </c>
      <c r="E16" s="49">
        <f>E15/E12*100</f>
        <v>12.244897959183673</v>
      </c>
      <c r="G16" s="10" t="s">
        <v>5</v>
      </c>
      <c r="H16" s="49">
        <f>H15/H12*100</f>
        <v>0</v>
      </c>
      <c r="J16" s="10" t="s">
        <v>5</v>
      </c>
      <c r="K16" s="28">
        <f>K15/K12*100</f>
        <v>0</v>
      </c>
      <c r="M16" s="10" t="s">
        <v>5</v>
      </c>
      <c r="N16" s="18">
        <f>N15/128*100</f>
        <v>0</v>
      </c>
      <c r="P16" s="10" t="s">
        <v>5</v>
      </c>
      <c r="Q16" s="28">
        <f>Q15/Q12*100</f>
        <v>11.111111111111111</v>
      </c>
      <c r="S16" s="10" t="s">
        <v>5</v>
      </c>
      <c r="T16" s="28">
        <f>T15/T12*100</f>
        <v>0</v>
      </c>
    </row>
    <row r="17" spans="1:20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20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20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92</v>
      </c>
      <c r="K19" s="352"/>
      <c r="M19" s="353" t="s">
        <v>64</v>
      </c>
      <c r="N19" s="352"/>
      <c r="P19" s="353" t="s">
        <v>90</v>
      </c>
      <c r="Q19" s="352"/>
      <c r="S19" s="353" t="s">
        <v>91</v>
      </c>
      <c r="T19" s="352"/>
    </row>
    <row r="20" spans="1:20" x14ac:dyDescent="0.25">
      <c r="A20" s="61" t="s">
        <v>29</v>
      </c>
      <c r="B20" s="62">
        <v>35</v>
      </c>
      <c r="D20" s="60" t="s">
        <v>29</v>
      </c>
      <c r="E20" s="60">
        <v>24</v>
      </c>
      <c r="G20" s="60" t="s">
        <v>29</v>
      </c>
      <c r="H20" s="60">
        <v>6</v>
      </c>
      <c r="J20" s="60" t="s">
        <v>29</v>
      </c>
      <c r="K20" s="60">
        <v>1</v>
      </c>
      <c r="M20" s="60" t="s">
        <v>29</v>
      </c>
      <c r="N20" s="60">
        <v>1</v>
      </c>
      <c r="P20" s="60" t="s">
        <v>29</v>
      </c>
      <c r="Q20" s="60">
        <v>2</v>
      </c>
      <c r="S20" s="60" t="s">
        <v>29</v>
      </c>
      <c r="T20" s="60">
        <v>1</v>
      </c>
    </row>
    <row r="21" spans="1:20" x14ac:dyDescent="0.25">
      <c r="A21" s="63" t="s">
        <v>31</v>
      </c>
      <c r="B21" s="64">
        <f>E21+H21+K21+N21+Q21+T21</f>
        <v>35</v>
      </c>
      <c r="D21" s="60" t="s">
        <v>31</v>
      </c>
      <c r="E21" s="60">
        <f>E20</f>
        <v>24</v>
      </c>
      <c r="G21" s="60" t="s">
        <v>31</v>
      </c>
      <c r="H21" s="60">
        <f>H20</f>
        <v>6</v>
      </c>
      <c r="J21" s="60" t="s">
        <v>31</v>
      </c>
      <c r="K21" s="60">
        <f>K20</f>
        <v>1</v>
      </c>
      <c r="M21" s="60" t="s">
        <v>31</v>
      </c>
      <c r="N21" s="60">
        <f>N20</f>
        <v>1</v>
      </c>
      <c r="P21" s="60" t="s">
        <v>31</v>
      </c>
      <c r="Q21" s="60">
        <f>Q20</f>
        <v>2</v>
      </c>
      <c r="S21" s="60" t="s">
        <v>31</v>
      </c>
      <c r="T21" s="60">
        <f>T20</f>
        <v>1</v>
      </c>
    </row>
    <row r="22" spans="1:20" x14ac:dyDescent="0.25">
      <c r="A22" s="44"/>
      <c r="B22" s="44"/>
    </row>
    <row r="23" spans="1:20" x14ac:dyDescent="0.25">
      <c r="A23" s="69" t="s">
        <v>72</v>
      </c>
      <c r="B23" s="73">
        <v>3</v>
      </c>
      <c r="D23" s="69" t="s">
        <v>73</v>
      </c>
      <c r="E23" s="85">
        <v>1</v>
      </c>
      <c r="G23" s="69" t="s">
        <v>74</v>
      </c>
      <c r="H23" s="82">
        <v>1</v>
      </c>
      <c r="J23" s="69" t="s">
        <v>75</v>
      </c>
      <c r="K23" s="76">
        <v>0</v>
      </c>
      <c r="M23" s="69" t="s">
        <v>76</v>
      </c>
      <c r="N23" s="10">
        <v>1</v>
      </c>
      <c r="P23" s="69" t="s">
        <v>76</v>
      </c>
      <c r="Q23" s="10">
        <v>0</v>
      </c>
      <c r="S23" s="69" t="s">
        <v>76</v>
      </c>
      <c r="T23" s="10">
        <v>0</v>
      </c>
    </row>
    <row r="24" spans="1:20" x14ac:dyDescent="0.25">
      <c r="A24" s="10" t="s">
        <v>5</v>
      </c>
      <c r="B24" s="57">
        <f>B23/B20*100</f>
        <v>8.5714285714285712</v>
      </c>
      <c r="D24" s="10" t="s">
        <v>5</v>
      </c>
      <c r="E24" s="86">
        <f>E23/E20*100</f>
        <v>4.1666666666666661</v>
      </c>
      <c r="F24" s="12"/>
      <c r="G24" s="10" t="s">
        <v>5</v>
      </c>
      <c r="H24" s="18">
        <f>H23/H20*100</f>
        <v>16.666666666666664</v>
      </c>
      <c r="J24" s="10" t="s">
        <v>5</v>
      </c>
      <c r="K24" s="18">
        <f>K23/K20*100</f>
        <v>0</v>
      </c>
      <c r="M24" s="10" t="s">
        <v>5</v>
      </c>
      <c r="N24" s="18">
        <f>N23/N20*100</f>
        <v>100</v>
      </c>
      <c r="P24" s="10" t="s">
        <v>5</v>
      </c>
      <c r="Q24" s="18">
        <f>Q23/Q20*100</f>
        <v>0</v>
      </c>
      <c r="S24" s="10" t="s">
        <v>5</v>
      </c>
      <c r="T24" s="18">
        <f>T23/T20*100</f>
        <v>0</v>
      </c>
    </row>
    <row r="25" spans="1:20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20" x14ac:dyDescent="0.25">
      <c r="A26" s="60" t="s">
        <v>31</v>
      </c>
      <c r="B26" s="60">
        <f>B12+B21</f>
        <v>110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20" x14ac:dyDescent="0.25">
      <c r="A27" s="60" t="s">
        <v>44</v>
      </c>
      <c r="B27" s="77">
        <f>B15+B23</f>
        <v>11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20" x14ac:dyDescent="0.25">
      <c r="A28" s="46" t="s">
        <v>83</v>
      </c>
      <c r="B28" s="59">
        <f>B27/B26*100%</f>
        <v>0.1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20" x14ac:dyDescent="0.25">
      <c r="M29" s="19"/>
    </row>
    <row r="30" spans="1:20" x14ac:dyDescent="0.25">
      <c r="A30" s="349" t="s">
        <v>84</v>
      </c>
      <c r="B30" s="350"/>
      <c r="D30" s="372" t="s">
        <v>104</v>
      </c>
      <c r="E30" s="372"/>
      <c r="G30" s="349" t="s">
        <v>105</v>
      </c>
      <c r="H30" s="350"/>
      <c r="J30" s="349" t="s">
        <v>106</v>
      </c>
      <c r="K30" s="350"/>
      <c r="M30" s="349" t="s">
        <v>36</v>
      </c>
      <c r="N30" s="350"/>
      <c r="P30" s="349" t="s">
        <v>93</v>
      </c>
      <c r="Q30" s="350"/>
      <c r="S30" s="349" t="s">
        <v>94</v>
      </c>
      <c r="T30" s="350"/>
    </row>
    <row r="31" spans="1:20" x14ac:dyDescent="0.25">
      <c r="A31" s="10" t="s">
        <v>28</v>
      </c>
      <c r="B31" s="10">
        <v>204</v>
      </c>
      <c r="D31" s="10" t="s">
        <v>28</v>
      </c>
      <c r="E31" s="10">
        <v>144</v>
      </c>
      <c r="G31" s="10" t="s">
        <v>28</v>
      </c>
      <c r="H31" s="10">
        <v>12</v>
      </c>
      <c r="J31" s="10" t="s">
        <v>28</v>
      </c>
      <c r="K31" s="10">
        <v>7</v>
      </c>
      <c r="M31" s="10" t="s">
        <v>28</v>
      </c>
      <c r="N31" s="10">
        <v>6</v>
      </c>
      <c r="P31" s="10" t="s">
        <v>28</v>
      </c>
      <c r="Q31" s="10">
        <v>24</v>
      </c>
      <c r="S31" s="10" t="s">
        <v>28</v>
      </c>
      <c r="T31" s="10">
        <v>11</v>
      </c>
    </row>
    <row r="32" spans="1:20" x14ac:dyDescent="0.25">
      <c r="A32" s="10" t="s">
        <v>30</v>
      </c>
      <c r="B32" s="10">
        <v>21</v>
      </c>
      <c r="D32" s="10" t="s">
        <v>30</v>
      </c>
      <c r="E32" s="10">
        <v>0</v>
      </c>
      <c r="G32" s="10" t="s">
        <v>30</v>
      </c>
      <c r="H32" s="10">
        <v>21</v>
      </c>
      <c r="J32" s="10" t="s">
        <v>30</v>
      </c>
      <c r="K32" s="10">
        <v>0</v>
      </c>
      <c r="M32" s="10" t="s">
        <v>30</v>
      </c>
      <c r="N32" s="10">
        <v>0</v>
      </c>
      <c r="P32" s="10" t="s">
        <v>30</v>
      </c>
      <c r="Q32" s="10">
        <v>0</v>
      </c>
      <c r="S32" s="10" t="s">
        <v>30</v>
      </c>
      <c r="T32" s="10">
        <v>0</v>
      </c>
    </row>
    <row r="33" spans="1:20" x14ac:dyDescent="0.25">
      <c r="A33" s="10" t="s">
        <v>31</v>
      </c>
      <c r="B33" s="10">
        <f>E33+H33+K33+N33+Q33+T33</f>
        <v>225</v>
      </c>
      <c r="D33" s="10" t="s">
        <v>31</v>
      </c>
      <c r="E33" s="10">
        <f>E31+E32</f>
        <v>144</v>
      </c>
      <c r="G33" s="10" t="s">
        <v>31</v>
      </c>
      <c r="H33" s="10">
        <f>H31+H32</f>
        <v>33</v>
      </c>
      <c r="J33" s="10" t="s">
        <v>31</v>
      </c>
      <c r="K33" s="10">
        <f>K31+K32</f>
        <v>7</v>
      </c>
      <c r="M33" s="10" t="s">
        <v>31</v>
      </c>
      <c r="N33" s="10">
        <f>N31+N32</f>
        <v>6</v>
      </c>
      <c r="P33" s="10" t="s">
        <v>31</v>
      </c>
      <c r="Q33" s="10">
        <f>Q31+Q32</f>
        <v>24</v>
      </c>
      <c r="S33" s="10" t="s">
        <v>31</v>
      </c>
      <c r="T33" s="10">
        <f>T31+T32</f>
        <v>11</v>
      </c>
    </row>
    <row r="34" spans="1:20" x14ac:dyDescent="0.25">
      <c r="F34" s="12"/>
    </row>
    <row r="36" spans="1:20" x14ac:dyDescent="0.25">
      <c r="A36" s="10" t="s">
        <v>4</v>
      </c>
      <c r="B36" s="79">
        <f>E36+H36+K36+N36+Q36+T36</f>
        <v>24</v>
      </c>
      <c r="D36" s="10" t="s">
        <v>4</v>
      </c>
      <c r="E36" s="78">
        <v>9</v>
      </c>
      <c r="G36" s="10" t="s">
        <v>4</v>
      </c>
      <c r="H36" s="79">
        <v>8</v>
      </c>
      <c r="J36" s="10" t="s">
        <v>4</v>
      </c>
      <c r="K36" s="75">
        <v>1</v>
      </c>
      <c r="M36" s="10" t="s">
        <v>4</v>
      </c>
      <c r="N36" s="73">
        <v>0</v>
      </c>
      <c r="P36" s="10" t="s">
        <v>4</v>
      </c>
      <c r="Q36" s="73">
        <v>4</v>
      </c>
      <c r="S36" s="10" t="s">
        <v>4</v>
      </c>
      <c r="T36" s="73">
        <v>2</v>
      </c>
    </row>
    <row r="37" spans="1:20" x14ac:dyDescent="0.25">
      <c r="A37" s="10" t="s">
        <v>5</v>
      </c>
      <c r="B37" s="80">
        <f>B36/B33*100</f>
        <v>10.666666666666668</v>
      </c>
      <c r="D37" s="10" t="s">
        <v>5</v>
      </c>
      <c r="E37" s="80">
        <f>E36/E33*100</f>
        <v>6.25</v>
      </c>
      <c r="G37" s="10" t="s">
        <v>5</v>
      </c>
      <c r="H37" s="80">
        <f>H36/H33*100</f>
        <v>24.242424242424242</v>
      </c>
      <c r="J37" s="10" t="s">
        <v>5</v>
      </c>
      <c r="K37" s="90">
        <f>K36/K33*100%</f>
        <v>0.14285714285714285</v>
      </c>
      <c r="M37" s="10" t="s">
        <v>5</v>
      </c>
      <c r="N37" s="90">
        <f>N36/N33*100</f>
        <v>0</v>
      </c>
      <c r="P37" s="10" t="s">
        <v>5</v>
      </c>
      <c r="Q37" s="90">
        <f>Q36/Q33*100%</f>
        <v>0.16666666666666666</v>
      </c>
      <c r="S37" s="10" t="s">
        <v>5</v>
      </c>
      <c r="T37" s="90">
        <f>T36/T33</f>
        <v>0.18181818181818182</v>
      </c>
    </row>
    <row r="38" spans="1:20" ht="15" customHeight="1" x14ac:dyDescent="0.25">
      <c r="N38" s="31"/>
    </row>
    <row r="39" spans="1:20" x14ac:dyDescent="0.25">
      <c r="G39" s="25"/>
      <c r="H39" s="12"/>
      <c r="I39" s="12"/>
      <c r="J39" s="25"/>
      <c r="K39" s="12"/>
      <c r="L39" s="12"/>
      <c r="M39" s="12"/>
    </row>
    <row r="40" spans="1:20" x14ac:dyDescent="0.25">
      <c r="A40" s="349" t="s">
        <v>77</v>
      </c>
      <c r="B40" s="350"/>
      <c r="D40" s="372" t="s">
        <v>48</v>
      </c>
      <c r="E40" s="372"/>
      <c r="G40" s="349" t="s">
        <v>49</v>
      </c>
      <c r="H40" s="350"/>
      <c r="J40" s="349" t="s">
        <v>96</v>
      </c>
      <c r="K40" s="350"/>
      <c r="M40" s="349" t="s">
        <v>51</v>
      </c>
      <c r="N40" s="350"/>
      <c r="P40" s="349" t="s">
        <v>98</v>
      </c>
      <c r="Q40" s="350"/>
      <c r="S40" s="349" t="s">
        <v>97</v>
      </c>
      <c r="T40" s="350"/>
    </row>
    <row r="41" spans="1:20" x14ac:dyDescent="0.25">
      <c r="A41" s="10" t="s">
        <v>28</v>
      </c>
      <c r="B41" s="10">
        <f>E41+H41+K41+N41+Q41+T41</f>
        <v>82</v>
      </c>
      <c r="D41" s="10" t="s">
        <v>28</v>
      </c>
      <c r="E41" s="10">
        <v>47</v>
      </c>
      <c r="G41" s="10" t="s">
        <v>28</v>
      </c>
      <c r="H41" s="10">
        <v>17</v>
      </c>
      <c r="J41" s="10" t="s">
        <v>28</v>
      </c>
      <c r="K41" s="10">
        <v>3</v>
      </c>
      <c r="M41" s="10" t="s">
        <v>28</v>
      </c>
      <c r="N41" s="10">
        <v>2</v>
      </c>
      <c r="P41" s="10" t="s">
        <v>28</v>
      </c>
      <c r="Q41" s="10">
        <v>8</v>
      </c>
      <c r="S41" s="10" t="s">
        <v>28</v>
      </c>
      <c r="T41" s="10">
        <v>5</v>
      </c>
    </row>
    <row r="42" spans="1:20" x14ac:dyDescent="0.25">
      <c r="F42" s="12"/>
    </row>
    <row r="44" spans="1:20" x14ac:dyDescent="0.25">
      <c r="A44" s="69" t="s">
        <v>78</v>
      </c>
      <c r="B44" s="73">
        <v>2</v>
      </c>
      <c r="D44" s="69" t="s">
        <v>79</v>
      </c>
      <c r="E44" s="73">
        <v>2</v>
      </c>
      <c r="G44" s="69" t="s">
        <v>80</v>
      </c>
      <c r="H44" s="73">
        <v>0</v>
      </c>
      <c r="J44" s="69" t="s">
        <v>81</v>
      </c>
      <c r="K44" s="75">
        <v>0</v>
      </c>
      <c r="M44" s="69" t="s">
        <v>82</v>
      </c>
      <c r="N44" s="10">
        <v>0</v>
      </c>
      <c r="P44" s="69" t="s">
        <v>82</v>
      </c>
      <c r="Q44" s="10">
        <v>0</v>
      </c>
      <c r="S44" s="69" t="s">
        <v>82</v>
      </c>
      <c r="T44" s="10">
        <v>0</v>
      </c>
    </row>
    <row r="45" spans="1:20" ht="15" customHeight="1" x14ac:dyDescent="0.25">
      <c r="A45" s="10" t="s">
        <v>5</v>
      </c>
      <c r="B45" s="57">
        <f>B44/B41*100</f>
        <v>2.4390243902439024</v>
      </c>
      <c r="D45" s="10" t="s">
        <v>5</v>
      </c>
      <c r="E45" s="57">
        <f>E44/E41*100</f>
        <v>4.2553191489361701</v>
      </c>
      <c r="G45" s="10" t="s">
        <v>5</v>
      </c>
      <c r="H45" s="23">
        <f>H44/H41*100</f>
        <v>0</v>
      </c>
      <c r="J45" s="10" t="s">
        <v>5</v>
      </c>
      <c r="K45" s="23">
        <f>K44/K41*100</f>
        <v>0</v>
      </c>
      <c r="M45" s="10" t="s">
        <v>5</v>
      </c>
      <c r="N45" s="18">
        <f>N44/N41*100</f>
        <v>0</v>
      </c>
      <c r="P45" s="10" t="s">
        <v>5</v>
      </c>
      <c r="Q45" s="18">
        <f>Q44/Q41*100</f>
        <v>0</v>
      </c>
      <c r="S45" s="10" t="s">
        <v>5</v>
      </c>
      <c r="T45" s="18">
        <f>T44/T41*100</f>
        <v>0</v>
      </c>
    </row>
    <row r="47" spans="1:20" ht="15" customHeight="1" x14ac:dyDescent="0.25">
      <c r="A47" s="60" t="s">
        <v>31</v>
      </c>
      <c r="B47" s="60">
        <f>B33+B41</f>
        <v>307</v>
      </c>
    </row>
    <row r="48" spans="1:20" ht="15" customHeight="1" x14ac:dyDescent="0.25">
      <c r="A48" s="60" t="s">
        <v>44</v>
      </c>
      <c r="B48" s="77">
        <f>B36+B44</f>
        <v>26</v>
      </c>
    </row>
    <row r="49" spans="1:11" ht="15" customHeight="1" x14ac:dyDescent="0.25">
      <c r="A49" s="46" t="s">
        <v>55</v>
      </c>
      <c r="B49" s="59">
        <f>B48/B47*100%</f>
        <v>8.4690553745928335E-2</v>
      </c>
    </row>
    <row r="54" spans="1:11" ht="15" customHeight="1" x14ac:dyDescent="0.25">
      <c r="A54" s="44"/>
      <c r="B54" s="44"/>
    </row>
    <row r="55" spans="1:11" ht="15" customHeight="1" x14ac:dyDescent="0.25">
      <c r="A55" s="44"/>
      <c r="B55" s="45"/>
      <c r="D55" s="30"/>
      <c r="E55" s="30"/>
    </row>
    <row r="56" spans="1:11" ht="15" customHeight="1" x14ac:dyDescent="0.25">
      <c r="A56" s="43"/>
      <c r="B56" s="43"/>
    </row>
    <row r="57" spans="1:11" ht="15" customHeight="1" x14ac:dyDescent="0.25">
      <c r="A57" s="43"/>
      <c r="B57" s="43"/>
      <c r="D57" s="349" t="s">
        <v>101</v>
      </c>
      <c r="E57" s="350"/>
      <c r="F57" s="349" t="s">
        <v>99</v>
      </c>
      <c r="G57" s="350"/>
      <c r="H57" s="349" t="s">
        <v>103</v>
      </c>
      <c r="I57" s="350"/>
      <c r="J57" s="349" t="s">
        <v>102</v>
      </c>
      <c r="K57" s="350"/>
    </row>
    <row r="58" spans="1:11" s="67" customFormat="1" ht="15" customHeight="1" x14ac:dyDescent="0.25">
      <c r="D58" s="364">
        <v>1</v>
      </c>
      <c r="E58" s="365"/>
      <c r="F58" s="373">
        <v>2</v>
      </c>
      <c r="G58" s="374"/>
      <c r="H58" s="368">
        <v>1</v>
      </c>
      <c r="I58" s="369"/>
      <c r="J58" s="368">
        <v>1</v>
      </c>
      <c r="K58" s="369"/>
    </row>
  </sheetData>
  <mergeCells count="38">
    <mergeCell ref="A1:B1"/>
    <mergeCell ref="D1:E1"/>
    <mergeCell ref="A9:B9"/>
    <mergeCell ref="D9:E9"/>
    <mergeCell ref="G9:H9"/>
    <mergeCell ref="M9:N9"/>
    <mergeCell ref="P9:Q9"/>
    <mergeCell ref="S9:T9"/>
    <mergeCell ref="A19:B19"/>
    <mergeCell ref="D19:E19"/>
    <mergeCell ref="G19:H19"/>
    <mergeCell ref="J19:K19"/>
    <mergeCell ref="M19:N19"/>
    <mergeCell ref="P19:Q19"/>
    <mergeCell ref="S19:T19"/>
    <mergeCell ref="J9:K9"/>
    <mergeCell ref="S30:T30"/>
    <mergeCell ref="A40:B40"/>
    <mergeCell ref="D40:E40"/>
    <mergeCell ref="G40:H40"/>
    <mergeCell ref="J40:K40"/>
    <mergeCell ref="M40:N40"/>
    <mergeCell ref="P40:Q40"/>
    <mergeCell ref="S40:T40"/>
    <mergeCell ref="A30:B30"/>
    <mergeCell ref="D30:E30"/>
    <mergeCell ref="G30:H30"/>
    <mergeCell ref="J30:K30"/>
    <mergeCell ref="M30:N30"/>
    <mergeCell ref="P30:Q30"/>
    <mergeCell ref="J57:K57"/>
    <mergeCell ref="D58:E58"/>
    <mergeCell ref="F58:G58"/>
    <mergeCell ref="H58:I58"/>
    <mergeCell ref="J58:K58"/>
    <mergeCell ref="D57:E57"/>
    <mergeCell ref="F57:G57"/>
    <mergeCell ref="H57:I57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607B-E8A0-49E8-8C42-89B06FCA5026}">
  <sheetPr>
    <outlinePr summaryBelow="0" summaryRight="0"/>
  </sheetPr>
  <dimension ref="A1:T58"/>
  <sheetViews>
    <sheetView showGridLines="0" zoomScaleNormal="100" workbookViewId="0">
      <selection activeCell="D4" sqref="D4"/>
    </sheetView>
  </sheetViews>
  <sheetFormatPr baseColWidth="10" defaultColWidth="14.42578125" defaultRowHeight="15" customHeight="1" x14ac:dyDescent="0.25"/>
  <cols>
    <col min="1" max="1" width="21.42578125" customWidth="1"/>
    <col min="4" max="4" width="26.7109375" customWidth="1"/>
    <col min="7" max="7" width="30.85546875" customWidth="1"/>
    <col min="10" max="10" width="26.42578125" customWidth="1"/>
    <col min="11" max="11" width="17" customWidth="1"/>
    <col min="13" max="13" width="23.28515625" customWidth="1"/>
    <col min="14" max="14" width="23.5703125" customWidth="1"/>
    <col min="16" max="16" width="24.42578125" customWidth="1"/>
    <col min="17" max="17" width="17.140625" customWidth="1"/>
    <col min="19" max="19" width="21.42578125" customWidth="1"/>
  </cols>
  <sheetData>
    <row r="1" spans="1:20" ht="15" customHeight="1" x14ac:dyDescent="0.5">
      <c r="A1" s="351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20" x14ac:dyDescent="0.25">
      <c r="A2" s="10" t="s">
        <v>29</v>
      </c>
      <c r="B2" s="11">
        <v>494</v>
      </c>
      <c r="D2" s="31"/>
      <c r="E2" s="36"/>
    </row>
    <row r="3" spans="1:20" x14ac:dyDescent="0.25">
      <c r="A3" s="10" t="s">
        <v>30</v>
      </c>
      <c r="B3" s="11">
        <v>23</v>
      </c>
      <c r="D3" s="31"/>
      <c r="E3" s="36"/>
    </row>
    <row r="4" spans="1:20" x14ac:dyDescent="0.25">
      <c r="A4" s="10" t="s">
        <v>3</v>
      </c>
      <c r="B4" s="35">
        <f>B2+B3</f>
        <v>517</v>
      </c>
      <c r="D4" s="31"/>
      <c r="E4" s="36"/>
    </row>
    <row r="5" spans="1:20" x14ac:dyDescent="0.25">
      <c r="B5" s="13"/>
      <c r="D5" s="12"/>
    </row>
    <row r="6" spans="1:20" x14ac:dyDescent="0.25">
      <c r="A6" s="33" t="s">
        <v>42</v>
      </c>
      <c r="B6" s="34">
        <v>35</v>
      </c>
      <c r="C6" s="30"/>
      <c r="D6" s="33" t="s">
        <v>43</v>
      </c>
      <c r="E6" s="14">
        <v>1</v>
      </c>
      <c r="G6" s="10" t="s">
        <v>44</v>
      </c>
      <c r="H6" s="14">
        <f>B6+E6</f>
        <v>36</v>
      </c>
    </row>
    <row r="7" spans="1:20" x14ac:dyDescent="0.25">
      <c r="A7" s="31"/>
      <c r="B7" s="32"/>
      <c r="C7" s="30"/>
      <c r="D7" s="31"/>
      <c r="E7" s="32"/>
      <c r="G7" s="10" t="s">
        <v>5</v>
      </c>
      <c r="H7" s="15">
        <f>H6/B4*100</f>
        <v>6.9632495164410058</v>
      </c>
    </row>
    <row r="8" spans="1:20" x14ac:dyDescent="0.25">
      <c r="B8" s="13"/>
    </row>
    <row r="9" spans="1:20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113</v>
      </c>
      <c r="K9" s="350"/>
      <c r="M9" s="349" t="s">
        <v>27</v>
      </c>
      <c r="N9" s="350"/>
      <c r="P9" s="349" t="s">
        <v>114</v>
      </c>
      <c r="Q9" s="350"/>
      <c r="S9" s="349" t="s">
        <v>115</v>
      </c>
      <c r="T9" s="350"/>
    </row>
    <row r="10" spans="1:20" x14ac:dyDescent="0.25">
      <c r="A10" s="10" t="s">
        <v>28</v>
      </c>
      <c r="B10" s="10">
        <v>58</v>
      </c>
      <c r="D10" s="10" t="s">
        <v>29</v>
      </c>
      <c r="E10" s="10">
        <v>39</v>
      </c>
      <c r="G10" s="10" t="s">
        <v>29</v>
      </c>
      <c r="H10" s="10">
        <v>5</v>
      </c>
      <c r="J10" s="10" t="s">
        <v>29</v>
      </c>
      <c r="K10" s="10">
        <v>1</v>
      </c>
      <c r="M10" s="10" t="s">
        <v>29</v>
      </c>
      <c r="N10" s="10">
        <f>2-N21</f>
        <v>1</v>
      </c>
      <c r="P10" s="10" t="s">
        <v>29</v>
      </c>
      <c r="Q10" s="10">
        <v>8</v>
      </c>
      <c r="S10" s="10" t="s">
        <v>29</v>
      </c>
      <c r="T10" s="10">
        <v>4</v>
      </c>
    </row>
    <row r="11" spans="1:20" x14ac:dyDescent="0.25">
      <c r="A11" s="10" t="s">
        <v>30</v>
      </c>
      <c r="B11" s="72">
        <v>5</v>
      </c>
      <c r="D11" s="10" t="s">
        <v>30</v>
      </c>
      <c r="E11" s="82">
        <v>0</v>
      </c>
      <c r="G11" s="10" t="s">
        <v>30</v>
      </c>
      <c r="H11" s="10">
        <v>5</v>
      </c>
      <c r="J11" s="10" t="s">
        <v>30</v>
      </c>
      <c r="K11" s="10">
        <v>0</v>
      </c>
      <c r="M11" s="10" t="s">
        <v>30</v>
      </c>
      <c r="N11" s="10">
        <v>0</v>
      </c>
      <c r="P11" s="10" t="s">
        <v>30</v>
      </c>
      <c r="Q11" s="10">
        <v>0</v>
      </c>
      <c r="S11" s="10" t="s">
        <v>30</v>
      </c>
      <c r="T11" s="10">
        <v>0</v>
      </c>
    </row>
    <row r="12" spans="1:20" x14ac:dyDescent="0.25">
      <c r="A12" s="10" t="s">
        <v>31</v>
      </c>
      <c r="B12" s="10">
        <f>E12+H12+K12+N12+Q12+T12</f>
        <v>63</v>
      </c>
      <c r="D12" s="10" t="s">
        <v>31</v>
      </c>
      <c r="E12" s="10">
        <f>E10+E11</f>
        <v>39</v>
      </c>
      <c r="G12" s="10" t="s">
        <v>31</v>
      </c>
      <c r="H12" s="10">
        <f>H10+H11</f>
        <v>10</v>
      </c>
      <c r="J12" s="10" t="s">
        <v>31</v>
      </c>
      <c r="K12" s="10">
        <f>K10+K11</f>
        <v>1</v>
      </c>
      <c r="M12" s="10" t="s">
        <v>31</v>
      </c>
      <c r="N12" s="10">
        <f>N10+N11</f>
        <v>1</v>
      </c>
      <c r="P12" s="10" t="s">
        <v>31</v>
      </c>
      <c r="Q12" s="10">
        <f>Q10+Q11</f>
        <v>8</v>
      </c>
      <c r="S12" s="10" t="s">
        <v>31</v>
      </c>
      <c r="T12" s="10">
        <f>T10+T11</f>
        <v>4</v>
      </c>
    </row>
    <row r="15" spans="1:20" x14ac:dyDescent="0.25">
      <c r="A15" s="69" t="s">
        <v>66</v>
      </c>
      <c r="B15" s="73">
        <v>8</v>
      </c>
      <c r="D15" s="69" t="s">
        <v>67</v>
      </c>
      <c r="E15" s="85">
        <v>6</v>
      </c>
      <c r="G15" s="69" t="s">
        <v>68</v>
      </c>
      <c r="H15" s="84">
        <v>0</v>
      </c>
      <c r="J15" s="69" t="s">
        <v>69</v>
      </c>
      <c r="K15" s="83">
        <v>0</v>
      </c>
      <c r="M15" s="69" t="s">
        <v>70</v>
      </c>
      <c r="N15" s="10">
        <v>0</v>
      </c>
      <c r="P15" s="69" t="s">
        <v>69</v>
      </c>
      <c r="Q15" s="83">
        <v>1</v>
      </c>
      <c r="S15" s="69" t="s">
        <v>69</v>
      </c>
      <c r="T15" s="83">
        <v>1</v>
      </c>
    </row>
    <row r="16" spans="1:20" x14ac:dyDescent="0.25">
      <c r="A16" s="10" t="s">
        <v>5</v>
      </c>
      <c r="B16" s="49">
        <f>B15/B12*100</f>
        <v>12.698412698412698</v>
      </c>
      <c r="D16" s="10" t="s">
        <v>5</v>
      </c>
      <c r="E16" s="49">
        <f>E15/E12*100</f>
        <v>15.384615384615385</v>
      </c>
      <c r="G16" s="10" t="s">
        <v>5</v>
      </c>
      <c r="H16" s="49">
        <f>H15/H12*100</f>
        <v>0</v>
      </c>
      <c r="J16" s="10" t="s">
        <v>5</v>
      </c>
      <c r="K16" s="28">
        <f>K15/K12*100</f>
        <v>0</v>
      </c>
      <c r="M16" s="10" t="s">
        <v>5</v>
      </c>
      <c r="N16" s="18">
        <f>N15/128*100</f>
        <v>0</v>
      </c>
      <c r="P16" s="10" t="s">
        <v>5</v>
      </c>
      <c r="Q16" s="28">
        <f>Q15/Q12*100</f>
        <v>12.5</v>
      </c>
      <c r="S16" s="10" t="s">
        <v>5</v>
      </c>
      <c r="T16" s="28">
        <f>T15/T12*100</f>
        <v>25</v>
      </c>
    </row>
    <row r="17" spans="1:20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20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20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92</v>
      </c>
      <c r="K19" s="352"/>
      <c r="M19" s="353" t="s">
        <v>64</v>
      </c>
      <c r="N19" s="352"/>
      <c r="P19" s="353" t="s">
        <v>90</v>
      </c>
      <c r="Q19" s="352"/>
      <c r="S19" s="353" t="s">
        <v>91</v>
      </c>
      <c r="T19" s="352"/>
    </row>
    <row r="20" spans="1:20" x14ac:dyDescent="0.25">
      <c r="A20" s="61" t="s">
        <v>29</v>
      </c>
      <c r="B20" s="62">
        <v>38</v>
      </c>
      <c r="D20" s="60" t="s">
        <v>29</v>
      </c>
      <c r="E20" s="60">
        <v>28</v>
      </c>
      <c r="G20" s="60" t="s">
        <v>29</v>
      </c>
      <c r="H20" s="60">
        <v>5</v>
      </c>
      <c r="J20" s="60" t="s">
        <v>29</v>
      </c>
      <c r="K20" s="60">
        <v>1</v>
      </c>
      <c r="M20" s="60" t="s">
        <v>29</v>
      </c>
      <c r="N20" s="60">
        <v>1</v>
      </c>
      <c r="P20" s="60" t="s">
        <v>29</v>
      </c>
      <c r="Q20" s="60">
        <v>2</v>
      </c>
      <c r="S20" s="60" t="s">
        <v>29</v>
      </c>
      <c r="T20" s="60">
        <v>1</v>
      </c>
    </row>
    <row r="21" spans="1:20" x14ac:dyDescent="0.25">
      <c r="A21" s="63" t="s">
        <v>31</v>
      </c>
      <c r="B21" s="64">
        <f>E21+H21+K21+N21+Q21+T21</f>
        <v>38</v>
      </c>
      <c r="D21" s="60" t="s">
        <v>31</v>
      </c>
      <c r="E21" s="60">
        <f>E20</f>
        <v>28</v>
      </c>
      <c r="G21" s="60" t="s">
        <v>31</v>
      </c>
      <c r="H21" s="60">
        <f>H20</f>
        <v>5</v>
      </c>
      <c r="J21" s="60" t="s">
        <v>31</v>
      </c>
      <c r="K21" s="60">
        <f>K20</f>
        <v>1</v>
      </c>
      <c r="M21" s="60" t="s">
        <v>31</v>
      </c>
      <c r="N21" s="60">
        <f>N20</f>
        <v>1</v>
      </c>
      <c r="P21" s="60" t="s">
        <v>31</v>
      </c>
      <c r="Q21" s="60">
        <f>Q20</f>
        <v>2</v>
      </c>
      <c r="S21" s="60" t="s">
        <v>31</v>
      </c>
      <c r="T21" s="60">
        <f>T20</f>
        <v>1</v>
      </c>
    </row>
    <row r="22" spans="1:20" x14ac:dyDescent="0.25">
      <c r="A22" s="44"/>
      <c r="B22" s="44"/>
    </row>
    <row r="23" spans="1:20" x14ac:dyDescent="0.25">
      <c r="A23" s="69" t="s">
        <v>72</v>
      </c>
      <c r="B23" s="73">
        <v>1</v>
      </c>
      <c r="D23" s="69" t="s">
        <v>73</v>
      </c>
      <c r="E23" s="85">
        <v>0</v>
      </c>
      <c r="G23" s="69" t="s">
        <v>74</v>
      </c>
      <c r="H23" s="82">
        <v>1</v>
      </c>
      <c r="J23" s="69" t="s">
        <v>75</v>
      </c>
      <c r="K23" s="76">
        <v>0</v>
      </c>
      <c r="M23" s="69" t="s">
        <v>76</v>
      </c>
      <c r="N23" s="10">
        <v>0</v>
      </c>
      <c r="P23" s="69" t="s">
        <v>76</v>
      </c>
      <c r="Q23" s="10">
        <v>0</v>
      </c>
      <c r="S23" s="69" t="s">
        <v>76</v>
      </c>
      <c r="T23" s="10">
        <v>0</v>
      </c>
    </row>
    <row r="24" spans="1:20" x14ac:dyDescent="0.25">
      <c r="A24" s="10" t="s">
        <v>5</v>
      </c>
      <c r="B24" s="57">
        <f>B23/B20*100</f>
        <v>2.6315789473684208</v>
      </c>
      <c r="D24" s="10" t="s">
        <v>5</v>
      </c>
      <c r="E24" s="86">
        <f>E23/E20*100</f>
        <v>0</v>
      </c>
      <c r="F24" s="12"/>
      <c r="G24" s="10" t="s">
        <v>5</v>
      </c>
      <c r="H24" s="18">
        <f>H23/H20*100</f>
        <v>20</v>
      </c>
      <c r="J24" s="10" t="s">
        <v>5</v>
      </c>
      <c r="K24" s="18">
        <f>K23/K20*100</f>
        <v>0</v>
      </c>
      <c r="M24" s="10" t="s">
        <v>5</v>
      </c>
      <c r="N24" s="18">
        <f>N23/N20*100</f>
        <v>0</v>
      </c>
      <c r="P24" s="10" t="s">
        <v>5</v>
      </c>
      <c r="Q24" s="18">
        <f>Q23/Q20*100</f>
        <v>0</v>
      </c>
      <c r="S24" s="10" t="s">
        <v>5</v>
      </c>
      <c r="T24" s="18">
        <f>T23/T20*100</f>
        <v>0</v>
      </c>
    </row>
    <row r="25" spans="1:20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20" x14ac:dyDescent="0.25">
      <c r="A26" s="60" t="s">
        <v>31</v>
      </c>
      <c r="B26" s="60">
        <f>B12+B21</f>
        <v>101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20" x14ac:dyDescent="0.25">
      <c r="A27" s="60" t="s">
        <v>44</v>
      </c>
      <c r="B27" s="77">
        <f>B15+B23</f>
        <v>9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20" x14ac:dyDescent="0.25">
      <c r="A28" s="46" t="s">
        <v>83</v>
      </c>
      <c r="B28" s="59">
        <f>B27/B26*100%</f>
        <v>8.9108910891089105E-2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20" x14ac:dyDescent="0.25">
      <c r="M29" s="19"/>
    </row>
    <row r="30" spans="1:20" x14ac:dyDescent="0.25">
      <c r="A30" s="349" t="s">
        <v>84</v>
      </c>
      <c r="B30" s="350"/>
      <c r="D30" s="372" t="s">
        <v>104</v>
      </c>
      <c r="E30" s="372"/>
      <c r="G30" s="349" t="s">
        <v>105</v>
      </c>
      <c r="H30" s="350"/>
      <c r="J30" s="349" t="s">
        <v>106</v>
      </c>
      <c r="K30" s="350"/>
      <c r="M30" s="349" t="s">
        <v>36</v>
      </c>
      <c r="N30" s="350"/>
      <c r="P30" s="349" t="s">
        <v>93</v>
      </c>
      <c r="Q30" s="350"/>
      <c r="S30" s="349" t="s">
        <v>94</v>
      </c>
      <c r="T30" s="350"/>
    </row>
    <row r="31" spans="1:20" x14ac:dyDescent="0.25">
      <c r="A31" s="10" t="s">
        <v>28</v>
      </c>
      <c r="B31" s="10">
        <v>201</v>
      </c>
      <c r="D31" s="10" t="s">
        <v>28</v>
      </c>
      <c r="E31" s="10">
        <v>143</v>
      </c>
      <c r="G31" s="10" t="s">
        <v>28</v>
      </c>
      <c r="H31" s="10">
        <v>10</v>
      </c>
      <c r="J31" s="10" t="s">
        <v>28</v>
      </c>
      <c r="K31" s="10">
        <v>7</v>
      </c>
      <c r="M31" s="10" t="s">
        <v>28</v>
      </c>
      <c r="N31" s="10">
        <v>6</v>
      </c>
      <c r="P31" s="10" t="s">
        <v>28</v>
      </c>
      <c r="Q31" s="10">
        <v>23</v>
      </c>
      <c r="S31" s="10" t="s">
        <v>28</v>
      </c>
      <c r="T31" s="10">
        <v>12</v>
      </c>
    </row>
    <row r="32" spans="1:20" x14ac:dyDescent="0.25">
      <c r="A32" s="10" t="s">
        <v>30</v>
      </c>
      <c r="B32" s="10">
        <v>16</v>
      </c>
      <c r="D32" s="10" t="s">
        <v>30</v>
      </c>
      <c r="E32" s="10">
        <v>0</v>
      </c>
      <c r="G32" s="10" t="s">
        <v>30</v>
      </c>
      <c r="H32" s="10">
        <v>16</v>
      </c>
      <c r="J32" s="10" t="s">
        <v>30</v>
      </c>
      <c r="K32" s="10">
        <v>0</v>
      </c>
      <c r="M32" s="10" t="s">
        <v>30</v>
      </c>
      <c r="N32" s="10">
        <v>0</v>
      </c>
      <c r="P32" s="10" t="s">
        <v>30</v>
      </c>
      <c r="Q32" s="10">
        <v>0</v>
      </c>
      <c r="S32" s="10" t="s">
        <v>30</v>
      </c>
      <c r="T32" s="10">
        <v>0</v>
      </c>
    </row>
    <row r="33" spans="1:20" x14ac:dyDescent="0.25">
      <c r="A33" s="10" t="s">
        <v>31</v>
      </c>
      <c r="B33" s="10">
        <f>E33+H33+K33+N33+Q33+T33</f>
        <v>217</v>
      </c>
      <c r="D33" s="10" t="s">
        <v>31</v>
      </c>
      <c r="E33" s="10">
        <f>E31+E32</f>
        <v>143</v>
      </c>
      <c r="G33" s="10" t="s">
        <v>31</v>
      </c>
      <c r="H33" s="10">
        <f>H31+H32</f>
        <v>26</v>
      </c>
      <c r="J33" s="10" t="s">
        <v>31</v>
      </c>
      <c r="K33" s="10">
        <f>K31+K32</f>
        <v>7</v>
      </c>
      <c r="M33" s="10" t="s">
        <v>31</v>
      </c>
      <c r="N33" s="10">
        <f>N31+N32</f>
        <v>6</v>
      </c>
      <c r="P33" s="10" t="s">
        <v>31</v>
      </c>
      <c r="Q33" s="10">
        <f>Q31+Q32</f>
        <v>23</v>
      </c>
      <c r="S33" s="10" t="s">
        <v>31</v>
      </c>
      <c r="T33" s="10">
        <f>T31+T32</f>
        <v>12</v>
      </c>
    </row>
    <row r="34" spans="1:20" x14ac:dyDescent="0.25">
      <c r="F34" s="12"/>
    </row>
    <row r="36" spans="1:20" x14ac:dyDescent="0.25">
      <c r="A36" s="10" t="s">
        <v>4</v>
      </c>
      <c r="B36" s="79">
        <v>24</v>
      </c>
      <c r="D36" s="10" t="s">
        <v>4</v>
      </c>
      <c r="E36" s="78">
        <v>16</v>
      </c>
      <c r="G36" s="10" t="s">
        <v>4</v>
      </c>
      <c r="H36" s="79">
        <v>1</v>
      </c>
      <c r="J36" s="10" t="s">
        <v>4</v>
      </c>
      <c r="K36" s="75">
        <v>2</v>
      </c>
      <c r="M36" s="10" t="s">
        <v>4</v>
      </c>
      <c r="N36" s="73">
        <v>0</v>
      </c>
      <c r="P36" s="10" t="s">
        <v>4</v>
      </c>
      <c r="Q36" s="73">
        <v>3</v>
      </c>
      <c r="S36" s="10" t="s">
        <v>4</v>
      </c>
      <c r="T36" s="73">
        <v>2</v>
      </c>
    </row>
    <row r="37" spans="1:20" x14ac:dyDescent="0.25">
      <c r="A37" s="10" t="s">
        <v>5</v>
      </c>
      <c r="B37" s="80">
        <f>B36/B33*100</f>
        <v>11.059907834101383</v>
      </c>
      <c r="D37" s="10" t="s">
        <v>5</v>
      </c>
      <c r="E37" s="80">
        <f>E36/E33*100</f>
        <v>11.188811188811188</v>
      </c>
      <c r="G37" s="10" t="s">
        <v>5</v>
      </c>
      <c r="H37" s="80">
        <f>H36/H33*100</f>
        <v>3.8461538461538463</v>
      </c>
      <c r="J37" s="10" t="s">
        <v>5</v>
      </c>
      <c r="K37" s="90">
        <f>K36/K33*100%</f>
        <v>0.2857142857142857</v>
      </c>
      <c r="M37" s="10" t="s">
        <v>5</v>
      </c>
      <c r="N37" s="90">
        <f>N36/N33*100</f>
        <v>0</v>
      </c>
      <c r="P37" s="10" t="s">
        <v>5</v>
      </c>
      <c r="Q37" s="90">
        <f>Q36/Q33*100%</f>
        <v>0.13043478260869565</v>
      </c>
      <c r="S37" s="10" t="s">
        <v>5</v>
      </c>
      <c r="T37" s="90">
        <f>T36/T33</f>
        <v>0.16666666666666666</v>
      </c>
    </row>
    <row r="38" spans="1:20" ht="15" customHeight="1" x14ac:dyDescent="0.25">
      <c r="N38" s="31"/>
    </row>
    <row r="39" spans="1:20" x14ac:dyDescent="0.25">
      <c r="G39" s="25"/>
      <c r="H39" s="12"/>
      <c r="I39" s="12"/>
      <c r="J39" s="25"/>
      <c r="K39" s="12"/>
      <c r="L39" s="12"/>
      <c r="M39" s="12"/>
    </row>
    <row r="40" spans="1:20" x14ac:dyDescent="0.25">
      <c r="A40" s="349" t="s">
        <v>77</v>
      </c>
      <c r="B40" s="350"/>
      <c r="D40" s="372" t="s">
        <v>48</v>
      </c>
      <c r="E40" s="372"/>
      <c r="G40" s="349" t="s">
        <v>49</v>
      </c>
      <c r="H40" s="350"/>
      <c r="J40" s="349" t="s">
        <v>108</v>
      </c>
      <c r="K40" s="350"/>
      <c r="M40" s="349" t="s">
        <v>51</v>
      </c>
      <c r="N40" s="350"/>
      <c r="P40" s="349" t="s">
        <v>98</v>
      </c>
      <c r="Q40" s="350"/>
      <c r="S40" s="349" t="s">
        <v>97</v>
      </c>
      <c r="T40" s="350"/>
    </row>
    <row r="41" spans="1:20" x14ac:dyDescent="0.25">
      <c r="A41" s="10" t="s">
        <v>28</v>
      </c>
      <c r="B41" s="10">
        <v>85</v>
      </c>
      <c r="D41" s="10" t="s">
        <v>28</v>
      </c>
      <c r="E41" s="10">
        <v>50</v>
      </c>
      <c r="G41" s="10" t="s">
        <v>28</v>
      </c>
      <c r="H41" s="10">
        <v>16</v>
      </c>
      <c r="J41" s="10" t="s">
        <v>28</v>
      </c>
      <c r="K41" s="10">
        <v>3</v>
      </c>
      <c r="M41" s="10" t="s">
        <v>28</v>
      </c>
      <c r="N41" s="10">
        <v>2</v>
      </c>
      <c r="P41" s="10" t="s">
        <v>28</v>
      </c>
      <c r="Q41" s="10">
        <v>9</v>
      </c>
      <c r="S41" s="10" t="s">
        <v>28</v>
      </c>
      <c r="T41" s="10">
        <v>5</v>
      </c>
    </row>
    <row r="42" spans="1:20" x14ac:dyDescent="0.25">
      <c r="F42" s="12"/>
    </row>
    <row r="44" spans="1:20" x14ac:dyDescent="0.25">
      <c r="A44" s="69" t="s">
        <v>78</v>
      </c>
      <c r="B44" s="73">
        <v>3</v>
      </c>
      <c r="D44" s="69" t="s">
        <v>79</v>
      </c>
      <c r="E44" s="73">
        <v>2</v>
      </c>
      <c r="G44" s="69" t="s">
        <v>80</v>
      </c>
      <c r="H44" s="73">
        <v>0</v>
      </c>
      <c r="J44" s="91" t="s">
        <v>107</v>
      </c>
      <c r="K44" s="75">
        <v>0</v>
      </c>
      <c r="M44" s="69" t="s">
        <v>82</v>
      </c>
      <c r="N44" s="10">
        <v>1</v>
      </c>
      <c r="P44" s="91" t="s">
        <v>110</v>
      </c>
      <c r="Q44" s="10">
        <v>0</v>
      </c>
      <c r="S44" s="91" t="s">
        <v>109</v>
      </c>
      <c r="T44" s="10">
        <v>0</v>
      </c>
    </row>
    <row r="45" spans="1:20" ht="15" customHeight="1" x14ac:dyDescent="0.25">
      <c r="A45" s="10" t="s">
        <v>5</v>
      </c>
      <c r="B45" s="57">
        <f>B44/B41*100</f>
        <v>3.5294117647058822</v>
      </c>
      <c r="D45" s="10" t="s">
        <v>5</v>
      </c>
      <c r="E45" s="57">
        <f>E44/E41*100</f>
        <v>4</v>
      </c>
      <c r="G45" s="10" t="s">
        <v>5</v>
      </c>
      <c r="H45" s="23">
        <f>H44/H41*100</f>
        <v>0</v>
      </c>
      <c r="J45" s="10" t="s">
        <v>5</v>
      </c>
      <c r="K45" s="23">
        <f>K44/K41*100</f>
        <v>0</v>
      </c>
      <c r="M45" s="10" t="s">
        <v>5</v>
      </c>
      <c r="N45" s="18">
        <f>N44/N41*100</f>
        <v>50</v>
      </c>
      <c r="P45" s="10" t="s">
        <v>5</v>
      </c>
      <c r="Q45" s="18">
        <f>Q44/Q41*100</f>
        <v>0</v>
      </c>
      <c r="S45" s="10" t="s">
        <v>5</v>
      </c>
      <c r="T45" s="18">
        <f>T44/T41*100</f>
        <v>0</v>
      </c>
    </row>
    <row r="47" spans="1:20" ht="15" customHeight="1" x14ac:dyDescent="0.25">
      <c r="A47" s="60" t="s">
        <v>31</v>
      </c>
      <c r="B47" s="60">
        <f>B33+B41</f>
        <v>302</v>
      </c>
    </row>
    <row r="48" spans="1:20" ht="15" customHeight="1" x14ac:dyDescent="0.25">
      <c r="A48" s="60" t="s">
        <v>44</v>
      </c>
      <c r="B48" s="77">
        <f>B36+B44</f>
        <v>27</v>
      </c>
    </row>
    <row r="49" spans="1:11" ht="15" customHeight="1" x14ac:dyDescent="0.25">
      <c r="A49" s="46" t="s">
        <v>55</v>
      </c>
      <c r="B49" s="59">
        <f>B48/B47*100%</f>
        <v>8.9403973509933773E-2</v>
      </c>
    </row>
    <row r="54" spans="1:11" ht="15" customHeight="1" x14ac:dyDescent="0.25">
      <c r="A54" s="44"/>
      <c r="B54" s="44"/>
    </row>
    <row r="55" spans="1:11" ht="15" customHeight="1" x14ac:dyDescent="0.25">
      <c r="A55" s="44"/>
      <c r="B55" s="45"/>
      <c r="D55" s="30"/>
      <c r="E55" s="30"/>
    </row>
    <row r="56" spans="1:11" ht="15" customHeight="1" x14ac:dyDescent="0.25">
      <c r="A56" s="43"/>
      <c r="B56" s="43"/>
    </row>
    <row r="57" spans="1:11" ht="15" customHeight="1" x14ac:dyDescent="0.25">
      <c r="A57" s="43"/>
      <c r="B57" s="43"/>
      <c r="D57" s="349" t="s">
        <v>111</v>
      </c>
      <c r="E57" s="350"/>
      <c r="F57" s="349" t="s">
        <v>112</v>
      </c>
      <c r="G57" s="375"/>
      <c r="H57" s="376"/>
      <c r="I57" s="377"/>
      <c r="J57" s="376"/>
      <c r="K57" s="377"/>
    </row>
    <row r="58" spans="1:11" s="67" customFormat="1" ht="15" customHeight="1" x14ac:dyDescent="0.25">
      <c r="D58" s="364">
        <v>1</v>
      </c>
      <c r="E58" s="365"/>
      <c r="F58" s="373">
        <v>1</v>
      </c>
      <c r="G58" s="378"/>
      <c r="H58" s="379"/>
      <c r="I58" s="379"/>
      <c r="J58" s="379"/>
      <c r="K58" s="379"/>
    </row>
  </sheetData>
  <mergeCells count="38">
    <mergeCell ref="A1:B1"/>
    <mergeCell ref="D1:E1"/>
    <mergeCell ref="A9:B9"/>
    <mergeCell ref="D9:E9"/>
    <mergeCell ref="G9:H9"/>
    <mergeCell ref="M9:N9"/>
    <mergeCell ref="P9:Q9"/>
    <mergeCell ref="S9:T9"/>
    <mergeCell ref="A19:B19"/>
    <mergeCell ref="D19:E19"/>
    <mergeCell ref="G19:H19"/>
    <mergeCell ref="J19:K19"/>
    <mergeCell ref="M19:N19"/>
    <mergeCell ref="P19:Q19"/>
    <mergeCell ref="S19:T19"/>
    <mergeCell ref="J9:K9"/>
    <mergeCell ref="S30:T30"/>
    <mergeCell ref="A40:B40"/>
    <mergeCell ref="D40:E40"/>
    <mergeCell ref="G40:H40"/>
    <mergeCell ref="J40:K40"/>
    <mergeCell ref="M40:N40"/>
    <mergeCell ref="P40:Q40"/>
    <mergeCell ref="S40:T40"/>
    <mergeCell ref="A30:B30"/>
    <mergeCell ref="D30:E30"/>
    <mergeCell ref="G30:H30"/>
    <mergeCell ref="J30:K30"/>
    <mergeCell ref="M30:N30"/>
    <mergeCell ref="P30:Q30"/>
    <mergeCell ref="D57:E57"/>
    <mergeCell ref="F57:G57"/>
    <mergeCell ref="H57:I57"/>
    <mergeCell ref="J57:K57"/>
    <mergeCell ref="D58:E58"/>
    <mergeCell ref="F58:G58"/>
    <mergeCell ref="H58:I58"/>
    <mergeCell ref="J58:K58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75CB-B658-440C-A8D7-14EF00F5781C}">
  <sheetPr>
    <outlinePr summaryBelow="0" summaryRight="0"/>
  </sheetPr>
  <dimension ref="A1:T61"/>
  <sheetViews>
    <sheetView showGridLines="0" zoomScaleNormal="100" workbookViewId="0">
      <selection activeCell="E6" sqref="E6"/>
    </sheetView>
  </sheetViews>
  <sheetFormatPr baseColWidth="10" defaultColWidth="14.42578125" defaultRowHeight="15" customHeight="1" x14ac:dyDescent="0.25"/>
  <cols>
    <col min="1" max="1" width="26" customWidth="1"/>
    <col min="2" max="2" width="6.85546875" customWidth="1"/>
    <col min="3" max="3" width="5.140625" customWidth="1"/>
    <col min="4" max="4" width="25.85546875" customWidth="1"/>
    <col min="5" max="5" width="7.42578125" customWidth="1"/>
    <col min="6" max="6" width="5.42578125" customWidth="1"/>
    <col min="7" max="7" width="24.7109375" customWidth="1"/>
    <col min="8" max="8" width="6.5703125" customWidth="1"/>
    <col min="9" max="9" width="4.42578125" customWidth="1"/>
    <col min="10" max="10" width="24.5703125" customWidth="1"/>
    <col min="11" max="11" width="7.28515625" customWidth="1"/>
    <col min="12" max="12" width="5.28515625" customWidth="1"/>
    <col min="13" max="13" width="31" customWidth="1"/>
    <col min="14" max="14" width="8.42578125" customWidth="1"/>
    <col min="15" max="15" width="6" customWidth="1"/>
    <col min="16" max="16" width="21.140625" customWidth="1"/>
    <col min="17" max="17" width="6.85546875" customWidth="1"/>
    <col min="18" max="18" width="5.140625" customWidth="1"/>
    <col min="19" max="19" width="19.5703125" customWidth="1"/>
    <col min="20" max="20" width="6.85546875" customWidth="1"/>
  </cols>
  <sheetData>
    <row r="1" spans="1:20" ht="15" customHeight="1" x14ac:dyDescent="0.5">
      <c r="A1" s="353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20" x14ac:dyDescent="0.25">
      <c r="A2" s="10" t="s">
        <v>29</v>
      </c>
      <c r="B2" s="11">
        <v>488</v>
      </c>
      <c r="D2" s="31"/>
      <c r="E2" s="36"/>
    </row>
    <row r="3" spans="1:20" x14ac:dyDescent="0.25">
      <c r="A3" s="10" t="s">
        <v>30</v>
      </c>
      <c r="B3" s="11">
        <v>24</v>
      </c>
      <c r="D3" s="31"/>
      <c r="E3" s="36"/>
    </row>
    <row r="4" spans="1:20" x14ac:dyDescent="0.25">
      <c r="A4" s="10" t="s">
        <v>3</v>
      </c>
      <c r="B4" s="35">
        <f>B2+B3</f>
        <v>512</v>
      </c>
      <c r="D4" s="31"/>
      <c r="E4" s="36"/>
    </row>
    <row r="5" spans="1:20" x14ac:dyDescent="0.25">
      <c r="B5" s="13"/>
      <c r="D5" s="12"/>
    </row>
    <row r="6" spans="1:20" x14ac:dyDescent="0.25">
      <c r="A6" s="33" t="s">
        <v>42</v>
      </c>
      <c r="B6" s="34">
        <v>39</v>
      </c>
      <c r="C6" s="30"/>
      <c r="D6" s="33" t="s">
        <v>43</v>
      </c>
      <c r="E6" s="14">
        <v>5</v>
      </c>
      <c r="G6" s="10" t="s">
        <v>44</v>
      </c>
      <c r="H6" s="14">
        <f>B6+E6</f>
        <v>44</v>
      </c>
    </row>
    <row r="7" spans="1:20" x14ac:dyDescent="0.25">
      <c r="A7" s="31"/>
      <c r="B7" s="32"/>
      <c r="C7" s="30"/>
      <c r="D7" s="31"/>
      <c r="E7" s="32"/>
      <c r="G7" s="10" t="s">
        <v>5</v>
      </c>
      <c r="H7" s="15">
        <f>H6/B4*100</f>
        <v>8.59375</v>
      </c>
    </row>
    <row r="8" spans="1:20" x14ac:dyDescent="0.25">
      <c r="B8" s="13"/>
    </row>
    <row r="9" spans="1:20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113</v>
      </c>
      <c r="K9" s="350"/>
      <c r="M9" s="349" t="s">
        <v>27</v>
      </c>
      <c r="N9" s="350"/>
      <c r="P9" s="349" t="s">
        <v>114</v>
      </c>
      <c r="Q9" s="350"/>
      <c r="S9" s="349" t="s">
        <v>115</v>
      </c>
      <c r="T9" s="350"/>
    </row>
    <row r="10" spans="1:20" x14ac:dyDescent="0.25">
      <c r="A10" s="10" t="s">
        <v>28</v>
      </c>
      <c r="B10" s="10">
        <v>53</v>
      </c>
      <c r="D10" s="10" t="s">
        <v>29</v>
      </c>
      <c r="E10" s="10">
        <v>38</v>
      </c>
      <c r="G10" s="10" t="s">
        <v>29</v>
      </c>
      <c r="H10" s="10">
        <v>5</v>
      </c>
      <c r="J10" s="10" t="s">
        <v>29</v>
      </c>
      <c r="K10" s="10">
        <v>1</v>
      </c>
      <c r="M10" s="10" t="s">
        <v>29</v>
      </c>
      <c r="N10" s="10">
        <f>2-N21</f>
        <v>1</v>
      </c>
      <c r="P10" s="10" t="s">
        <v>29</v>
      </c>
      <c r="Q10" s="10">
        <v>6</v>
      </c>
      <c r="S10" s="10" t="s">
        <v>29</v>
      </c>
      <c r="T10" s="10">
        <v>2</v>
      </c>
    </row>
    <row r="11" spans="1:20" x14ac:dyDescent="0.25">
      <c r="A11" s="10" t="s">
        <v>30</v>
      </c>
      <c r="B11" s="72">
        <v>6</v>
      </c>
      <c r="D11" s="10" t="s">
        <v>30</v>
      </c>
      <c r="E11" s="82">
        <v>0</v>
      </c>
      <c r="G11" s="10" t="s">
        <v>30</v>
      </c>
      <c r="H11" s="10">
        <v>6</v>
      </c>
      <c r="J11" s="10" t="s">
        <v>30</v>
      </c>
      <c r="K11" s="10">
        <v>0</v>
      </c>
      <c r="M11" s="10" t="s">
        <v>30</v>
      </c>
      <c r="N11" s="10">
        <v>0</v>
      </c>
      <c r="P11" s="10" t="s">
        <v>30</v>
      </c>
      <c r="Q11" s="10">
        <v>0</v>
      </c>
      <c r="S11" s="10" t="s">
        <v>30</v>
      </c>
      <c r="T11" s="10">
        <v>0</v>
      </c>
    </row>
    <row r="12" spans="1:20" x14ac:dyDescent="0.25">
      <c r="A12" s="106" t="s">
        <v>125</v>
      </c>
      <c r="B12" s="107">
        <f>E12+H12+K12+N12+Q12+T12</f>
        <v>59</v>
      </c>
      <c r="D12" s="106" t="s">
        <v>125</v>
      </c>
      <c r="E12" s="107">
        <f>E10+E11</f>
        <v>38</v>
      </c>
      <c r="G12" s="106" t="s">
        <v>125</v>
      </c>
      <c r="H12" s="107">
        <f>H10+H11</f>
        <v>11</v>
      </c>
      <c r="J12" s="106" t="s">
        <v>125</v>
      </c>
      <c r="K12" s="107">
        <f>K10+K11</f>
        <v>1</v>
      </c>
      <c r="M12" s="106" t="s">
        <v>125</v>
      </c>
      <c r="N12" s="107">
        <f>N10+N11</f>
        <v>1</v>
      </c>
      <c r="P12" s="106" t="s">
        <v>125</v>
      </c>
      <c r="Q12" s="107">
        <f>Q10+Q11</f>
        <v>6</v>
      </c>
      <c r="S12" s="106" t="s">
        <v>125</v>
      </c>
      <c r="T12" s="107">
        <f>T10+T11</f>
        <v>2</v>
      </c>
    </row>
    <row r="15" spans="1:20" x14ac:dyDescent="0.25">
      <c r="A15" s="69" t="s">
        <v>66</v>
      </c>
      <c r="B15" s="93">
        <f>E15+H15+K15+N15+Q15+T15</f>
        <v>8</v>
      </c>
      <c r="D15" s="69" t="s">
        <v>67</v>
      </c>
      <c r="E15" s="93">
        <v>5</v>
      </c>
      <c r="G15" s="69" t="s">
        <v>68</v>
      </c>
      <c r="H15" s="93">
        <v>2</v>
      </c>
      <c r="J15" s="92" t="s">
        <v>129</v>
      </c>
      <c r="K15" s="93">
        <v>0</v>
      </c>
      <c r="M15" s="69" t="s">
        <v>70</v>
      </c>
      <c r="N15" s="93">
        <v>0</v>
      </c>
      <c r="P15" s="92" t="s">
        <v>130</v>
      </c>
      <c r="Q15" s="93">
        <v>1</v>
      </c>
      <c r="S15" s="69" t="s">
        <v>69</v>
      </c>
      <c r="T15" s="97">
        <v>0</v>
      </c>
    </row>
    <row r="16" spans="1:20" x14ac:dyDescent="0.25">
      <c r="A16" s="10" t="s">
        <v>5</v>
      </c>
      <c r="B16" s="94">
        <f>B15/B12*100</f>
        <v>13.559322033898304</v>
      </c>
      <c r="D16" s="10" t="s">
        <v>5</v>
      </c>
      <c r="E16" s="94">
        <f>E15/E12*100</f>
        <v>13.157894736842104</v>
      </c>
      <c r="G16" s="10" t="s">
        <v>5</v>
      </c>
      <c r="H16" s="94">
        <f>H15/H12*100</f>
        <v>18.181818181818183</v>
      </c>
      <c r="J16" s="10" t="s">
        <v>5</v>
      </c>
      <c r="K16" s="95">
        <f>K15/K12*100</f>
        <v>0</v>
      </c>
      <c r="M16" s="10" t="s">
        <v>5</v>
      </c>
      <c r="N16" s="96">
        <f>N15/N12*100</f>
        <v>0</v>
      </c>
      <c r="P16" s="10" t="s">
        <v>5</v>
      </c>
      <c r="Q16" s="95">
        <f>Q15/Q12*100</f>
        <v>16.666666666666664</v>
      </c>
      <c r="S16" s="10" t="s">
        <v>5</v>
      </c>
      <c r="T16" s="95">
        <f>T15/T12*100</f>
        <v>0</v>
      </c>
    </row>
    <row r="17" spans="1:20" x14ac:dyDescent="0.25">
      <c r="A17" s="31"/>
      <c r="B17" s="66"/>
      <c r="D17" s="31"/>
      <c r="E17" s="66"/>
      <c r="F17" s="67"/>
      <c r="G17" s="44"/>
      <c r="H17" s="66"/>
      <c r="I17" s="67"/>
      <c r="J17" s="44"/>
      <c r="K17" s="68"/>
      <c r="L17" s="67"/>
      <c r="M17" s="31"/>
      <c r="N17" s="65"/>
    </row>
    <row r="18" spans="1:20" x14ac:dyDescent="0.25">
      <c r="E18" s="67"/>
      <c r="F18" s="67"/>
      <c r="G18" s="67"/>
      <c r="H18" s="67"/>
      <c r="I18" s="67"/>
      <c r="J18" s="67"/>
      <c r="K18" s="67"/>
      <c r="L18" s="67"/>
      <c r="M18" s="19"/>
    </row>
    <row r="19" spans="1:20" x14ac:dyDescent="0.25">
      <c r="A19" s="353" t="s">
        <v>71</v>
      </c>
      <c r="B19" s="352"/>
      <c r="D19" s="353" t="s">
        <v>61</v>
      </c>
      <c r="E19" s="352"/>
      <c r="G19" s="353" t="s">
        <v>62</v>
      </c>
      <c r="H19" s="352"/>
      <c r="J19" s="353" t="s">
        <v>92</v>
      </c>
      <c r="K19" s="352"/>
      <c r="M19" s="349" t="s">
        <v>64</v>
      </c>
      <c r="N19" s="350"/>
      <c r="P19" s="349" t="s">
        <v>90</v>
      </c>
      <c r="Q19" s="350"/>
      <c r="S19" s="353" t="s">
        <v>91</v>
      </c>
      <c r="T19" s="352"/>
    </row>
    <row r="20" spans="1:20" x14ac:dyDescent="0.25">
      <c r="A20" s="61" t="s">
        <v>29</v>
      </c>
      <c r="B20" s="62">
        <v>40</v>
      </c>
      <c r="D20" s="60" t="s">
        <v>29</v>
      </c>
      <c r="E20" s="60">
        <v>28</v>
      </c>
      <c r="G20" s="60" t="s">
        <v>29</v>
      </c>
      <c r="H20" s="60">
        <v>5</v>
      </c>
      <c r="J20" s="60" t="s">
        <v>29</v>
      </c>
      <c r="K20" s="60">
        <v>1</v>
      </c>
      <c r="M20" s="60" t="s">
        <v>29</v>
      </c>
      <c r="N20" s="60">
        <v>1</v>
      </c>
      <c r="P20" s="60" t="s">
        <v>29</v>
      </c>
      <c r="Q20" s="60">
        <v>4</v>
      </c>
      <c r="S20" s="60" t="s">
        <v>29</v>
      </c>
      <c r="T20" s="60">
        <v>1</v>
      </c>
    </row>
    <row r="21" spans="1:20" x14ac:dyDescent="0.25">
      <c r="A21" s="106" t="s">
        <v>125</v>
      </c>
      <c r="B21" s="109">
        <f>E21+H21+K21+N21+Q21+T21</f>
        <v>40</v>
      </c>
      <c r="D21" s="106" t="s">
        <v>125</v>
      </c>
      <c r="E21" s="60">
        <f>E20</f>
        <v>28</v>
      </c>
      <c r="G21" s="106" t="s">
        <v>125</v>
      </c>
      <c r="H21" s="108">
        <f>H20</f>
        <v>5</v>
      </c>
      <c r="J21" s="106" t="s">
        <v>125</v>
      </c>
      <c r="K21" s="108">
        <f>K20</f>
        <v>1</v>
      </c>
      <c r="M21" s="106" t="s">
        <v>125</v>
      </c>
      <c r="N21" s="108">
        <f>N20</f>
        <v>1</v>
      </c>
      <c r="P21" s="106" t="s">
        <v>125</v>
      </c>
      <c r="Q21" s="108">
        <f>Q20</f>
        <v>4</v>
      </c>
      <c r="S21" s="106" t="s">
        <v>125</v>
      </c>
      <c r="T21" s="108">
        <f>T20</f>
        <v>1</v>
      </c>
    </row>
    <row r="22" spans="1:20" x14ac:dyDescent="0.25">
      <c r="A22" s="44"/>
      <c r="B22" s="44"/>
    </row>
    <row r="23" spans="1:20" x14ac:dyDescent="0.25">
      <c r="A23" s="69" t="s">
        <v>72</v>
      </c>
      <c r="B23" s="93">
        <v>5</v>
      </c>
      <c r="D23" s="69" t="s">
        <v>73</v>
      </c>
      <c r="E23" s="93">
        <v>3</v>
      </c>
      <c r="G23" s="69" t="s">
        <v>74</v>
      </c>
      <c r="H23" s="98">
        <v>2</v>
      </c>
      <c r="J23" s="69" t="s">
        <v>75</v>
      </c>
      <c r="K23" s="98">
        <v>0</v>
      </c>
      <c r="M23" s="69" t="s">
        <v>76</v>
      </c>
      <c r="N23" s="98">
        <v>0</v>
      </c>
      <c r="P23" s="69" t="s">
        <v>76</v>
      </c>
      <c r="Q23" s="97">
        <v>0</v>
      </c>
      <c r="S23" s="69" t="s">
        <v>76</v>
      </c>
      <c r="T23" s="97">
        <v>0</v>
      </c>
    </row>
    <row r="24" spans="1:20" x14ac:dyDescent="0.25">
      <c r="A24" s="107" t="s">
        <v>5</v>
      </c>
      <c r="B24" s="96">
        <f>B23/B21*100</f>
        <v>12.5</v>
      </c>
      <c r="D24" s="10" t="s">
        <v>5</v>
      </c>
      <c r="E24" s="105">
        <f>E23/E21*100</f>
        <v>10.714285714285714</v>
      </c>
      <c r="F24" s="12"/>
      <c r="G24" s="10" t="s">
        <v>5</v>
      </c>
      <c r="H24" s="96">
        <f>H23/H21*100</f>
        <v>40</v>
      </c>
      <c r="J24" s="10" t="s">
        <v>5</v>
      </c>
      <c r="K24" s="96">
        <f>K23/K21*100</f>
        <v>0</v>
      </c>
      <c r="M24" s="10" t="s">
        <v>5</v>
      </c>
      <c r="N24" s="96">
        <f>N23/N21*100</f>
        <v>0</v>
      </c>
      <c r="P24" s="10" t="s">
        <v>5</v>
      </c>
      <c r="Q24" s="95">
        <f>Q23/Q21*100</f>
        <v>0</v>
      </c>
      <c r="S24" s="10" t="s">
        <v>5</v>
      </c>
      <c r="T24" s="95">
        <f>T23/T21*100</f>
        <v>0</v>
      </c>
    </row>
    <row r="25" spans="1:20" x14ac:dyDescent="0.25">
      <c r="A25" s="44"/>
      <c r="B25" s="70"/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20" x14ac:dyDescent="0.25">
      <c r="A26" s="60" t="s">
        <v>126</v>
      </c>
      <c r="B26" s="60">
        <f>B12+B21</f>
        <v>99</v>
      </c>
      <c r="C26" s="67"/>
      <c r="D26" s="44"/>
      <c r="E26" s="70"/>
      <c r="F26" s="71"/>
      <c r="G26" s="31"/>
      <c r="H26" s="65"/>
      <c r="J26" s="31"/>
      <c r="K26" s="65"/>
      <c r="M26" s="31"/>
      <c r="N26" s="65"/>
    </row>
    <row r="27" spans="1:20" x14ac:dyDescent="0.25">
      <c r="A27" s="60" t="s">
        <v>44</v>
      </c>
      <c r="B27" s="99">
        <f>B15+B23</f>
        <v>13</v>
      </c>
      <c r="C27" s="67"/>
      <c r="D27" s="44"/>
      <c r="E27" s="70"/>
      <c r="F27" s="71"/>
      <c r="G27" s="31"/>
      <c r="H27" s="65"/>
      <c r="J27" s="31"/>
      <c r="K27" s="65"/>
      <c r="M27" s="31"/>
      <c r="N27" s="65"/>
    </row>
    <row r="28" spans="1:20" x14ac:dyDescent="0.25">
      <c r="A28" s="46" t="s">
        <v>83</v>
      </c>
      <c r="B28" s="101">
        <f>B27/B26*100</f>
        <v>13.131313131313133</v>
      </c>
      <c r="C28" s="67"/>
      <c r="D28" s="44"/>
      <c r="E28" s="70"/>
      <c r="F28" s="71"/>
      <c r="G28" s="31"/>
      <c r="H28" s="65"/>
      <c r="J28" s="31"/>
      <c r="K28" s="65"/>
      <c r="M28" s="31"/>
      <c r="N28" s="65"/>
    </row>
    <row r="29" spans="1:20" x14ac:dyDescent="0.25">
      <c r="K29" s="67"/>
      <c r="M29" s="19"/>
    </row>
    <row r="30" spans="1:20" x14ac:dyDescent="0.25">
      <c r="A30" s="349" t="s">
        <v>122</v>
      </c>
      <c r="B30" s="350"/>
      <c r="D30" s="372" t="s">
        <v>104</v>
      </c>
      <c r="E30" s="372"/>
      <c r="G30" s="349" t="s">
        <v>105</v>
      </c>
      <c r="H30" s="350"/>
      <c r="J30" s="349" t="s">
        <v>106</v>
      </c>
      <c r="K30" s="350"/>
      <c r="M30" s="349" t="s">
        <v>36</v>
      </c>
      <c r="N30" s="350"/>
      <c r="P30" s="349" t="s">
        <v>93</v>
      </c>
      <c r="Q30" s="350"/>
      <c r="S30" s="349" t="s">
        <v>94</v>
      </c>
      <c r="T30" s="350"/>
    </row>
    <row r="31" spans="1:20" x14ac:dyDescent="0.25">
      <c r="A31" s="10" t="s">
        <v>28</v>
      </c>
      <c r="B31" s="10">
        <v>195</v>
      </c>
      <c r="D31" s="10" t="s">
        <v>28</v>
      </c>
      <c r="E31" s="10">
        <v>137</v>
      </c>
      <c r="G31" s="10" t="s">
        <v>28</v>
      </c>
      <c r="H31" s="10">
        <v>12</v>
      </c>
      <c r="J31" s="10" t="s">
        <v>28</v>
      </c>
      <c r="K31" s="10">
        <v>5</v>
      </c>
      <c r="M31" s="10" t="s">
        <v>28</v>
      </c>
      <c r="N31" s="10">
        <v>8</v>
      </c>
      <c r="P31" s="10" t="s">
        <v>28</v>
      </c>
      <c r="Q31" s="10">
        <v>21</v>
      </c>
      <c r="S31" s="10" t="s">
        <v>28</v>
      </c>
      <c r="T31" s="10">
        <v>12</v>
      </c>
    </row>
    <row r="32" spans="1:20" x14ac:dyDescent="0.25">
      <c r="A32" s="10" t="s">
        <v>30</v>
      </c>
      <c r="B32" s="10">
        <v>16</v>
      </c>
      <c r="D32" s="10" t="s">
        <v>30</v>
      </c>
      <c r="E32" s="10">
        <v>1</v>
      </c>
      <c r="G32" s="10" t="s">
        <v>30</v>
      </c>
      <c r="H32" s="10">
        <v>15</v>
      </c>
      <c r="J32" s="10" t="s">
        <v>30</v>
      </c>
      <c r="K32" s="10">
        <v>0</v>
      </c>
      <c r="M32" s="10" t="s">
        <v>30</v>
      </c>
      <c r="N32" s="10">
        <v>0</v>
      </c>
      <c r="P32" s="10" t="s">
        <v>30</v>
      </c>
      <c r="Q32" s="10">
        <v>0</v>
      </c>
      <c r="S32" s="10" t="s">
        <v>30</v>
      </c>
      <c r="T32" s="10">
        <v>0</v>
      </c>
    </row>
    <row r="33" spans="1:20" x14ac:dyDescent="0.25">
      <c r="A33" s="106" t="s">
        <v>125</v>
      </c>
      <c r="B33" s="107">
        <f>E33+H33+K33+N33+Q33+T33</f>
        <v>211</v>
      </c>
      <c r="D33" s="106" t="s">
        <v>125</v>
      </c>
      <c r="E33" s="107">
        <f>E31+E32</f>
        <v>138</v>
      </c>
      <c r="G33" s="106" t="s">
        <v>125</v>
      </c>
      <c r="H33" s="107">
        <f>H31+H32</f>
        <v>27</v>
      </c>
      <c r="J33" s="106" t="s">
        <v>125</v>
      </c>
      <c r="K33" s="107">
        <f>K31+K32</f>
        <v>5</v>
      </c>
      <c r="M33" s="106" t="s">
        <v>125</v>
      </c>
      <c r="N33" s="107">
        <f>N31+N32</f>
        <v>8</v>
      </c>
      <c r="P33" s="106" t="s">
        <v>125</v>
      </c>
      <c r="Q33" s="107">
        <f>Q31+Q32</f>
        <v>21</v>
      </c>
      <c r="S33" s="106" t="s">
        <v>125</v>
      </c>
      <c r="T33" s="107">
        <f>T31+T32</f>
        <v>12</v>
      </c>
    </row>
    <row r="34" spans="1:20" x14ac:dyDescent="0.25">
      <c r="F34" s="12"/>
    </row>
    <row r="35" spans="1:20" x14ac:dyDescent="0.25">
      <c r="A35" s="10" t="s">
        <v>4</v>
      </c>
      <c r="B35" s="100">
        <v>25</v>
      </c>
      <c r="D35" s="10" t="s">
        <v>4</v>
      </c>
      <c r="E35" s="102">
        <v>20</v>
      </c>
      <c r="G35" s="10" t="s">
        <v>4</v>
      </c>
      <c r="H35" s="100">
        <v>2</v>
      </c>
      <c r="J35" s="10" t="s">
        <v>4</v>
      </c>
      <c r="K35" s="97">
        <v>0</v>
      </c>
      <c r="M35" s="10" t="s">
        <v>4</v>
      </c>
      <c r="N35" s="93">
        <v>1</v>
      </c>
      <c r="P35" s="10" t="s">
        <v>4</v>
      </c>
      <c r="Q35" s="93">
        <v>1</v>
      </c>
      <c r="S35" s="10" t="s">
        <v>4</v>
      </c>
      <c r="T35" s="93">
        <v>1</v>
      </c>
    </row>
    <row r="36" spans="1:20" x14ac:dyDescent="0.25">
      <c r="A36" s="10" t="s">
        <v>5</v>
      </c>
      <c r="B36" s="101">
        <f>B35/B33*100</f>
        <v>11.848341232227488</v>
      </c>
      <c r="D36" s="10" t="s">
        <v>5</v>
      </c>
      <c r="E36" s="101">
        <f>E35/E33*100</f>
        <v>14.492753623188406</v>
      </c>
      <c r="G36" s="10" t="s">
        <v>5</v>
      </c>
      <c r="H36" s="101">
        <f>H35/H33*100</f>
        <v>7.4074074074074066</v>
      </c>
      <c r="J36" s="10" t="s">
        <v>5</v>
      </c>
      <c r="K36" s="101">
        <f>K35/K33*100%</f>
        <v>0</v>
      </c>
      <c r="M36" s="10" t="s">
        <v>5</v>
      </c>
      <c r="N36" s="101">
        <f>N35/N33*100</f>
        <v>12.5</v>
      </c>
      <c r="P36" s="10" t="s">
        <v>5</v>
      </c>
      <c r="Q36" s="101">
        <f>Q35/Q33*100</f>
        <v>4.7619047619047619</v>
      </c>
      <c r="S36" s="10" t="s">
        <v>5</v>
      </c>
      <c r="T36" s="103">
        <f>T35/T33</f>
        <v>8.3333333333333329E-2</v>
      </c>
    </row>
    <row r="37" spans="1:20" ht="15" customHeight="1" x14ac:dyDescent="0.25">
      <c r="N37" s="31"/>
    </row>
    <row r="38" spans="1:20" x14ac:dyDescent="0.25">
      <c r="A38" s="349" t="s">
        <v>77</v>
      </c>
      <c r="B38" s="350"/>
      <c r="D38" s="372" t="s">
        <v>48</v>
      </c>
      <c r="E38" s="372"/>
      <c r="G38" s="349" t="s">
        <v>49</v>
      </c>
      <c r="H38" s="350"/>
      <c r="J38" s="349" t="s">
        <v>108</v>
      </c>
      <c r="K38" s="350"/>
      <c r="M38" s="349" t="s">
        <v>51</v>
      </c>
      <c r="N38" s="350"/>
      <c r="P38" s="349" t="s">
        <v>98</v>
      </c>
      <c r="Q38" s="350"/>
      <c r="S38" s="349" t="s">
        <v>97</v>
      </c>
      <c r="T38" s="350"/>
    </row>
    <row r="39" spans="1:20" x14ac:dyDescent="0.25">
      <c r="A39" s="10" t="s">
        <v>28</v>
      </c>
      <c r="B39" s="10">
        <v>32</v>
      </c>
      <c r="D39" s="10" t="s">
        <v>28</v>
      </c>
      <c r="E39" s="10">
        <v>21</v>
      </c>
      <c r="G39" s="10" t="s">
        <v>28</v>
      </c>
      <c r="H39" s="10">
        <v>4</v>
      </c>
      <c r="J39" s="10" t="s">
        <v>28</v>
      </c>
      <c r="K39" s="10">
        <v>1</v>
      </c>
      <c r="M39" s="10" t="s">
        <v>28</v>
      </c>
      <c r="N39" s="10">
        <v>0</v>
      </c>
      <c r="P39" s="10" t="s">
        <v>28</v>
      </c>
      <c r="Q39" s="10">
        <v>4</v>
      </c>
      <c r="S39" s="10" t="s">
        <v>28</v>
      </c>
      <c r="T39" s="10">
        <v>2</v>
      </c>
    </row>
    <row r="40" spans="1:20" x14ac:dyDescent="0.25">
      <c r="F40" s="12"/>
    </row>
    <row r="41" spans="1:20" x14ac:dyDescent="0.25">
      <c r="A41" s="69" t="s">
        <v>78</v>
      </c>
      <c r="B41" s="104">
        <v>3</v>
      </c>
      <c r="D41" s="69" t="s">
        <v>79</v>
      </c>
      <c r="E41" s="93">
        <v>3</v>
      </c>
      <c r="G41" s="69" t="s">
        <v>80</v>
      </c>
      <c r="H41" s="93">
        <v>0</v>
      </c>
      <c r="J41" s="91" t="s">
        <v>107</v>
      </c>
      <c r="K41" s="97">
        <v>0</v>
      </c>
      <c r="M41" s="69" t="s">
        <v>82</v>
      </c>
      <c r="N41" s="97">
        <v>0</v>
      </c>
      <c r="P41" s="91" t="s">
        <v>110</v>
      </c>
      <c r="Q41" s="97">
        <v>0</v>
      </c>
      <c r="S41" s="91" t="s">
        <v>109</v>
      </c>
      <c r="T41" s="97">
        <v>0</v>
      </c>
    </row>
    <row r="42" spans="1:20" ht="15" customHeight="1" x14ac:dyDescent="0.25">
      <c r="A42" s="10" t="s">
        <v>5</v>
      </c>
      <c r="B42" s="105">
        <f>B41/B39*100</f>
        <v>9.375</v>
      </c>
      <c r="D42" s="10" t="s">
        <v>5</v>
      </c>
      <c r="E42" s="105">
        <f>E41/E39*100</f>
        <v>14.285714285714285</v>
      </c>
      <c r="G42" s="10" t="s">
        <v>5</v>
      </c>
      <c r="H42" s="101">
        <f>H41/H39*100</f>
        <v>0</v>
      </c>
      <c r="J42" s="10" t="s">
        <v>5</v>
      </c>
      <c r="K42" s="101">
        <f>K41/K39*100</f>
        <v>0</v>
      </c>
      <c r="M42" s="10" t="s">
        <v>5</v>
      </c>
      <c r="N42" s="101" t="e">
        <f>N41/N39*100</f>
        <v>#DIV/0!</v>
      </c>
      <c r="P42" s="10" t="s">
        <v>5</v>
      </c>
      <c r="Q42" s="101">
        <f>Q41/Q39*100</f>
        <v>0</v>
      </c>
      <c r="S42" s="10" t="s">
        <v>5</v>
      </c>
      <c r="T42" s="101">
        <f>T41/T39*100</f>
        <v>0</v>
      </c>
    </row>
    <row r="44" spans="1:20" x14ac:dyDescent="0.25">
      <c r="A44" s="349" t="s">
        <v>116</v>
      </c>
      <c r="B44" s="350"/>
      <c r="D44" s="372" t="s">
        <v>117</v>
      </c>
      <c r="E44" s="372"/>
      <c r="G44" s="349" t="s">
        <v>118</v>
      </c>
      <c r="H44" s="350"/>
      <c r="J44" s="349" t="s">
        <v>119</v>
      </c>
      <c r="K44" s="350"/>
      <c r="M44" s="349" t="s">
        <v>120</v>
      </c>
      <c r="N44" s="350"/>
      <c r="P44" s="349" t="s">
        <v>127</v>
      </c>
      <c r="Q44" s="350"/>
      <c r="S44" s="349" t="s">
        <v>128</v>
      </c>
      <c r="T44" s="350"/>
    </row>
    <row r="45" spans="1:20" x14ac:dyDescent="0.25">
      <c r="A45" s="10" t="s">
        <v>28</v>
      </c>
      <c r="B45" s="10">
        <v>55</v>
      </c>
      <c r="D45" s="10" t="s">
        <v>28</v>
      </c>
      <c r="E45" s="10">
        <v>32</v>
      </c>
      <c r="G45" s="10" t="s">
        <v>28</v>
      </c>
      <c r="H45" s="10">
        <v>11</v>
      </c>
      <c r="J45" s="10" t="s">
        <v>28</v>
      </c>
      <c r="K45" s="10">
        <v>2</v>
      </c>
      <c r="M45" s="10" t="s">
        <v>28</v>
      </c>
      <c r="N45" s="10">
        <v>1</v>
      </c>
      <c r="P45" s="10" t="s">
        <v>28</v>
      </c>
      <c r="Q45" s="10">
        <v>6</v>
      </c>
      <c r="S45" s="10" t="s">
        <v>28</v>
      </c>
      <c r="T45" s="10">
        <v>3</v>
      </c>
    </row>
    <row r="46" spans="1:20" x14ac:dyDescent="0.25">
      <c r="A46" s="31"/>
      <c r="B46" s="31"/>
      <c r="D46" s="31"/>
      <c r="E46" s="31"/>
      <c r="G46" s="31"/>
      <c r="H46" s="31"/>
      <c r="J46" s="31"/>
      <c r="K46" s="31"/>
      <c r="M46" s="31"/>
      <c r="N46" s="31"/>
      <c r="P46" s="31"/>
      <c r="Q46" s="31"/>
      <c r="S46" s="31"/>
      <c r="T46" s="31"/>
    </row>
    <row r="47" spans="1:20" x14ac:dyDescent="0.25">
      <c r="A47" s="92" t="s">
        <v>121</v>
      </c>
      <c r="B47" s="93">
        <v>2</v>
      </c>
      <c r="D47" s="69" t="s">
        <v>79</v>
      </c>
      <c r="E47" s="93">
        <v>2</v>
      </c>
      <c r="G47" s="69" t="s">
        <v>80</v>
      </c>
      <c r="H47" s="93">
        <v>0</v>
      </c>
      <c r="J47" s="91" t="s">
        <v>107</v>
      </c>
      <c r="K47" s="97">
        <v>0</v>
      </c>
      <c r="M47" s="69" t="s">
        <v>82</v>
      </c>
      <c r="N47" s="97">
        <v>0</v>
      </c>
      <c r="P47" s="91" t="s">
        <v>110</v>
      </c>
      <c r="Q47" s="97">
        <v>0</v>
      </c>
      <c r="S47" s="91" t="s">
        <v>109</v>
      </c>
      <c r="T47" s="97">
        <v>0</v>
      </c>
    </row>
    <row r="48" spans="1:20" ht="15" customHeight="1" x14ac:dyDescent="0.25">
      <c r="A48" s="10" t="s">
        <v>5</v>
      </c>
      <c r="B48" s="105">
        <f>B47/B45*100</f>
        <v>3.6363636363636362</v>
      </c>
      <c r="D48" s="10" t="s">
        <v>5</v>
      </c>
      <c r="E48" s="105">
        <f>E47/E45*100</f>
        <v>6.25</v>
      </c>
      <c r="G48" s="10" t="s">
        <v>5</v>
      </c>
      <c r="H48" s="101">
        <f>H47/H45*100</f>
        <v>0</v>
      </c>
      <c r="J48" s="10" t="s">
        <v>5</v>
      </c>
      <c r="K48" s="101">
        <f>K47/K45*100</f>
        <v>0</v>
      </c>
      <c r="M48" s="10" t="s">
        <v>5</v>
      </c>
      <c r="N48" s="101">
        <f>N47/N45*100</f>
        <v>0</v>
      </c>
      <c r="P48" s="10" t="s">
        <v>5</v>
      </c>
      <c r="Q48" s="101">
        <f>Q47/Q45*100</f>
        <v>0</v>
      </c>
      <c r="S48" s="10" t="s">
        <v>5</v>
      </c>
      <c r="T48" s="101">
        <f>T47/T45*100</f>
        <v>0</v>
      </c>
    </row>
    <row r="49" spans="1:17" ht="15" customHeight="1" x14ac:dyDescent="0.25">
      <c r="Q49" s="67"/>
    </row>
    <row r="50" spans="1:17" ht="15" customHeight="1" x14ac:dyDescent="0.25">
      <c r="A50" s="60" t="s">
        <v>124</v>
      </c>
      <c r="B50" s="60">
        <f>B39+B45</f>
        <v>87</v>
      </c>
      <c r="D50" s="60" t="s">
        <v>123</v>
      </c>
      <c r="E50" s="60">
        <f>B50+B33</f>
        <v>298</v>
      </c>
    </row>
    <row r="51" spans="1:17" ht="15" customHeight="1" x14ac:dyDescent="0.25">
      <c r="A51" s="60" t="s">
        <v>44</v>
      </c>
      <c r="B51" s="99">
        <f>B41+B47</f>
        <v>5</v>
      </c>
      <c r="D51" s="60" t="s">
        <v>44</v>
      </c>
      <c r="E51" s="99">
        <f>B35+B41+B47</f>
        <v>30</v>
      </c>
      <c r="G51">
        <f>E35+E41+E47</f>
        <v>25</v>
      </c>
    </row>
    <row r="52" spans="1:17" ht="15" customHeight="1" x14ac:dyDescent="0.25">
      <c r="A52" s="46" t="s">
        <v>132</v>
      </c>
      <c r="B52" s="105">
        <f>B51/B50*100</f>
        <v>5.7471264367816088</v>
      </c>
      <c r="D52" s="110" t="s">
        <v>11</v>
      </c>
      <c r="E52" s="105">
        <f>E51/E50*100</f>
        <v>10.067114093959731</v>
      </c>
    </row>
    <row r="55" spans="1:17" ht="15" customHeight="1" x14ac:dyDescent="0.25">
      <c r="A55" s="381" t="s">
        <v>131</v>
      </c>
      <c r="B55" s="382"/>
    </row>
    <row r="56" spans="1:17" ht="15" customHeight="1" x14ac:dyDescent="0.25">
      <c r="A56" s="383">
        <v>1</v>
      </c>
      <c r="B56" s="383"/>
    </row>
    <row r="57" spans="1:17" ht="15" customHeight="1" x14ac:dyDescent="0.25">
      <c r="A57" s="44"/>
      <c r="B57" s="44"/>
    </row>
    <row r="58" spans="1:17" ht="15" customHeight="1" x14ac:dyDescent="0.25">
      <c r="A58" s="44"/>
      <c r="B58" s="45"/>
      <c r="D58" s="30"/>
      <c r="E58" s="30"/>
    </row>
    <row r="59" spans="1:17" ht="15" customHeight="1" x14ac:dyDescent="0.25">
      <c r="A59" s="43"/>
      <c r="B59" s="43"/>
    </row>
    <row r="60" spans="1:17" ht="15" customHeight="1" x14ac:dyDescent="0.25">
      <c r="A60" s="43"/>
      <c r="B60" s="43"/>
      <c r="F60" s="361"/>
      <c r="G60" s="356"/>
      <c r="H60" s="376"/>
      <c r="I60" s="377"/>
      <c r="J60" s="376"/>
      <c r="K60" s="377"/>
    </row>
    <row r="61" spans="1:17" s="67" customFormat="1" ht="15" customHeight="1" x14ac:dyDescent="0.25">
      <c r="F61" s="380"/>
      <c r="G61" s="380"/>
      <c r="H61" s="379"/>
      <c r="I61" s="379"/>
      <c r="J61" s="379"/>
      <c r="K61" s="379"/>
    </row>
  </sheetData>
  <mergeCells count="45">
    <mergeCell ref="S44:T44"/>
    <mergeCell ref="A44:B44"/>
    <mergeCell ref="D44:E44"/>
    <mergeCell ref="G44:H44"/>
    <mergeCell ref="J44:K44"/>
    <mergeCell ref="M44:N44"/>
    <mergeCell ref="P44:Q44"/>
    <mergeCell ref="A55:B55"/>
    <mergeCell ref="F60:G60"/>
    <mergeCell ref="H60:I60"/>
    <mergeCell ref="J60:K60"/>
    <mergeCell ref="A56:B56"/>
    <mergeCell ref="F61:G61"/>
    <mergeCell ref="H61:I61"/>
    <mergeCell ref="J61:K61"/>
    <mergeCell ref="S30:T30"/>
    <mergeCell ref="A38:B38"/>
    <mergeCell ref="D38:E38"/>
    <mergeCell ref="G38:H38"/>
    <mergeCell ref="J38:K38"/>
    <mergeCell ref="M38:N38"/>
    <mergeCell ref="P38:Q38"/>
    <mergeCell ref="S38:T38"/>
    <mergeCell ref="A30:B30"/>
    <mergeCell ref="D30:E30"/>
    <mergeCell ref="G30:H30"/>
    <mergeCell ref="J30:K30"/>
    <mergeCell ref="M30:N30"/>
    <mergeCell ref="P30:Q30"/>
    <mergeCell ref="M9:N9"/>
    <mergeCell ref="P9:Q9"/>
    <mergeCell ref="S9:T9"/>
    <mergeCell ref="A19:B19"/>
    <mergeCell ref="D19:E19"/>
    <mergeCell ref="G19:H19"/>
    <mergeCell ref="J19:K19"/>
    <mergeCell ref="M19:N19"/>
    <mergeCell ref="P19:Q19"/>
    <mergeCell ref="S19:T19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07C5-19E8-4265-97B5-AC1F20607020}">
  <sheetPr>
    <outlinePr summaryBelow="0" summaryRight="0"/>
  </sheetPr>
  <dimension ref="A1:T55"/>
  <sheetViews>
    <sheetView showGridLines="0" topLeftCell="A7" zoomScaleNormal="100" workbookViewId="0">
      <selection activeCell="J6" sqref="J6"/>
    </sheetView>
  </sheetViews>
  <sheetFormatPr baseColWidth="10" defaultColWidth="14.42578125" defaultRowHeight="15" customHeight="1" x14ac:dyDescent="0.25"/>
  <cols>
    <col min="1" max="1" width="26" customWidth="1"/>
    <col min="2" max="2" width="6.85546875" customWidth="1"/>
    <col min="3" max="3" width="5.140625" customWidth="1"/>
    <col min="4" max="4" width="25.85546875" customWidth="1"/>
    <col min="5" max="5" width="7.42578125" customWidth="1"/>
    <col min="6" max="6" width="5.42578125" customWidth="1"/>
    <col min="7" max="7" width="24.7109375" customWidth="1"/>
    <col min="8" max="8" width="6.5703125" customWidth="1"/>
    <col min="9" max="9" width="4.42578125" customWidth="1"/>
    <col min="10" max="10" width="20.85546875" customWidth="1"/>
    <col min="11" max="11" width="7.28515625" customWidth="1"/>
    <col min="12" max="12" width="5.28515625" customWidth="1"/>
    <col min="13" max="13" width="25" customWidth="1"/>
    <col min="14" max="14" width="8.42578125" customWidth="1"/>
    <col min="15" max="15" width="6" customWidth="1"/>
    <col min="16" max="16" width="21.140625" customWidth="1"/>
    <col min="17" max="17" width="6.85546875" customWidth="1"/>
    <col min="18" max="18" width="5.140625" customWidth="1"/>
    <col min="19" max="19" width="19.5703125" customWidth="1"/>
    <col min="20" max="20" width="6.85546875" customWidth="1"/>
  </cols>
  <sheetData>
    <row r="1" spans="1:20" ht="15" customHeight="1" x14ac:dyDescent="0.5">
      <c r="A1" s="353" t="s">
        <v>18</v>
      </c>
      <c r="B1" s="352"/>
      <c r="C1" s="8"/>
      <c r="D1" s="355"/>
      <c r="E1" s="356"/>
      <c r="F1" s="3"/>
      <c r="G1" s="3"/>
      <c r="H1" s="3"/>
      <c r="I1" s="3"/>
      <c r="J1" s="3"/>
      <c r="K1" s="9"/>
      <c r="L1" s="3"/>
      <c r="M1" s="3"/>
      <c r="N1" s="3"/>
    </row>
    <row r="2" spans="1:20" x14ac:dyDescent="0.25">
      <c r="A2" s="10" t="s">
        <v>29</v>
      </c>
      <c r="B2" s="11">
        <v>496</v>
      </c>
      <c r="D2" s="31"/>
      <c r="E2" s="36"/>
    </row>
    <row r="3" spans="1:20" x14ac:dyDescent="0.25">
      <c r="A3" s="10" t="s">
        <v>30</v>
      </c>
      <c r="B3" s="11">
        <v>26</v>
      </c>
      <c r="D3" s="31"/>
      <c r="E3" s="36"/>
    </row>
    <row r="4" spans="1:20" x14ac:dyDescent="0.25">
      <c r="A4" s="10" t="s">
        <v>3</v>
      </c>
      <c r="B4" s="35">
        <f>B2+B3</f>
        <v>522</v>
      </c>
      <c r="D4" s="31"/>
      <c r="E4" s="36"/>
    </row>
    <row r="5" spans="1:20" x14ac:dyDescent="0.25">
      <c r="B5" s="13"/>
      <c r="D5" s="12"/>
    </row>
    <row r="6" spans="1:20" x14ac:dyDescent="0.25">
      <c r="A6" s="33" t="s">
        <v>42</v>
      </c>
      <c r="B6" s="34">
        <v>51</v>
      </c>
      <c r="C6" s="30"/>
      <c r="D6" s="33" t="s">
        <v>43</v>
      </c>
      <c r="E6" s="14">
        <v>4</v>
      </c>
      <c r="G6" s="10" t="s">
        <v>44</v>
      </c>
      <c r="H6" s="14">
        <f>B6+E6</f>
        <v>55</v>
      </c>
    </row>
    <row r="7" spans="1:20" x14ac:dyDescent="0.25">
      <c r="A7" s="31"/>
      <c r="B7" s="32"/>
      <c r="C7" s="30"/>
      <c r="D7" s="31"/>
      <c r="E7" s="32"/>
      <c r="G7" s="10" t="s">
        <v>5</v>
      </c>
      <c r="H7" s="15">
        <f>H6/B4*100</f>
        <v>10.536398467432949</v>
      </c>
    </row>
    <row r="8" spans="1:20" x14ac:dyDescent="0.25">
      <c r="B8" s="13"/>
    </row>
    <row r="9" spans="1:20" x14ac:dyDescent="0.25">
      <c r="A9" s="353" t="s">
        <v>65</v>
      </c>
      <c r="B9" s="352"/>
      <c r="D9" s="349" t="s">
        <v>24</v>
      </c>
      <c r="E9" s="350"/>
      <c r="G9" s="349" t="s">
        <v>25</v>
      </c>
      <c r="H9" s="350"/>
      <c r="J9" s="349" t="s">
        <v>113</v>
      </c>
      <c r="K9" s="350"/>
      <c r="M9" s="349" t="s">
        <v>27</v>
      </c>
      <c r="N9" s="350"/>
      <c r="P9" s="349" t="s">
        <v>114</v>
      </c>
      <c r="Q9" s="350"/>
      <c r="S9" s="349" t="s">
        <v>115</v>
      </c>
      <c r="T9" s="350"/>
    </row>
    <row r="10" spans="1:20" x14ac:dyDescent="0.25">
      <c r="A10" s="10" t="s">
        <v>28</v>
      </c>
      <c r="B10" s="10">
        <v>58</v>
      </c>
      <c r="D10" s="10" t="s">
        <v>29</v>
      </c>
      <c r="E10" s="10">
        <v>39</v>
      </c>
      <c r="G10" s="10" t="s">
        <v>29</v>
      </c>
      <c r="H10" s="10">
        <v>5</v>
      </c>
      <c r="J10" s="10" t="s">
        <v>29</v>
      </c>
      <c r="K10" s="10">
        <v>1</v>
      </c>
      <c r="M10" s="10" t="s">
        <v>29</v>
      </c>
      <c r="N10" s="10">
        <f>2-N19</f>
        <v>1</v>
      </c>
      <c r="P10" s="10" t="s">
        <v>29</v>
      </c>
      <c r="Q10" s="10">
        <v>8</v>
      </c>
      <c r="S10" s="10" t="s">
        <v>29</v>
      </c>
      <c r="T10" s="10">
        <v>4</v>
      </c>
    </row>
    <row r="11" spans="1:20" x14ac:dyDescent="0.25">
      <c r="A11" s="10" t="s">
        <v>30</v>
      </c>
      <c r="B11" s="72">
        <v>6</v>
      </c>
      <c r="D11" s="10" t="s">
        <v>30</v>
      </c>
      <c r="E11" s="82">
        <v>0</v>
      </c>
      <c r="G11" s="10" t="s">
        <v>30</v>
      </c>
      <c r="H11" s="10">
        <v>6</v>
      </c>
      <c r="J11" s="10" t="s">
        <v>30</v>
      </c>
      <c r="K11" s="10">
        <v>0</v>
      </c>
      <c r="M11" s="10" t="s">
        <v>30</v>
      </c>
      <c r="N11" s="10">
        <v>0</v>
      </c>
      <c r="P11" s="10" t="s">
        <v>30</v>
      </c>
      <c r="Q11" s="10">
        <v>0</v>
      </c>
      <c r="S11" s="10" t="s">
        <v>30</v>
      </c>
      <c r="T11" s="10">
        <v>0</v>
      </c>
    </row>
    <row r="12" spans="1:20" ht="16.5" customHeight="1" x14ac:dyDescent="0.25">
      <c r="A12" s="113" t="s">
        <v>125</v>
      </c>
      <c r="B12" s="114">
        <f>E12+H12+K12+N12+Q12+T12</f>
        <v>64</v>
      </c>
      <c r="D12" s="113" t="s">
        <v>125</v>
      </c>
      <c r="E12" s="114">
        <f>E10+E11</f>
        <v>39</v>
      </c>
      <c r="G12" s="113" t="s">
        <v>125</v>
      </c>
      <c r="H12" s="114">
        <f>H10+H11</f>
        <v>11</v>
      </c>
      <c r="J12" s="113" t="s">
        <v>125</v>
      </c>
      <c r="K12" s="114">
        <f>K10+K11</f>
        <v>1</v>
      </c>
      <c r="M12" s="113" t="s">
        <v>125</v>
      </c>
      <c r="N12" s="114">
        <f>N10+N11</f>
        <v>1</v>
      </c>
      <c r="P12" s="113" t="s">
        <v>125</v>
      </c>
      <c r="Q12" s="114">
        <f>Q10+Q11</f>
        <v>8</v>
      </c>
      <c r="S12" s="113" t="s">
        <v>125</v>
      </c>
      <c r="T12" s="114">
        <f>T10+T11</f>
        <v>4</v>
      </c>
    </row>
    <row r="13" spans="1:20" x14ac:dyDescent="0.25">
      <c r="A13" s="69" t="s">
        <v>66</v>
      </c>
      <c r="B13" s="48">
        <f>E13+H13+K13+N13+Q13+T13</f>
        <v>10</v>
      </c>
      <c r="D13" s="112" t="s">
        <v>136</v>
      </c>
      <c r="E13" s="48">
        <v>3</v>
      </c>
      <c r="G13" s="112" t="s">
        <v>136</v>
      </c>
      <c r="H13" s="48">
        <v>3</v>
      </c>
      <c r="J13" s="112" t="s">
        <v>4</v>
      </c>
      <c r="K13" s="48">
        <v>0</v>
      </c>
      <c r="M13" s="112" t="s">
        <v>136</v>
      </c>
      <c r="N13" s="48">
        <v>0</v>
      </c>
      <c r="P13" s="112" t="s">
        <v>136</v>
      </c>
      <c r="Q13" s="48">
        <v>4</v>
      </c>
      <c r="S13" s="112" t="s">
        <v>4</v>
      </c>
      <c r="T13" s="27">
        <v>0</v>
      </c>
    </row>
    <row r="14" spans="1:20" x14ac:dyDescent="0.25">
      <c r="A14" s="10" t="s">
        <v>5</v>
      </c>
      <c r="B14" s="94">
        <f>B13/B12*100</f>
        <v>15.625</v>
      </c>
      <c r="D14" s="10" t="s">
        <v>5</v>
      </c>
      <c r="E14" s="94">
        <f>E13/E12*100</f>
        <v>7.6923076923076925</v>
      </c>
      <c r="G14" s="10" t="s">
        <v>5</v>
      </c>
      <c r="H14" s="94">
        <f>H13/H12*100</f>
        <v>27.27272727272727</v>
      </c>
      <c r="J14" s="10" t="s">
        <v>5</v>
      </c>
      <c r="K14" s="95">
        <f>K13/K12*100</f>
        <v>0</v>
      </c>
      <c r="M14" s="10" t="s">
        <v>5</v>
      </c>
      <c r="N14" s="96">
        <f>N13/N12*100</f>
        <v>0</v>
      </c>
      <c r="P14" s="10" t="s">
        <v>5</v>
      </c>
      <c r="Q14" s="95">
        <f>Q13/Q12*100</f>
        <v>50</v>
      </c>
      <c r="S14" s="10" t="s">
        <v>5</v>
      </c>
      <c r="T14" s="95">
        <f>T13/T12*100</f>
        <v>0</v>
      </c>
    </row>
    <row r="15" spans="1:20" x14ac:dyDescent="0.25">
      <c r="A15" s="31"/>
      <c r="B15" s="66"/>
      <c r="D15" s="31"/>
      <c r="E15" s="66"/>
      <c r="F15" s="67"/>
      <c r="G15" s="44"/>
      <c r="H15" s="66"/>
      <c r="I15" s="67"/>
      <c r="J15" s="44"/>
      <c r="K15" s="68"/>
      <c r="L15" s="67"/>
      <c r="M15" s="31"/>
      <c r="N15" s="65"/>
    </row>
    <row r="16" spans="1:20" x14ac:dyDescent="0.25">
      <c r="E16" s="67"/>
      <c r="F16" s="67"/>
      <c r="G16" s="67"/>
      <c r="H16" s="67"/>
      <c r="I16" s="67"/>
      <c r="J16" s="67"/>
      <c r="K16" s="67"/>
      <c r="L16" s="67"/>
      <c r="M16" s="19"/>
    </row>
    <row r="17" spans="1:20" x14ac:dyDescent="0.25">
      <c r="A17" s="353" t="s">
        <v>71</v>
      </c>
      <c r="B17" s="352"/>
      <c r="D17" s="353" t="s">
        <v>61</v>
      </c>
      <c r="E17" s="352"/>
      <c r="G17" s="353" t="s">
        <v>62</v>
      </c>
      <c r="H17" s="352"/>
      <c r="J17" s="353" t="s">
        <v>92</v>
      </c>
      <c r="K17" s="352"/>
      <c r="M17" s="349" t="s">
        <v>64</v>
      </c>
      <c r="N17" s="350"/>
      <c r="P17" s="349" t="s">
        <v>90</v>
      </c>
      <c r="Q17" s="350"/>
      <c r="S17" s="353" t="s">
        <v>91</v>
      </c>
      <c r="T17" s="352"/>
    </row>
    <row r="18" spans="1:20" x14ac:dyDescent="0.25">
      <c r="A18" s="61" t="s">
        <v>29</v>
      </c>
      <c r="B18" s="62">
        <v>40</v>
      </c>
      <c r="D18" s="60" t="s">
        <v>29</v>
      </c>
      <c r="E18" s="60">
        <v>28</v>
      </c>
      <c r="G18" s="60" t="s">
        <v>29</v>
      </c>
      <c r="H18" s="60">
        <v>4</v>
      </c>
      <c r="J18" s="60" t="s">
        <v>29</v>
      </c>
      <c r="K18" s="60">
        <v>1</v>
      </c>
      <c r="M18" s="60" t="s">
        <v>29</v>
      </c>
      <c r="N18" s="60">
        <v>1</v>
      </c>
      <c r="P18" s="60" t="s">
        <v>29</v>
      </c>
      <c r="Q18" s="60">
        <v>4</v>
      </c>
      <c r="S18" s="60" t="s">
        <v>29</v>
      </c>
      <c r="T18" s="60">
        <v>2</v>
      </c>
    </row>
    <row r="19" spans="1:20" x14ac:dyDescent="0.25">
      <c r="A19" s="113" t="s">
        <v>125</v>
      </c>
      <c r="B19" s="115">
        <f>E19+H19+K19+N19+Q19+T19</f>
        <v>40</v>
      </c>
      <c r="D19" s="113" t="s">
        <v>125</v>
      </c>
      <c r="E19" s="116">
        <f>E18</f>
        <v>28</v>
      </c>
      <c r="G19" s="113" t="s">
        <v>125</v>
      </c>
      <c r="H19" s="116">
        <f>H18</f>
        <v>4</v>
      </c>
      <c r="J19" s="113" t="s">
        <v>125</v>
      </c>
      <c r="K19" s="116">
        <f>K18</f>
        <v>1</v>
      </c>
      <c r="M19" s="113" t="s">
        <v>125</v>
      </c>
      <c r="N19" s="116">
        <f>N18</f>
        <v>1</v>
      </c>
      <c r="P19" s="113" t="s">
        <v>125</v>
      </c>
      <c r="Q19" s="116">
        <f>Q18</f>
        <v>4</v>
      </c>
      <c r="S19" s="113" t="s">
        <v>125</v>
      </c>
      <c r="T19" s="116">
        <f>T18</f>
        <v>2</v>
      </c>
    </row>
    <row r="20" spans="1:20" x14ac:dyDescent="0.25">
      <c r="A20" s="69" t="s">
        <v>72</v>
      </c>
      <c r="B20" s="48">
        <v>4</v>
      </c>
      <c r="D20" s="69" t="s">
        <v>73</v>
      </c>
      <c r="E20" s="48">
        <v>3</v>
      </c>
      <c r="G20" s="69" t="s">
        <v>74</v>
      </c>
      <c r="H20" s="114">
        <v>0</v>
      </c>
      <c r="J20" s="69" t="s">
        <v>75</v>
      </c>
      <c r="K20" s="114">
        <v>0</v>
      </c>
      <c r="M20" s="69" t="s">
        <v>76</v>
      </c>
      <c r="N20" s="114">
        <v>0</v>
      </c>
      <c r="P20" s="69" t="s">
        <v>76</v>
      </c>
      <c r="Q20" s="27">
        <v>0</v>
      </c>
      <c r="S20" s="111" t="s">
        <v>133</v>
      </c>
      <c r="T20" s="27">
        <v>1</v>
      </c>
    </row>
    <row r="21" spans="1:20" x14ac:dyDescent="0.25">
      <c r="A21" s="107" t="s">
        <v>5</v>
      </c>
      <c r="B21" s="96">
        <f>B20/B19*100</f>
        <v>10</v>
      </c>
      <c r="D21" s="10" t="s">
        <v>5</v>
      </c>
      <c r="E21" s="105">
        <f>E20/E19*100</f>
        <v>10.714285714285714</v>
      </c>
      <c r="F21" s="12"/>
      <c r="G21" s="10" t="s">
        <v>5</v>
      </c>
      <c r="H21" s="96">
        <f>H20/H19*100</f>
        <v>0</v>
      </c>
      <c r="J21" s="10" t="s">
        <v>5</v>
      </c>
      <c r="K21" s="96">
        <f>K20/K19*100</f>
        <v>0</v>
      </c>
      <c r="M21" s="10" t="s">
        <v>5</v>
      </c>
      <c r="N21" s="96">
        <f>N20/N19*100</f>
        <v>0</v>
      </c>
      <c r="P21" s="10" t="s">
        <v>5</v>
      </c>
      <c r="Q21" s="95">
        <f>Q20/Q19*100</f>
        <v>0</v>
      </c>
      <c r="S21" s="10" t="s">
        <v>5</v>
      </c>
      <c r="T21" s="95">
        <f>T20/T19*100</f>
        <v>50</v>
      </c>
    </row>
    <row r="22" spans="1:20" x14ac:dyDescent="0.25">
      <c r="A22" s="44"/>
      <c r="B22" s="70"/>
      <c r="C22" s="67"/>
      <c r="D22" s="44"/>
      <c r="E22" s="70"/>
      <c r="F22" s="71"/>
      <c r="G22" s="31"/>
      <c r="H22" s="65"/>
      <c r="J22" s="31"/>
      <c r="K22" s="65"/>
      <c r="M22" s="31"/>
      <c r="N22" s="65"/>
    </row>
    <row r="23" spans="1:20" x14ac:dyDescent="0.25">
      <c r="A23" s="60" t="s">
        <v>126</v>
      </c>
      <c r="B23" s="60">
        <f>B12+B19</f>
        <v>104</v>
      </c>
      <c r="C23" s="67"/>
      <c r="D23" s="44"/>
      <c r="E23" s="70"/>
      <c r="F23" s="71"/>
      <c r="G23" s="31"/>
      <c r="H23" s="65"/>
      <c r="J23" s="31"/>
      <c r="K23" s="65"/>
      <c r="M23" s="31"/>
      <c r="N23" s="65"/>
    </row>
    <row r="24" spans="1:20" x14ac:dyDescent="0.25">
      <c r="A24" s="60" t="s">
        <v>44</v>
      </c>
      <c r="B24" s="116">
        <f>B13+B20</f>
        <v>14</v>
      </c>
      <c r="C24" s="67"/>
      <c r="D24" s="44"/>
      <c r="E24" s="70"/>
      <c r="F24" s="71"/>
      <c r="G24" s="31"/>
      <c r="H24" s="65"/>
      <c r="J24" s="31"/>
      <c r="K24" s="65"/>
      <c r="M24" s="31"/>
      <c r="N24" s="65"/>
    </row>
    <row r="25" spans="1:20" x14ac:dyDescent="0.25">
      <c r="A25" s="46" t="s">
        <v>83</v>
      </c>
      <c r="B25" s="101">
        <f>B24/B23*100</f>
        <v>13.461538461538462</v>
      </c>
      <c r="C25" s="67"/>
      <c r="D25" s="44"/>
      <c r="E25" s="70"/>
      <c r="F25" s="71"/>
      <c r="G25" s="31"/>
      <c r="H25" s="65"/>
      <c r="J25" s="31"/>
      <c r="K25" s="65"/>
      <c r="M25" s="31"/>
      <c r="N25" s="65"/>
    </row>
    <row r="26" spans="1:20" x14ac:dyDescent="0.25">
      <c r="K26" s="67"/>
      <c r="M26" s="19"/>
    </row>
    <row r="27" spans="1:20" x14ac:dyDescent="0.25">
      <c r="A27" s="349" t="s">
        <v>122</v>
      </c>
      <c r="B27" s="350"/>
      <c r="D27" s="372" t="s">
        <v>104</v>
      </c>
      <c r="E27" s="372"/>
      <c r="G27" s="349" t="s">
        <v>105</v>
      </c>
      <c r="H27" s="350"/>
      <c r="J27" s="349" t="s">
        <v>106</v>
      </c>
      <c r="K27" s="350"/>
      <c r="M27" s="349" t="s">
        <v>36</v>
      </c>
      <c r="N27" s="350"/>
      <c r="P27" s="349" t="s">
        <v>93</v>
      </c>
      <c r="Q27" s="350"/>
      <c r="S27" s="349" t="s">
        <v>94</v>
      </c>
      <c r="T27" s="350"/>
    </row>
    <row r="28" spans="1:20" x14ac:dyDescent="0.25">
      <c r="A28" s="10" t="s">
        <v>28</v>
      </c>
      <c r="B28" s="10">
        <v>200</v>
      </c>
      <c r="D28" s="10" t="s">
        <v>28</v>
      </c>
      <c r="E28" s="10">
        <v>138</v>
      </c>
      <c r="G28" s="10" t="s">
        <v>28</v>
      </c>
      <c r="H28" s="10">
        <v>14</v>
      </c>
      <c r="J28" s="10" t="s">
        <v>28</v>
      </c>
      <c r="K28" s="10">
        <v>6</v>
      </c>
      <c r="M28" s="10" t="s">
        <v>28</v>
      </c>
      <c r="N28" s="10">
        <v>7</v>
      </c>
      <c r="P28" s="10" t="s">
        <v>28</v>
      </c>
      <c r="Q28" s="10">
        <v>22</v>
      </c>
      <c r="S28" s="10" t="s">
        <v>28</v>
      </c>
      <c r="T28" s="10">
        <v>13</v>
      </c>
    </row>
    <row r="29" spans="1:20" x14ac:dyDescent="0.25">
      <c r="A29" s="10" t="s">
        <v>30</v>
      </c>
      <c r="B29" s="10">
        <v>18</v>
      </c>
      <c r="D29" s="10" t="s">
        <v>30</v>
      </c>
      <c r="E29" s="10">
        <v>2</v>
      </c>
      <c r="G29" s="10" t="s">
        <v>30</v>
      </c>
      <c r="H29" s="10">
        <v>16</v>
      </c>
      <c r="J29" s="10" t="s">
        <v>30</v>
      </c>
      <c r="K29" s="10">
        <v>0</v>
      </c>
      <c r="M29" s="10" t="s">
        <v>30</v>
      </c>
      <c r="N29" s="10">
        <v>0</v>
      </c>
      <c r="P29" s="10" t="s">
        <v>30</v>
      </c>
      <c r="Q29" s="10">
        <v>0</v>
      </c>
      <c r="S29" s="10" t="s">
        <v>30</v>
      </c>
      <c r="T29" s="10">
        <v>0</v>
      </c>
    </row>
    <row r="30" spans="1:20" x14ac:dyDescent="0.25">
      <c r="A30" s="117" t="s">
        <v>125</v>
      </c>
      <c r="B30" s="118">
        <f>E30+H30+K30+N30+Q30+T30</f>
        <v>218</v>
      </c>
      <c r="D30" s="117" t="s">
        <v>125</v>
      </c>
      <c r="E30" s="118">
        <f>E28+E29</f>
        <v>140</v>
      </c>
      <c r="G30" s="117" t="s">
        <v>125</v>
      </c>
      <c r="H30" s="118">
        <f>H28+H29</f>
        <v>30</v>
      </c>
      <c r="J30" s="117" t="s">
        <v>125</v>
      </c>
      <c r="K30" s="118">
        <f>K28+K29</f>
        <v>6</v>
      </c>
      <c r="M30" s="117" t="s">
        <v>125</v>
      </c>
      <c r="N30" s="118">
        <f>N28+N29</f>
        <v>7</v>
      </c>
      <c r="P30" s="117" t="s">
        <v>125</v>
      </c>
      <c r="Q30" s="118">
        <f>Q28+Q29</f>
        <v>22</v>
      </c>
      <c r="S30" s="117" t="s">
        <v>125</v>
      </c>
      <c r="T30" s="118">
        <f>T28+T29</f>
        <v>13</v>
      </c>
    </row>
    <row r="31" spans="1:20" x14ac:dyDescent="0.25">
      <c r="A31" s="10" t="s">
        <v>4</v>
      </c>
      <c r="B31" s="121">
        <v>36</v>
      </c>
      <c r="D31" s="10" t="s">
        <v>4</v>
      </c>
      <c r="E31" s="122">
        <v>22</v>
      </c>
      <c r="G31" s="10" t="s">
        <v>4</v>
      </c>
      <c r="H31" s="121">
        <v>2</v>
      </c>
      <c r="J31" s="10" t="s">
        <v>4</v>
      </c>
      <c r="K31" s="120">
        <v>1</v>
      </c>
      <c r="M31" s="10" t="s">
        <v>4</v>
      </c>
      <c r="N31" s="119">
        <v>0</v>
      </c>
      <c r="P31" s="10" t="s">
        <v>4</v>
      </c>
      <c r="Q31" s="119">
        <v>5</v>
      </c>
      <c r="S31" s="10" t="s">
        <v>4</v>
      </c>
      <c r="T31" s="119">
        <v>3</v>
      </c>
    </row>
    <row r="32" spans="1:20" x14ac:dyDescent="0.25">
      <c r="A32" s="10" t="s">
        <v>5</v>
      </c>
      <c r="B32" s="101">
        <f>B31/B30*100</f>
        <v>16.513761467889911</v>
      </c>
      <c r="D32" s="10" t="s">
        <v>5</v>
      </c>
      <c r="E32" s="101">
        <f>E31/E30*100</f>
        <v>15.714285714285714</v>
      </c>
      <c r="G32" s="10" t="s">
        <v>5</v>
      </c>
      <c r="H32" s="101">
        <f>H31/H30*100</f>
        <v>6.666666666666667</v>
      </c>
      <c r="J32" s="10" t="s">
        <v>5</v>
      </c>
      <c r="K32" s="101">
        <f>K31/K30*100%</f>
        <v>0.16666666666666666</v>
      </c>
      <c r="M32" s="10" t="s">
        <v>5</v>
      </c>
      <c r="N32" s="101">
        <f>N31/N30*100</f>
        <v>0</v>
      </c>
      <c r="P32" s="10" t="s">
        <v>5</v>
      </c>
      <c r="Q32" s="101">
        <f>Q31/Q30*100</f>
        <v>22.727272727272727</v>
      </c>
      <c r="S32" s="10" t="s">
        <v>5</v>
      </c>
      <c r="T32" s="103">
        <f>T31/T30</f>
        <v>0.23076923076923078</v>
      </c>
    </row>
    <row r="33" spans="1:20" ht="15" customHeight="1" x14ac:dyDescent="0.25">
      <c r="N33" s="31"/>
    </row>
    <row r="34" spans="1:20" x14ac:dyDescent="0.25">
      <c r="A34" s="349" t="s">
        <v>77</v>
      </c>
      <c r="B34" s="350"/>
      <c r="D34" s="372" t="s">
        <v>48</v>
      </c>
      <c r="E34" s="372"/>
      <c r="F34" s="67"/>
      <c r="G34" s="349" t="s">
        <v>49</v>
      </c>
      <c r="H34" s="350"/>
      <c r="J34" s="349" t="s">
        <v>108</v>
      </c>
      <c r="K34" s="350"/>
      <c r="M34" s="349" t="s">
        <v>51</v>
      </c>
      <c r="N34" s="350"/>
      <c r="P34" s="349" t="s">
        <v>98</v>
      </c>
      <c r="Q34" s="350"/>
      <c r="S34" s="349" t="s">
        <v>97</v>
      </c>
      <c r="T34" s="350"/>
    </row>
    <row r="35" spans="1:20" x14ac:dyDescent="0.25">
      <c r="A35" s="118" t="s">
        <v>28</v>
      </c>
      <c r="B35" s="118">
        <v>30</v>
      </c>
      <c r="D35" s="118" t="s">
        <v>28</v>
      </c>
      <c r="E35" s="118">
        <v>18</v>
      </c>
      <c r="G35" s="118" t="s">
        <v>28</v>
      </c>
      <c r="H35" s="118">
        <v>5</v>
      </c>
      <c r="J35" s="118" t="s">
        <v>28</v>
      </c>
      <c r="K35" s="118">
        <v>1</v>
      </c>
      <c r="M35" s="118" t="s">
        <v>28</v>
      </c>
      <c r="N35" s="118">
        <v>0</v>
      </c>
      <c r="P35" s="118" t="s">
        <v>28</v>
      </c>
      <c r="Q35" s="118">
        <v>4</v>
      </c>
      <c r="S35" s="118" t="s">
        <v>28</v>
      </c>
      <c r="T35" s="118">
        <v>2</v>
      </c>
    </row>
    <row r="36" spans="1:20" x14ac:dyDescent="0.25">
      <c r="A36" s="69" t="s">
        <v>78</v>
      </c>
      <c r="B36" s="123">
        <v>1</v>
      </c>
      <c r="D36" s="112" t="s">
        <v>136</v>
      </c>
      <c r="E36" s="119">
        <v>1</v>
      </c>
      <c r="G36" s="112" t="s">
        <v>4</v>
      </c>
      <c r="H36" s="119">
        <v>0</v>
      </c>
      <c r="J36" s="112" t="s">
        <v>4</v>
      </c>
      <c r="K36" s="120">
        <v>0</v>
      </c>
      <c r="M36" s="112" t="s">
        <v>4</v>
      </c>
      <c r="N36" s="120">
        <v>0</v>
      </c>
      <c r="P36" s="112" t="s">
        <v>4</v>
      </c>
      <c r="Q36" s="120">
        <v>0</v>
      </c>
      <c r="S36" s="112" t="s">
        <v>4</v>
      </c>
      <c r="T36" s="120">
        <v>0</v>
      </c>
    </row>
    <row r="37" spans="1:20" ht="15" customHeight="1" x14ac:dyDescent="0.25">
      <c r="A37" s="10" t="s">
        <v>5</v>
      </c>
      <c r="B37" s="105">
        <f>B36/B35*100</f>
        <v>3.3333333333333335</v>
      </c>
      <c r="D37" s="10" t="s">
        <v>5</v>
      </c>
      <c r="E37" s="105">
        <f>E36/E35*100</f>
        <v>5.5555555555555554</v>
      </c>
      <c r="G37" s="10" t="s">
        <v>5</v>
      </c>
      <c r="H37" s="101">
        <f>H36/H35*100</f>
        <v>0</v>
      </c>
      <c r="J37" s="10" t="s">
        <v>5</v>
      </c>
      <c r="K37" s="101">
        <f>K36/K35*100</f>
        <v>0</v>
      </c>
      <c r="M37" s="10" t="s">
        <v>5</v>
      </c>
      <c r="N37" s="101" t="e">
        <f>N36/N35*100</f>
        <v>#DIV/0!</v>
      </c>
      <c r="P37" s="10" t="s">
        <v>5</v>
      </c>
      <c r="Q37" s="101">
        <f>Q36/Q35*100</f>
        <v>0</v>
      </c>
      <c r="S37" s="10" t="s">
        <v>5</v>
      </c>
      <c r="T37" s="101">
        <f>T36/T35*100</f>
        <v>0</v>
      </c>
    </row>
    <row r="39" spans="1:20" x14ac:dyDescent="0.25">
      <c r="A39" s="349" t="s">
        <v>116</v>
      </c>
      <c r="B39" s="350"/>
      <c r="D39" s="372" t="s">
        <v>117</v>
      </c>
      <c r="E39" s="372"/>
      <c r="G39" s="349" t="s">
        <v>118</v>
      </c>
      <c r="H39" s="350"/>
      <c r="J39" s="349" t="s">
        <v>119</v>
      </c>
      <c r="K39" s="350"/>
      <c r="M39" s="349" t="s">
        <v>120</v>
      </c>
      <c r="N39" s="350"/>
      <c r="P39" s="349" t="s">
        <v>127</v>
      </c>
      <c r="Q39" s="350"/>
      <c r="S39" s="349" t="s">
        <v>128</v>
      </c>
      <c r="T39" s="350"/>
    </row>
    <row r="40" spans="1:20" x14ac:dyDescent="0.25">
      <c r="A40" s="118" t="s">
        <v>28</v>
      </c>
      <c r="B40" s="118">
        <v>57</v>
      </c>
      <c r="D40" s="118" t="s">
        <v>28</v>
      </c>
      <c r="E40" s="118">
        <v>33</v>
      </c>
      <c r="G40" s="118" t="s">
        <v>28</v>
      </c>
      <c r="H40" s="118">
        <v>11</v>
      </c>
      <c r="J40" s="118" t="s">
        <v>28</v>
      </c>
      <c r="K40" s="118">
        <v>2</v>
      </c>
      <c r="M40" s="118" t="s">
        <v>28</v>
      </c>
      <c r="N40" s="118">
        <v>1</v>
      </c>
      <c r="P40" s="118" t="s">
        <v>28</v>
      </c>
      <c r="Q40" s="118">
        <v>7</v>
      </c>
      <c r="S40" s="118" t="s">
        <v>28</v>
      </c>
      <c r="T40" s="118">
        <v>3</v>
      </c>
    </row>
    <row r="41" spans="1:20" x14ac:dyDescent="0.25">
      <c r="A41" s="92" t="s">
        <v>121</v>
      </c>
      <c r="B41" s="119">
        <v>2</v>
      </c>
      <c r="D41" s="112" t="s">
        <v>4</v>
      </c>
      <c r="E41" s="119">
        <v>2</v>
      </c>
      <c r="G41" s="112" t="s">
        <v>4</v>
      </c>
      <c r="H41" s="119">
        <v>0</v>
      </c>
      <c r="J41" s="112" t="s">
        <v>4</v>
      </c>
      <c r="K41" s="120">
        <v>0</v>
      </c>
      <c r="M41" s="112" t="s">
        <v>4</v>
      </c>
      <c r="N41" s="120">
        <v>0</v>
      </c>
      <c r="P41" s="112" t="s">
        <v>4</v>
      </c>
      <c r="Q41" s="120">
        <v>0</v>
      </c>
      <c r="S41" s="112" t="s">
        <v>4</v>
      </c>
      <c r="T41" s="120">
        <v>0</v>
      </c>
    </row>
    <row r="42" spans="1:20" ht="15" customHeight="1" x14ac:dyDescent="0.25">
      <c r="A42" s="10" t="s">
        <v>5</v>
      </c>
      <c r="B42" s="105">
        <f>B41/B40*100</f>
        <v>3.5087719298245612</v>
      </c>
      <c r="D42" s="10" t="s">
        <v>5</v>
      </c>
      <c r="E42" s="105">
        <f>E41/E40*100</f>
        <v>6.0606060606060606</v>
      </c>
      <c r="G42" s="10" t="s">
        <v>5</v>
      </c>
      <c r="H42" s="101">
        <f>H41/H40*100</f>
        <v>0</v>
      </c>
      <c r="J42" s="10" t="s">
        <v>5</v>
      </c>
      <c r="K42" s="101">
        <f>K41/K40*100</f>
        <v>0</v>
      </c>
      <c r="M42" s="10" t="s">
        <v>5</v>
      </c>
      <c r="N42" s="101">
        <f>N41/N40*100</f>
        <v>0</v>
      </c>
      <c r="P42" s="10" t="s">
        <v>5</v>
      </c>
      <c r="Q42" s="101">
        <f>Q41/Q40*100</f>
        <v>0</v>
      </c>
      <c r="S42" s="10" t="s">
        <v>5</v>
      </c>
      <c r="T42" s="101">
        <f>T41/T40*100</f>
        <v>0</v>
      </c>
    </row>
    <row r="43" spans="1:20" ht="15" customHeight="1" x14ac:dyDescent="0.25">
      <c r="Q43" s="67"/>
    </row>
    <row r="44" spans="1:20" ht="15" customHeight="1" x14ac:dyDescent="0.25">
      <c r="A44" s="60" t="s">
        <v>124</v>
      </c>
      <c r="B44" s="60">
        <f>B35+B40</f>
        <v>87</v>
      </c>
      <c r="D44" s="60" t="s">
        <v>123</v>
      </c>
      <c r="E44" s="60">
        <f>B44+B30</f>
        <v>305</v>
      </c>
    </row>
    <row r="45" spans="1:20" ht="15" customHeight="1" x14ac:dyDescent="0.25">
      <c r="A45" s="60" t="s">
        <v>44</v>
      </c>
      <c r="B45" s="124">
        <f>B36+B41</f>
        <v>3</v>
      </c>
      <c r="D45" s="60" t="s">
        <v>44</v>
      </c>
      <c r="E45" s="124">
        <f>B31+B36+B41</f>
        <v>39</v>
      </c>
      <c r="G45" s="67"/>
      <c r="I45" s="67"/>
    </row>
    <row r="46" spans="1:20" ht="15" customHeight="1" x14ac:dyDescent="0.25">
      <c r="A46" s="46" t="s">
        <v>132</v>
      </c>
      <c r="B46" s="105">
        <f>B45/B44*100</f>
        <v>3.4482758620689653</v>
      </c>
      <c r="D46" s="110" t="s">
        <v>11</v>
      </c>
      <c r="E46" s="105">
        <f>E45/E44*100</f>
        <v>12.786885245901638</v>
      </c>
    </row>
    <row r="49" spans="1:11" ht="15" customHeight="1" x14ac:dyDescent="0.25">
      <c r="A49" s="381" t="s">
        <v>134</v>
      </c>
      <c r="B49" s="382"/>
      <c r="C49" s="381" t="s">
        <v>135</v>
      </c>
      <c r="D49" s="382"/>
    </row>
    <row r="50" spans="1:11" ht="15" customHeight="1" x14ac:dyDescent="0.25">
      <c r="A50" s="383">
        <v>1</v>
      </c>
      <c r="B50" s="383"/>
      <c r="C50" s="383">
        <v>1</v>
      </c>
      <c r="D50" s="383"/>
    </row>
    <row r="51" spans="1:11" ht="15" customHeight="1" x14ac:dyDescent="0.25">
      <c r="A51" s="44"/>
      <c r="B51" s="44"/>
    </row>
    <row r="52" spans="1:11" ht="15" customHeight="1" x14ac:dyDescent="0.25">
      <c r="A52" s="44"/>
      <c r="B52" s="45"/>
      <c r="D52" s="30"/>
      <c r="E52" s="30"/>
    </row>
    <row r="53" spans="1:11" ht="15" customHeight="1" x14ac:dyDescent="0.25">
      <c r="A53" s="43"/>
      <c r="B53" s="43"/>
    </row>
    <row r="54" spans="1:11" ht="15" customHeight="1" x14ac:dyDescent="0.25">
      <c r="A54" s="43"/>
      <c r="B54" s="43"/>
      <c r="F54" s="361"/>
      <c r="G54" s="356"/>
      <c r="H54" s="376"/>
      <c r="I54" s="377"/>
      <c r="J54" s="376"/>
      <c r="K54" s="377"/>
    </row>
    <row r="55" spans="1:11" s="67" customFormat="1" ht="15" customHeight="1" x14ac:dyDescent="0.25">
      <c r="F55" s="380"/>
      <c r="G55" s="380"/>
      <c r="H55" s="379"/>
      <c r="I55" s="379"/>
      <c r="J55" s="379"/>
      <c r="K55" s="379"/>
    </row>
  </sheetData>
  <mergeCells count="47">
    <mergeCell ref="F55:G55"/>
    <mergeCell ref="H55:I55"/>
    <mergeCell ref="J55:K55"/>
    <mergeCell ref="S39:T39"/>
    <mergeCell ref="A49:B49"/>
    <mergeCell ref="A50:B50"/>
    <mergeCell ref="F54:G54"/>
    <mergeCell ref="H54:I54"/>
    <mergeCell ref="J54:K54"/>
    <mergeCell ref="A39:B39"/>
    <mergeCell ref="D39:E39"/>
    <mergeCell ref="G39:H39"/>
    <mergeCell ref="J39:K39"/>
    <mergeCell ref="M39:N39"/>
    <mergeCell ref="P39:Q39"/>
    <mergeCell ref="C49:D4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C50:D50"/>
    <mergeCell ref="A1:B1"/>
    <mergeCell ref="D1:E1"/>
    <mergeCell ref="A9:B9"/>
    <mergeCell ref="D9:E9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2B6F-886E-4BD3-B492-CE2674927BB3}">
  <sheetPr>
    <outlinePr summaryBelow="0" summaryRight="0"/>
  </sheetPr>
  <dimension ref="A1:T55"/>
  <sheetViews>
    <sheetView showGridLines="0" topLeftCell="E1" zoomScaleNormal="100" workbookViewId="0">
      <selection activeCell="C15" sqref="C15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5.42578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492</v>
      </c>
      <c r="D2" s="130"/>
      <c r="E2" s="131"/>
    </row>
    <row r="3" spans="1:20" x14ac:dyDescent="0.25">
      <c r="A3" s="128" t="s">
        <v>30</v>
      </c>
      <c r="B3" s="129">
        <v>30</v>
      </c>
      <c r="D3" s="130"/>
      <c r="E3" s="131"/>
    </row>
    <row r="4" spans="1:20" x14ac:dyDescent="0.25">
      <c r="A4" s="128" t="s">
        <v>3</v>
      </c>
      <c r="B4" s="132">
        <f>B2+B3</f>
        <v>522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33</v>
      </c>
      <c r="D6" s="134" t="s">
        <v>43</v>
      </c>
      <c r="E6" s="136">
        <v>5</v>
      </c>
      <c r="G6" s="128" t="s">
        <v>44</v>
      </c>
      <c r="H6" s="136">
        <v>38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7.2796934865900385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v>62</v>
      </c>
      <c r="D10" s="128" t="s">
        <v>29</v>
      </c>
      <c r="E10" s="128">
        <v>44</v>
      </c>
      <c r="G10" s="128" t="s">
        <v>29</v>
      </c>
      <c r="H10" s="128">
        <v>3</v>
      </c>
      <c r="J10" s="128" t="s">
        <v>29</v>
      </c>
      <c r="K10" s="128">
        <v>1</v>
      </c>
      <c r="M10" s="128" t="s">
        <v>29</v>
      </c>
      <c r="N10" s="128">
        <f>2-N19</f>
        <v>1</v>
      </c>
      <c r="P10" s="128" t="s">
        <v>29</v>
      </c>
      <c r="Q10" s="128">
        <v>9</v>
      </c>
      <c r="S10" s="128" t="s">
        <v>29</v>
      </c>
      <c r="T10" s="128">
        <v>4</v>
      </c>
    </row>
    <row r="11" spans="1:20" x14ac:dyDescent="0.25">
      <c r="A11" s="128" t="s">
        <v>30</v>
      </c>
      <c r="B11" s="139">
        <v>7</v>
      </c>
      <c r="D11" s="128" t="s">
        <v>30</v>
      </c>
      <c r="E11" s="139">
        <v>0</v>
      </c>
      <c r="G11" s="128" t="s">
        <v>30</v>
      </c>
      <c r="H11" s="128">
        <v>7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E12+H12+K12+N12+Q12+T12</f>
        <v>69</v>
      </c>
      <c r="D12" s="140" t="s">
        <v>125</v>
      </c>
      <c r="E12" s="140">
        <f>E10+E11</f>
        <v>44</v>
      </c>
      <c r="G12" s="140" t="s">
        <v>125</v>
      </c>
      <c r="H12" s="140">
        <f>H10+H11</f>
        <v>10</v>
      </c>
      <c r="J12" s="140" t="s">
        <v>125</v>
      </c>
      <c r="K12" s="140">
        <f>K10+K11</f>
        <v>1</v>
      </c>
      <c r="M12" s="140" t="s">
        <v>125</v>
      </c>
      <c r="N12" s="140">
        <f>N10+N11</f>
        <v>1</v>
      </c>
      <c r="P12" s="140" t="s">
        <v>125</v>
      </c>
      <c r="Q12" s="140">
        <f>Q10+Q11</f>
        <v>9</v>
      </c>
      <c r="S12" s="140" t="s">
        <v>125</v>
      </c>
      <c r="T12" s="140">
        <f>T10+T11</f>
        <v>4</v>
      </c>
    </row>
    <row r="13" spans="1:20" x14ac:dyDescent="0.25">
      <c r="A13" s="128" t="s">
        <v>66</v>
      </c>
      <c r="B13" s="141">
        <f>E13+H13+K13+N13+Q13+T13</f>
        <v>7</v>
      </c>
      <c r="D13" s="128" t="s">
        <v>136</v>
      </c>
      <c r="E13" s="141">
        <v>5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2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10.144927536231885</v>
      </c>
      <c r="D14" s="128" t="s">
        <v>5</v>
      </c>
      <c r="E14" s="143">
        <f>E13/E12*100</f>
        <v>11.363636363636363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22.222222222222221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v>38</v>
      </c>
      <c r="D18" s="154" t="s">
        <v>29</v>
      </c>
      <c r="E18" s="154">
        <v>26</v>
      </c>
      <c r="G18" s="154" t="s">
        <v>29</v>
      </c>
      <c r="H18" s="60">
        <v>5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4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E19+H19+K19+N19+Q19+T19</f>
        <v>38</v>
      </c>
      <c r="D19" s="140" t="s">
        <v>125</v>
      </c>
      <c r="E19" s="156">
        <f>E18</f>
        <v>26</v>
      </c>
      <c r="G19" s="140" t="s">
        <v>125</v>
      </c>
      <c r="H19" s="156">
        <f>H18</f>
        <v>5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4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2.6315789473684208</v>
      </c>
      <c r="D21" s="128" t="s">
        <v>5</v>
      </c>
      <c r="E21" s="158">
        <f>E20/E19*100</f>
        <v>3.8461538461538463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107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8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7.4766355140186906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v>188</v>
      </c>
      <c r="D28" s="128" t="s">
        <v>28</v>
      </c>
      <c r="E28" s="128">
        <v>131</v>
      </c>
      <c r="G28" s="128" t="s">
        <v>28</v>
      </c>
      <c r="H28" s="128">
        <v>13</v>
      </c>
      <c r="J28" s="128" t="s">
        <v>28</v>
      </c>
      <c r="K28" s="128">
        <v>5</v>
      </c>
      <c r="M28" s="128" t="s">
        <v>28</v>
      </c>
      <c r="N28" s="128">
        <v>8</v>
      </c>
      <c r="P28" s="128" t="s">
        <v>28</v>
      </c>
      <c r="Q28" s="128">
        <v>20</v>
      </c>
      <c r="S28" s="128" t="s">
        <v>28</v>
      </c>
      <c r="T28" s="128">
        <v>11</v>
      </c>
    </row>
    <row r="29" spans="1:20" x14ac:dyDescent="0.25">
      <c r="A29" s="128" t="s">
        <v>30</v>
      </c>
      <c r="B29" s="128">
        <v>20</v>
      </c>
      <c r="D29" s="128" t="s">
        <v>30</v>
      </c>
      <c r="E29" s="128">
        <v>2</v>
      </c>
      <c r="G29" s="128" t="s">
        <v>30</v>
      </c>
      <c r="H29" s="128">
        <v>18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208</v>
      </c>
      <c r="D30" s="163" t="s">
        <v>125</v>
      </c>
      <c r="E30" s="163">
        <f>E28+E29</f>
        <v>133</v>
      </c>
      <c r="G30" s="163" t="s">
        <v>125</v>
      </c>
      <c r="H30" s="163">
        <f>H28+H29</f>
        <v>31</v>
      </c>
      <c r="J30" s="163" t="s">
        <v>125</v>
      </c>
      <c r="K30" s="163">
        <f>K28+K29</f>
        <v>5</v>
      </c>
      <c r="M30" s="163" t="s">
        <v>125</v>
      </c>
      <c r="N30" s="163">
        <f>N28+N29</f>
        <v>8</v>
      </c>
      <c r="P30" s="163" t="s">
        <v>125</v>
      </c>
      <c r="Q30" s="163">
        <f>Q28+Q29</f>
        <v>20</v>
      </c>
      <c r="S30" s="163" t="s">
        <v>125</v>
      </c>
      <c r="T30" s="163">
        <f>T28+T29</f>
        <v>11</v>
      </c>
    </row>
    <row r="31" spans="1:20" x14ac:dyDescent="0.25">
      <c r="A31" s="128" t="s">
        <v>4</v>
      </c>
      <c r="B31" s="164">
        <f>E31+H31+K31+N31+Q31+T31</f>
        <v>26</v>
      </c>
      <c r="D31" s="128" t="s">
        <v>4</v>
      </c>
      <c r="E31" s="165">
        <v>15</v>
      </c>
      <c r="G31" s="128" t="s">
        <v>4</v>
      </c>
      <c r="H31" s="164">
        <v>5</v>
      </c>
      <c r="J31" s="128" t="s">
        <v>4</v>
      </c>
      <c r="K31" s="166">
        <v>0</v>
      </c>
      <c r="M31" s="128" t="s">
        <v>4</v>
      </c>
      <c r="N31" s="167">
        <v>3</v>
      </c>
      <c r="P31" s="128" t="s">
        <v>4</v>
      </c>
      <c r="Q31" s="167">
        <v>2</v>
      </c>
      <c r="S31" s="128" t="s">
        <v>4</v>
      </c>
      <c r="T31" s="167">
        <v>1</v>
      </c>
    </row>
    <row r="32" spans="1:20" x14ac:dyDescent="0.25">
      <c r="A32" s="128" t="s">
        <v>5</v>
      </c>
      <c r="B32" s="162">
        <f>B31/B30*100</f>
        <v>12.5</v>
      </c>
      <c r="D32" s="128" t="s">
        <v>5</v>
      </c>
      <c r="E32" s="162">
        <f>E31/E30*100</f>
        <v>11.278195488721805</v>
      </c>
      <c r="G32" s="128" t="s">
        <v>5</v>
      </c>
      <c r="H32" s="162">
        <f>H31/H30*100</f>
        <v>16.129032258064516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37.5</v>
      </c>
      <c r="P32" s="128" t="s">
        <v>5</v>
      </c>
      <c r="Q32" s="162">
        <f>Q31/Q30*100</f>
        <v>10</v>
      </c>
      <c r="S32" s="128" t="s">
        <v>5</v>
      </c>
      <c r="T32" s="168">
        <f>T31/T30</f>
        <v>9.0909090909090912E-2</v>
      </c>
    </row>
    <row r="33" spans="1:20" ht="15" customHeight="1" x14ac:dyDescent="0.25">
      <c r="N33" s="130"/>
    </row>
    <row r="34" spans="1:20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0" x14ac:dyDescent="0.25">
      <c r="A35" s="163" t="s">
        <v>28</v>
      </c>
      <c r="B35" s="163">
        <v>33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2</v>
      </c>
      <c r="M35" s="163" t="s">
        <v>28</v>
      </c>
      <c r="N35" s="163">
        <v>1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0" x14ac:dyDescent="0.25">
      <c r="A36" s="128" t="s">
        <v>78</v>
      </c>
      <c r="B36" s="169">
        <v>1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0" ht="15" customHeight="1" x14ac:dyDescent="0.25">
      <c r="A37" s="128" t="s">
        <v>5</v>
      </c>
      <c r="B37" s="158">
        <f>B36/B35*100</f>
        <v>3.0303030303030303</v>
      </c>
      <c r="D37" s="128" t="s">
        <v>5</v>
      </c>
      <c r="E37" s="158">
        <f>E36/E35*100</f>
        <v>5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0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0" x14ac:dyDescent="0.25">
      <c r="A40" s="163" t="s">
        <v>28</v>
      </c>
      <c r="B40" s="163">
        <v>57</v>
      </c>
      <c r="D40" s="163" t="s">
        <v>28</v>
      </c>
      <c r="E40" s="163">
        <v>34</v>
      </c>
      <c r="G40" s="163" t="s">
        <v>28</v>
      </c>
      <c r="H40" s="163">
        <v>11</v>
      </c>
      <c r="J40" s="163" t="s">
        <v>28</v>
      </c>
      <c r="K40" s="163">
        <v>2</v>
      </c>
      <c r="M40" s="163" t="s">
        <v>28</v>
      </c>
      <c r="N40" s="163">
        <v>0</v>
      </c>
      <c r="P40" s="163" t="s">
        <v>28</v>
      </c>
      <c r="Q40" s="163">
        <v>7</v>
      </c>
      <c r="S40" s="163" t="s">
        <v>28</v>
      </c>
      <c r="T40" s="163">
        <v>3</v>
      </c>
    </row>
    <row r="41" spans="1:20" x14ac:dyDescent="0.25">
      <c r="A41" s="128" t="s">
        <v>121</v>
      </c>
      <c r="B41" s="167">
        <v>1</v>
      </c>
      <c r="D41" s="128" t="s">
        <v>4</v>
      </c>
      <c r="E41" s="167">
        <v>0</v>
      </c>
      <c r="G41" s="128" t="s">
        <v>4</v>
      </c>
      <c r="H41" s="167">
        <v>1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0" ht="15" customHeight="1" x14ac:dyDescent="0.25">
      <c r="A42" s="128" t="s">
        <v>5</v>
      </c>
      <c r="B42" s="158">
        <f>B41/B40*100</f>
        <v>1.7543859649122806</v>
      </c>
      <c r="D42" s="128" t="s">
        <v>5</v>
      </c>
      <c r="E42" s="158">
        <f>E41/E40*100</f>
        <v>0</v>
      </c>
      <c r="G42" s="128" t="s">
        <v>5</v>
      </c>
      <c r="H42" s="162">
        <f>H41/H40*100</f>
        <v>9.0909090909090917</v>
      </c>
      <c r="J42" s="128" t="s">
        <v>5</v>
      </c>
      <c r="K42" s="162">
        <f>K41/K40*100</f>
        <v>0</v>
      </c>
      <c r="M42" s="128" t="s">
        <v>5</v>
      </c>
      <c r="N42" s="162" t="e">
        <f>N41/N40*100</f>
        <v>#DIV/0!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0" ht="15" customHeight="1" x14ac:dyDescent="0.25">
      <c r="Q43" s="147"/>
    </row>
    <row r="44" spans="1:20" ht="15" customHeight="1" x14ac:dyDescent="0.25">
      <c r="A44" s="154" t="s">
        <v>124</v>
      </c>
      <c r="B44" s="154">
        <f>B35+B40</f>
        <v>90</v>
      </c>
      <c r="D44" s="154" t="s">
        <v>123</v>
      </c>
      <c r="E44" s="154">
        <f>B44+B30</f>
        <v>298</v>
      </c>
    </row>
    <row r="45" spans="1:20" ht="15" customHeight="1" x14ac:dyDescent="0.25">
      <c r="A45" s="154" t="s">
        <v>44</v>
      </c>
      <c r="B45" s="170">
        <f>B36+B41</f>
        <v>2</v>
      </c>
      <c r="D45" s="154" t="s">
        <v>44</v>
      </c>
      <c r="E45" s="170">
        <f>B31+B36+B41</f>
        <v>28</v>
      </c>
      <c r="G45" s="147"/>
      <c r="I45" s="147"/>
    </row>
    <row r="46" spans="1:20" ht="15" customHeight="1" x14ac:dyDescent="0.25">
      <c r="A46" s="161" t="s">
        <v>132</v>
      </c>
      <c r="B46" s="158">
        <f>B45/B44*100</f>
        <v>2.2222222222222223</v>
      </c>
      <c r="D46" s="171" t="s">
        <v>11</v>
      </c>
      <c r="E46" s="158">
        <f>E45/E44*100</f>
        <v>9.3959731543624159</v>
      </c>
    </row>
    <row r="49" spans="1:11" ht="15" customHeight="1" x14ac:dyDescent="0.25">
      <c r="A49" s="313" t="s">
        <v>138</v>
      </c>
      <c r="B49" s="314"/>
      <c r="C49" s="313" t="s">
        <v>139</v>
      </c>
      <c r="D49" s="314"/>
    </row>
    <row r="50" spans="1:11" ht="15" customHeight="1" x14ac:dyDescent="0.25">
      <c r="A50" s="387">
        <v>1</v>
      </c>
      <c r="B50" s="387"/>
      <c r="C50" s="387">
        <v>1</v>
      </c>
      <c r="D50" s="387"/>
    </row>
    <row r="51" spans="1:11" ht="15" customHeight="1" x14ac:dyDescent="0.25">
      <c r="A51" s="148"/>
      <c r="B51" s="148"/>
    </row>
    <row r="52" spans="1:11" ht="15" customHeight="1" x14ac:dyDescent="0.25">
      <c r="A52" s="148"/>
      <c r="B52" s="172"/>
    </row>
    <row r="53" spans="1:11" ht="15" customHeight="1" x14ac:dyDescent="0.25">
      <c r="A53" s="147"/>
      <c r="B53" s="147"/>
    </row>
    <row r="54" spans="1:11" ht="15" customHeight="1" x14ac:dyDescent="0.25">
      <c r="A54" s="147"/>
      <c r="B54" s="14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</sheetData>
  <mergeCells count="47">
    <mergeCell ref="F55:G55"/>
    <mergeCell ref="H55:I55"/>
    <mergeCell ref="J55:K55"/>
    <mergeCell ref="S39:T39"/>
    <mergeCell ref="A49:B49"/>
    <mergeCell ref="C49:D49"/>
    <mergeCell ref="A50:B50"/>
    <mergeCell ref="C50:D50"/>
    <mergeCell ref="F54:G54"/>
    <mergeCell ref="H54:I54"/>
    <mergeCell ref="J54:K54"/>
    <mergeCell ref="A39:B39"/>
    <mergeCell ref="D39:E39"/>
    <mergeCell ref="G39:H39"/>
    <mergeCell ref="J39:K39"/>
    <mergeCell ref="M39:N39"/>
    <mergeCell ref="P39:Q3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4D58-E627-4AD8-902F-F88EA005E650}">
  <sheetPr>
    <outlinePr summaryBelow="0" summaryRight="0"/>
  </sheetPr>
  <dimension ref="A1:V55"/>
  <sheetViews>
    <sheetView showGridLines="0" topLeftCell="D5" zoomScale="96" zoomScaleNormal="96" workbookViewId="0">
      <selection activeCell="C52" sqref="C52:D52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9.42578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496</v>
      </c>
      <c r="D2" s="130"/>
      <c r="E2" s="131"/>
    </row>
    <row r="3" spans="1:20" x14ac:dyDescent="0.25">
      <c r="A3" s="128" t="s">
        <v>30</v>
      </c>
      <c r="B3" s="173">
        <v>25</v>
      </c>
      <c r="D3" s="130"/>
      <c r="E3" s="131"/>
    </row>
    <row r="4" spans="1:20" x14ac:dyDescent="0.25">
      <c r="A4" s="128" t="s">
        <v>3</v>
      </c>
      <c r="B4" s="132">
        <f>B2+B3</f>
        <v>521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43</v>
      </c>
      <c r="D6" s="134" t="s">
        <v>43</v>
      </c>
      <c r="E6" s="136">
        <v>3</v>
      </c>
      <c r="G6" s="128" t="s">
        <v>44</v>
      </c>
      <c r="H6" s="136">
        <f>E6+B6</f>
        <v>46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8.8291746641074855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v>61</v>
      </c>
      <c r="D10" s="128" t="s">
        <v>29</v>
      </c>
      <c r="E10" s="128">
        <v>46</v>
      </c>
      <c r="G10" s="128" t="s">
        <v>29</v>
      </c>
      <c r="H10" s="128">
        <v>2</v>
      </c>
      <c r="J10" s="128" t="s">
        <v>29</v>
      </c>
      <c r="K10" s="128">
        <v>1</v>
      </c>
      <c r="M10" s="128" t="s">
        <v>29</v>
      </c>
      <c r="N10" s="128">
        <f>2-N19</f>
        <v>1</v>
      </c>
      <c r="P10" s="128" t="s">
        <v>29</v>
      </c>
      <c r="Q10" s="128">
        <v>7</v>
      </c>
      <c r="S10" s="128" t="s">
        <v>29</v>
      </c>
      <c r="T10" s="128">
        <v>4</v>
      </c>
    </row>
    <row r="11" spans="1:20" x14ac:dyDescent="0.25">
      <c r="A11" s="128" t="s">
        <v>30</v>
      </c>
      <c r="B11" s="174">
        <v>7</v>
      </c>
      <c r="D11" s="128" t="s">
        <v>30</v>
      </c>
      <c r="E11" s="174">
        <v>0</v>
      </c>
      <c r="G11" s="128" t="s">
        <v>30</v>
      </c>
      <c r="H11" s="174">
        <v>7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E12+H12+K12+N12+Q12+T12</f>
        <v>68</v>
      </c>
      <c r="D12" s="140" t="s">
        <v>125</v>
      </c>
      <c r="E12" s="140">
        <f>E10+E11</f>
        <v>46</v>
      </c>
      <c r="G12" s="140" t="s">
        <v>125</v>
      </c>
      <c r="H12" s="140">
        <f>H10+H11</f>
        <v>9</v>
      </c>
      <c r="J12" s="140" t="s">
        <v>125</v>
      </c>
      <c r="K12" s="140">
        <f>K10+K11</f>
        <v>1</v>
      </c>
      <c r="M12" s="140" t="s">
        <v>125</v>
      </c>
      <c r="N12" s="140">
        <f>N10+N11</f>
        <v>1</v>
      </c>
      <c r="P12" s="140" t="s">
        <v>125</v>
      </c>
      <c r="Q12" s="140">
        <f>Q10+Q11</f>
        <v>7</v>
      </c>
      <c r="S12" s="140" t="s">
        <v>125</v>
      </c>
      <c r="T12" s="140">
        <f>T10+T11</f>
        <v>4</v>
      </c>
    </row>
    <row r="13" spans="1:20" x14ac:dyDescent="0.25">
      <c r="A13" s="128" t="s">
        <v>66</v>
      </c>
      <c r="B13" s="141">
        <v>10</v>
      </c>
      <c r="D13" s="128" t="s">
        <v>136</v>
      </c>
      <c r="E13" s="141">
        <v>9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1</v>
      </c>
      <c r="P13" s="128" t="s">
        <v>136</v>
      </c>
      <c r="Q13" s="141">
        <v>0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14.705882352941178</v>
      </c>
      <c r="D14" s="128" t="s">
        <v>5</v>
      </c>
      <c r="E14" s="143">
        <f>E13/E12*100</f>
        <v>19.565217391304348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100</v>
      </c>
      <c r="P14" s="128" t="s">
        <v>5</v>
      </c>
      <c r="Q14" s="144">
        <f>Q13/Q12*100</f>
        <v>0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v>40</v>
      </c>
      <c r="D18" s="154" t="s">
        <v>29</v>
      </c>
      <c r="E18" s="154">
        <v>28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4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v>40</v>
      </c>
      <c r="D19" s="140" t="s">
        <v>125</v>
      </c>
      <c r="E19" s="156">
        <f>E18</f>
        <v>28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4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v>3</v>
      </c>
      <c r="D20" s="128" t="s">
        <v>73</v>
      </c>
      <c r="E20" s="141">
        <v>2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1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7.5</v>
      </c>
      <c r="D21" s="128" t="s">
        <v>5</v>
      </c>
      <c r="E21" s="158">
        <f>E20/E19*100</f>
        <v>7.1428571428571423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25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v>108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13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12.037037037037036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v>184</v>
      </c>
      <c r="D28" s="128" t="s">
        <v>28</v>
      </c>
      <c r="E28" s="128">
        <v>130</v>
      </c>
      <c r="G28" s="128" t="s">
        <v>28</v>
      </c>
      <c r="H28" s="128">
        <v>13</v>
      </c>
      <c r="J28" s="128" t="s">
        <v>28</v>
      </c>
      <c r="K28" s="128">
        <v>6</v>
      </c>
      <c r="M28" s="128" t="s">
        <v>28</v>
      </c>
      <c r="N28" s="128">
        <v>6</v>
      </c>
      <c r="P28" s="128" t="s">
        <v>28</v>
      </c>
      <c r="Q28" s="128">
        <v>19</v>
      </c>
      <c r="S28" s="128" t="s">
        <v>28</v>
      </c>
      <c r="T28" s="128">
        <v>9</v>
      </c>
    </row>
    <row r="29" spans="1:20" x14ac:dyDescent="0.25">
      <c r="A29" s="128" t="s">
        <v>30</v>
      </c>
      <c r="B29" s="174">
        <v>17</v>
      </c>
      <c r="D29" s="128" t="s">
        <v>30</v>
      </c>
      <c r="E29" s="174">
        <v>2</v>
      </c>
      <c r="G29" s="128" t="s">
        <v>30</v>
      </c>
      <c r="H29" s="174">
        <v>15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200</v>
      </c>
      <c r="D30" s="163" t="s">
        <v>125</v>
      </c>
      <c r="E30" s="163">
        <f>E28+E29</f>
        <v>132</v>
      </c>
      <c r="G30" s="163" t="s">
        <v>125</v>
      </c>
      <c r="H30" s="163">
        <f>H28+H29</f>
        <v>28</v>
      </c>
      <c r="J30" s="163" t="s">
        <v>125</v>
      </c>
      <c r="K30" s="163">
        <f>K28+K29</f>
        <v>6</v>
      </c>
      <c r="M30" s="163" t="s">
        <v>125</v>
      </c>
      <c r="N30" s="163">
        <f>N28+N29</f>
        <v>6</v>
      </c>
      <c r="P30" s="163" t="s">
        <v>125</v>
      </c>
      <c r="Q30" s="163">
        <f>Q28+Q29</f>
        <v>19</v>
      </c>
      <c r="S30" s="163" t="s">
        <v>125</v>
      </c>
      <c r="T30" s="163">
        <f>T28+T29</f>
        <v>9</v>
      </c>
    </row>
    <row r="31" spans="1:20" x14ac:dyDescent="0.25">
      <c r="A31" s="128" t="s">
        <v>4</v>
      </c>
      <c r="B31" s="164">
        <v>26</v>
      </c>
      <c r="D31" s="128" t="s">
        <v>4</v>
      </c>
      <c r="E31" s="165">
        <v>17</v>
      </c>
      <c r="G31" s="128" t="s">
        <v>4</v>
      </c>
      <c r="H31" s="164">
        <v>3</v>
      </c>
      <c r="J31" s="128" t="s">
        <v>4</v>
      </c>
      <c r="K31" s="166">
        <v>1</v>
      </c>
      <c r="M31" s="128" t="s">
        <v>4</v>
      </c>
      <c r="N31" s="167">
        <v>2</v>
      </c>
      <c r="P31" s="128" t="s">
        <v>4</v>
      </c>
      <c r="Q31" s="167">
        <v>3</v>
      </c>
      <c r="S31" s="128" t="s">
        <v>4</v>
      </c>
      <c r="T31" s="167">
        <v>0</v>
      </c>
    </row>
    <row r="32" spans="1:20" x14ac:dyDescent="0.25">
      <c r="A32" s="128" t="s">
        <v>5</v>
      </c>
      <c r="B32" s="162">
        <f>B31/B30*100</f>
        <v>13</v>
      </c>
      <c r="D32" s="128" t="s">
        <v>5</v>
      </c>
      <c r="E32" s="162">
        <f>E31/E30*100</f>
        <v>12.878787878787879</v>
      </c>
      <c r="G32" s="128" t="s">
        <v>5</v>
      </c>
      <c r="H32" s="162">
        <f>H31/H30*100</f>
        <v>10.714285714285714</v>
      </c>
      <c r="J32" s="128" t="s">
        <v>5</v>
      </c>
      <c r="K32" s="162">
        <f>K31/K30*100%</f>
        <v>0.16666666666666666</v>
      </c>
      <c r="M32" s="128" t="s">
        <v>5</v>
      </c>
      <c r="N32" s="162">
        <f>N31/N30*100</f>
        <v>33.333333333333329</v>
      </c>
      <c r="P32" s="128" t="s">
        <v>5</v>
      </c>
      <c r="Q32" s="162">
        <f>Q31/Q30*100</f>
        <v>15.789473684210526</v>
      </c>
      <c r="S32" s="128" t="s">
        <v>5</v>
      </c>
      <c r="T32" s="168">
        <f>T31/T30</f>
        <v>0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v>32</v>
      </c>
      <c r="D35" s="163" t="s">
        <v>28</v>
      </c>
      <c r="E35" s="163">
        <v>19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v>60</v>
      </c>
      <c r="D40" s="163" t="s">
        <v>28</v>
      </c>
      <c r="E40" s="163">
        <v>35</v>
      </c>
      <c r="G40" s="163" t="s">
        <v>28</v>
      </c>
      <c r="H40" s="163">
        <v>10</v>
      </c>
      <c r="J40" s="163" t="s">
        <v>28</v>
      </c>
      <c r="K40" s="163">
        <v>2</v>
      </c>
      <c r="M40" s="163" t="s">
        <v>28</v>
      </c>
      <c r="N40" s="163">
        <v>1</v>
      </c>
      <c r="P40" s="163" t="s">
        <v>28</v>
      </c>
      <c r="Q40" s="163">
        <v>8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v>3</v>
      </c>
      <c r="D41" s="128" t="s">
        <v>4</v>
      </c>
      <c r="E41" s="167">
        <v>1</v>
      </c>
      <c r="G41" s="128" t="s">
        <v>4</v>
      </c>
      <c r="H41" s="167">
        <v>1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1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</v>
      </c>
      <c r="D42" s="128" t="s">
        <v>5</v>
      </c>
      <c r="E42" s="158">
        <f>E41/E40*100</f>
        <v>2.8571428571428572</v>
      </c>
      <c r="G42" s="128" t="s">
        <v>5</v>
      </c>
      <c r="H42" s="162">
        <f>H41/H40*100</f>
        <v>10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12.5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92</v>
      </c>
      <c r="D44" s="154" t="s">
        <v>123</v>
      </c>
      <c r="E44" s="154">
        <v>293</v>
      </c>
    </row>
    <row r="45" spans="1:22" ht="15" customHeight="1" x14ac:dyDescent="0.25">
      <c r="A45" s="154" t="s">
        <v>44</v>
      </c>
      <c r="B45" s="170">
        <f>B36+B41</f>
        <v>3</v>
      </c>
      <c r="D45" s="154" t="s">
        <v>44</v>
      </c>
      <c r="E45" s="170">
        <f>B31+B36+B41</f>
        <v>29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3.2608695652173911</v>
      </c>
      <c r="D46" s="171" t="s">
        <v>11</v>
      </c>
      <c r="E46" s="158">
        <f>E45/E44*100</f>
        <v>9.8976109215017072</v>
      </c>
    </row>
    <row r="49" spans="1:11" ht="15" customHeight="1" x14ac:dyDescent="0.25">
      <c r="A49" s="313" t="s">
        <v>140</v>
      </c>
      <c r="B49" s="314"/>
      <c r="C49" s="313" t="s">
        <v>141</v>
      </c>
      <c r="D49" s="314"/>
    </row>
    <row r="50" spans="1:11" ht="15" customHeight="1" x14ac:dyDescent="0.25">
      <c r="A50" s="387">
        <v>1</v>
      </c>
      <c r="B50" s="387"/>
      <c r="C50" s="387">
        <v>1</v>
      </c>
      <c r="D50" s="387"/>
    </row>
    <row r="51" spans="1:11" ht="15" customHeight="1" x14ac:dyDescent="0.25">
      <c r="A51" s="313" t="s">
        <v>142</v>
      </c>
      <c r="B51" s="314"/>
      <c r="C51" s="313" t="s">
        <v>86</v>
      </c>
      <c r="D51" s="314"/>
    </row>
    <row r="52" spans="1:11" ht="15" customHeight="1" x14ac:dyDescent="0.25">
      <c r="A52" s="387">
        <v>1</v>
      </c>
      <c r="B52" s="387"/>
      <c r="C52" s="387">
        <v>1</v>
      </c>
      <c r="D52" s="387"/>
    </row>
    <row r="53" spans="1:11" ht="15" customHeight="1" x14ac:dyDescent="0.25">
      <c r="A53" s="147"/>
      <c r="B53" s="147"/>
    </row>
    <row r="54" spans="1:11" ht="15" customHeight="1" x14ac:dyDescent="0.25">
      <c r="A54" s="147"/>
      <c r="B54" s="14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</sheetData>
  <mergeCells count="51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H55:I55"/>
    <mergeCell ref="J55:K55"/>
    <mergeCell ref="S39:T39"/>
    <mergeCell ref="A49:B49"/>
    <mergeCell ref="C49:D49"/>
    <mergeCell ref="A50:B50"/>
    <mergeCell ref="C50:D50"/>
    <mergeCell ref="F54:G54"/>
    <mergeCell ref="H54:I54"/>
    <mergeCell ref="J54:K54"/>
    <mergeCell ref="A39:B39"/>
    <mergeCell ref="D39:E39"/>
    <mergeCell ref="G39:H39"/>
    <mergeCell ref="J39:K39"/>
    <mergeCell ref="M39:N39"/>
    <mergeCell ref="P39:Q39"/>
    <mergeCell ref="A51:B51"/>
    <mergeCell ref="A52:B52"/>
    <mergeCell ref="C51:D51"/>
    <mergeCell ref="C52:D52"/>
    <mergeCell ref="F55:G55"/>
  </mergeCell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2B4A-CB34-4AB3-ACE1-130B7CAEE46A}">
  <sheetPr>
    <outlinePr summaryBelow="0" summaryRight="0"/>
  </sheetPr>
  <dimension ref="A1:V55"/>
  <sheetViews>
    <sheetView showGridLines="0" zoomScale="106" zoomScaleNormal="106" workbookViewId="0">
      <selection activeCell="B4" sqref="B4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9.42578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506</v>
      </c>
      <c r="D2" s="130"/>
      <c r="E2" s="131"/>
    </row>
    <row r="3" spans="1:20" x14ac:dyDescent="0.25">
      <c r="A3" s="128" t="s">
        <v>30</v>
      </c>
      <c r="B3" s="173">
        <v>29</v>
      </c>
      <c r="D3" s="130"/>
      <c r="E3" s="131"/>
    </row>
    <row r="4" spans="1:20" x14ac:dyDescent="0.25">
      <c r="A4" s="128" t="s">
        <v>3</v>
      </c>
      <c r="B4" s="132">
        <f>B2+B3</f>
        <v>535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44</v>
      </c>
      <c r="D6" s="134" t="s">
        <v>43</v>
      </c>
      <c r="E6" s="136">
        <v>3</v>
      </c>
      <c r="G6" s="128" t="s">
        <v>44</v>
      </c>
      <c r="H6" s="136">
        <f>B6+E6</f>
        <v>47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8.7850467289719631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v>64</v>
      </c>
      <c r="D10" s="128" t="s">
        <v>29</v>
      </c>
      <c r="E10" s="128">
        <v>47</v>
      </c>
      <c r="G10" s="128" t="s">
        <v>29</v>
      </c>
      <c r="H10" s="128">
        <v>2</v>
      </c>
      <c r="J10" s="128" t="s">
        <v>29</v>
      </c>
      <c r="K10" s="128">
        <v>1</v>
      </c>
      <c r="M10" s="128" t="s">
        <v>29</v>
      </c>
      <c r="N10" s="128">
        <v>0</v>
      </c>
      <c r="P10" s="128" t="s">
        <v>29</v>
      </c>
      <c r="Q10" s="128">
        <v>10</v>
      </c>
      <c r="S10" s="128" t="s">
        <v>29</v>
      </c>
      <c r="T10" s="128">
        <v>4</v>
      </c>
    </row>
    <row r="11" spans="1:20" x14ac:dyDescent="0.25">
      <c r="A11" s="128" t="s">
        <v>30</v>
      </c>
      <c r="B11" s="174">
        <v>9</v>
      </c>
      <c r="D11" s="128" t="s">
        <v>30</v>
      </c>
      <c r="E11" s="174">
        <v>0</v>
      </c>
      <c r="G11" s="128" t="s">
        <v>30</v>
      </c>
      <c r="H11" s="174">
        <v>9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E12+H12+K12+N12+Q12+T12</f>
        <v>73</v>
      </c>
      <c r="D12" s="140" t="s">
        <v>125</v>
      </c>
      <c r="E12" s="140">
        <f>E10+E11</f>
        <v>47</v>
      </c>
      <c r="G12" s="140" t="s">
        <v>125</v>
      </c>
      <c r="H12" s="140">
        <f>H10+H11</f>
        <v>11</v>
      </c>
      <c r="J12" s="140" t="s">
        <v>125</v>
      </c>
      <c r="K12" s="140">
        <f>K10+K11</f>
        <v>1</v>
      </c>
      <c r="M12" s="140" t="s">
        <v>125</v>
      </c>
      <c r="N12" s="140">
        <f>N10+N11</f>
        <v>0</v>
      </c>
      <c r="P12" s="140" t="s">
        <v>125</v>
      </c>
      <c r="Q12" s="140">
        <f>Q10+Q11</f>
        <v>10</v>
      </c>
      <c r="S12" s="140" t="s">
        <v>125</v>
      </c>
      <c r="T12" s="140">
        <f>T10+T11</f>
        <v>4</v>
      </c>
    </row>
    <row r="13" spans="1:20" x14ac:dyDescent="0.25">
      <c r="A13" s="128" t="s">
        <v>66</v>
      </c>
      <c r="B13" s="141">
        <f>E13+H13+K13+N13+Q13+T13</f>
        <v>5</v>
      </c>
      <c r="D13" s="128" t="s">
        <v>136</v>
      </c>
      <c r="E13" s="141">
        <v>3</v>
      </c>
      <c r="G13" s="128" t="s">
        <v>136</v>
      </c>
      <c r="H13" s="141">
        <v>1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1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6.8493150684931505</v>
      </c>
      <c r="D14" s="128" t="s">
        <v>5</v>
      </c>
      <c r="E14" s="143">
        <f>E13/E12*100</f>
        <v>6.3829787234042552</v>
      </c>
      <c r="G14" s="128" t="s">
        <v>5</v>
      </c>
      <c r="H14" s="143">
        <f>H13/H12*100</f>
        <v>9.0909090909090917</v>
      </c>
      <c r="J14" s="128" t="s">
        <v>5</v>
      </c>
      <c r="K14" s="144">
        <f>K13/K12*100</f>
        <v>0</v>
      </c>
      <c r="M14" s="128" t="s">
        <v>5</v>
      </c>
      <c r="N14" s="145" t="e">
        <f>N13/N12*100</f>
        <v>#DIV/0!</v>
      </c>
      <c r="P14" s="128" t="s">
        <v>5</v>
      </c>
      <c r="Q14" s="144">
        <f>Q13/Q12*100</f>
        <v>10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v>38</v>
      </c>
      <c r="D18" s="154" t="s">
        <v>29</v>
      </c>
      <c r="E18" s="154">
        <v>26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3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E19+H19+K19+N19+Q19+T19</f>
        <v>38</v>
      </c>
      <c r="D19" s="140" t="s">
        <v>125</v>
      </c>
      <c r="E19" s="156">
        <f>E18</f>
        <v>26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3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2.6315789473684208</v>
      </c>
      <c r="D21" s="128" t="s">
        <v>5</v>
      </c>
      <c r="E21" s="158">
        <f>E20/E19*100</f>
        <v>3.8461538461538463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111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6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5.4054054054054053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v>192</v>
      </c>
      <c r="D28" s="128" t="s">
        <v>28</v>
      </c>
      <c r="E28" s="128">
        <v>131</v>
      </c>
      <c r="G28" s="128" t="s">
        <v>28</v>
      </c>
      <c r="H28" s="128">
        <v>16</v>
      </c>
      <c r="J28" s="128" t="s">
        <v>28</v>
      </c>
      <c r="K28" s="128">
        <v>6</v>
      </c>
      <c r="M28" s="128" t="s">
        <v>28</v>
      </c>
      <c r="N28" s="128">
        <v>6</v>
      </c>
      <c r="P28" s="128" t="s">
        <v>28</v>
      </c>
      <c r="Q28" s="128">
        <v>24</v>
      </c>
      <c r="S28" s="128" t="s">
        <v>28</v>
      </c>
      <c r="T28" s="128">
        <v>9</v>
      </c>
    </row>
    <row r="29" spans="1:20" x14ac:dyDescent="0.25">
      <c r="A29" s="128" t="s">
        <v>30</v>
      </c>
      <c r="B29" s="174">
        <v>19</v>
      </c>
      <c r="D29" s="128" t="s">
        <v>30</v>
      </c>
      <c r="E29" s="174">
        <v>2</v>
      </c>
      <c r="G29" s="128" t="s">
        <v>30</v>
      </c>
      <c r="H29" s="174">
        <v>17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211</v>
      </c>
      <c r="D30" s="163" t="s">
        <v>125</v>
      </c>
      <c r="E30" s="163">
        <f>E28+E29</f>
        <v>133</v>
      </c>
      <c r="G30" s="163" t="s">
        <v>125</v>
      </c>
      <c r="H30" s="163">
        <f>H28+H29</f>
        <v>33</v>
      </c>
      <c r="J30" s="163" t="s">
        <v>125</v>
      </c>
      <c r="K30" s="163">
        <f>K28+K29</f>
        <v>6</v>
      </c>
      <c r="M30" s="163" t="s">
        <v>125</v>
      </c>
      <c r="N30" s="163">
        <f>N28+N29</f>
        <v>6</v>
      </c>
      <c r="P30" s="163" t="s">
        <v>125</v>
      </c>
      <c r="Q30" s="163">
        <f>Q28+Q29</f>
        <v>24</v>
      </c>
      <c r="S30" s="163" t="s">
        <v>125</v>
      </c>
      <c r="T30" s="163">
        <f>T28+T29</f>
        <v>9</v>
      </c>
    </row>
    <row r="31" spans="1:20" x14ac:dyDescent="0.25">
      <c r="A31" s="128" t="s">
        <v>4</v>
      </c>
      <c r="B31" s="164">
        <f>E31+H31+K31+N31+Q31+T31</f>
        <v>31</v>
      </c>
      <c r="D31" s="128" t="s">
        <v>4</v>
      </c>
      <c r="E31" s="165">
        <v>18</v>
      </c>
      <c r="G31" s="128" t="s">
        <v>4</v>
      </c>
      <c r="H31" s="164">
        <v>4</v>
      </c>
      <c r="J31" s="128" t="s">
        <v>4</v>
      </c>
      <c r="K31" s="166">
        <v>1</v>
      </c>
      <c r="M31" s="128" t="s">
        <v>4</v>
      </c>
      <c r="N31" s="167">
        <v>0</v>
      </c>
      <c r="P31" s="128" t="s">
        <v>4</v>
      </c>
      <c r="Q31" s="167">
        <v>7</v>
      </c>
      <c r="S31" s="128" t="s">
        <v>4</v>
      </c>
      <c r="T31" s="167">
        <v>1</v>
      </c>
    </row>
    <row r="32" spans="1:20" x14ac:dyDescent="0.25">
      <c r="A32" s="128" t="s">
        <v>5</v>
      </c>
      <c r="B32" s="162">
        <f>B31/B30*100</f>
        <v>14.691943127962084</v>
      </c>
      <c r="D32" s="128" t="s">
        <v>5</v>
      </c>
      <c r="E32" s="162">
        <f>E31/E30*100</f>
        <v>13.533834586466165</v>
      </c>
      <c r="G32" s="128" t="s">
        <v>5</v>
      </c>
      <c r="H32" s="162">
        <f>H31/H30*100</f>
        <v>12.121212121212121</v>
      </c>
      <c r="J32" s="128" t="s">
        <v>5</v>
      </c>
      <c r="K32" s="162">
        <f>K31/K30*100%</f>
        <v>0.16666666666666666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29.166666666666668</v>
      </c>
      <c r="S32" s="128" t="s">
        <v>5</v>
      </c>
      <c r="T32" s="168">
        <f>T31/T30</f>
        <v>0.1111111111111111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v>33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1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3.0303030303030303</v>
      </c>
      <c r="D37" s="128" t="s">
        <v>5</v>
      </c>
      <c r="E37" s="158">
        <f>E36/E35*100</f>
        <v>5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v>58</v>
      </c>
      <c r="D40" s="163" t="s">
        <v>28</v>
      </c>
      <c r="E40" s="163">
        <v>35</v>
      </c>
      <c r="G40" s="163" t="s">
        <v>28</v>
      </c>
      <c r="H40" s="163">
        <v>9</v>
      </c>
      <c r="J40" s="163" t="s">
        <v>28</v>
      </c>
      <c r="K40" s="163">
        <v>2</v>
      </c>
      <c r="M40" s="163" t="s">
        <v>28</v>
      </c>
      <c r="N40" s="163">
        <v>1</v>
      </c>
      <c r="P40" s="163" t="s">
        <v>28</v>
      </c>
      <c r="Q40" s="163">
        <v>7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1</v>
      </c>
      <c r="G41" s="128" t="s">
        <v>4</v>
      </c>
      <c r="H41" s="167">
        <v>1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1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5.1724137931034484</v>
      </c>
      <c r="D42" s="128" t="s">
        <v>5</v>
      </c>
      <c r="E42" s="158">
        <f>E41/E40*100</f>
        <v>2.8571428571428572</v>
      </c>
      <c r="G42" s="128" t="s">
        <v>5</v>
      </c>
      <c r="H42" s="162">
        <f>H41/H40*100</f>
        <v>11.111111111111111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14.285714285714285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91</v>
      </c>
      <c r="D44" s="154" t="s">
        <v>123</v>
      </c>
      <c r="E44" s="154">
        <f>B30+B44</f>
        <v>302</v>
      </c>
    </row>
    <row r="45" spans="1:22" ht="15" customHeight="1" x14ac:dyDescent="0.25">
      <c r="A45" s="154" t="s">
        <v>44</v>
      </c>
      <c r="B45" s="170">
        <f>B36+B41</f>
        <v>4</v>
      </c>
      <c r="D45" s="154" t="s">
        <v>44</v>
      </c>
      <c r="E45" s="170">
        <f>B31+B36+B41</f>
        <v>35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4.395604395604396</v>
      </c>
      <c r="D46" s="171" t="s">
        <v>11</v>
      </c>
      <c r="E46" s="158">
        <f>E45/E44*100</f>
        <v>11.589403973509933</v>
      </c>
    </row>
    <row r="49" spans="1:11" ht="15" customHeight="1" x14ac:dyDescent="0.25">
      <c r="A49" s="313" t="s">
        <v>140</v>
      </c>
      <c r="B49" s="314"/>
      <c r="C49" s="313" t="s">
        <v>141</v>
      </c>
      <c r="D49" s="314"/>
    </row>
    <row r="50" spans="1:11" ht="15" customHeight="1" x14ac:dyDescent="0.25">
      <c r="A50" s="387">
        <v>2</v>
      </c>
      <c r="B50" s="387"/>
      <c r="C50" s="387">
        <v>1</v>
      </c>
      <c r="D50" s="387"/>
    </row>
    <row r="51" spans="1:11" ht="15" customHeight="1" x14ac:dyDescent="0.25">
      <c r="A51" s="313"/>
      <c r="B51" s="314"/>
      <c r="C51" s="313" t="s">
        <v>86</v>
      </c>
      <c r="D51" s="314"/>
    </row>
    <row r="52" spans="1:11" ht="15" customHeight="1" x14ac:dyDescent="0.25">
      <c r="A52" s="387"/>
      <c r="B52" s="387"/>
      <c r="C52" s="387">
        <v>3</v>
      </c>
      <c r="D52" s="387"/>
    </row>
    <row r="53" spans="1:11" ht="15" customHeight="1" x14ac:dyDescent="0.25">
      <c r="A53" s="147"/>
      <c r="B53" s="147"/>
    </row>
    <row r="54" spans="1:11" ht="15" customHeight="1" x14ac:dyDescent="0.25">
      <c r="A54" s="147"/>
      <c r="B54" s="14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</sheetData>
  <mergeCells count="51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F55:G55"/>
    <mergeCell ref="H55:I55"/>
    <mergeCell ref="J55:K55"/>
    <mergeCell ref="S39:T39"/>
    <mergeCell ref="A49:B49"/>
    <mergeCell ref="C49:D49"/>
    <mergeCell ref="A50:B50"/>
    <mergeCell ref="C50:D50"/>
    <mergeCell ref="A51:B51"/>
    <mergeCell ref="C51:D51"/>
    <mergeCell ref="A39:B39"/>
    <mergeCell ref="D39:E39"/>
    <mergeCell ref="G39:H39"/>
    <mergeCell ref="J39:K39"/>
    <mergeCell ref="M39:N39"/>
    <mergeCell ref="P39:Q39"/>
    <mergeCell ref="A52:B52"/>
    <mergeCell ref="C52:D52"/>
    <mergeCell ref="F54:G54"/>
    <mergeCell ref="H54:I54"/>
    <mergeCell ref="J54:K54"/>
  </mergeCells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C65-4B96-4AFB-93C1-C25615EC021C}">
  <sheetPr>
    <outlinePr summaryBelow="0" summaryRight="0"/>
  </sheetPr>
  <dimension ref="A1:V55"/>
  <sheetViews>
    <sheetView showGridLines="0" zoomScale="106" zoomScaleNormal="106" workbookViewId="0">
      <selection activeCell="E35" sqref="E35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9.42578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518</v>
      </c>
      <c r="D2" s="130"/>
      <c r="E2" s="131"/>
    </row>
    <row r="3" spans="1:20" x14ac:dyDescent="0.25">
      <c r="A3" s="128" t="s">
        <v>30</v>
      </c>
      <c r="B3" s="173">
        <v>34</v>
      </c>
      <c r="D3" s="130"/>
      <c r="E3" s="131"/>
    </row>
    <row r="4" spans="1:20" x14ac:dyDescent="0.25">
      <c r="A4" s="128" t="s">
        <v>3</v>
      </c>
      <c r="B4" s="132">
        <f>B2+B3</f>
        <v>552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29</v>
      </c>
      <c r="D6" s="134" t="s">
        <v>43</v>
      </c>
      <c r="E6" s="136">
        <v>7</v>
      </c>
      <c r="G6" s="128" t="s">
        <v>44</v>
      </c>
      <c r="H6" s="136">
        <f>B6+E6</f>
        <v>36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6.5217391304347823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73</v>
      </c>
      <c r="D10" s="128" t="s">
        <v>29</v>
      </c>
      <c r="E10" s="128">
        <v>54</v>
      </c>
      <c r="G10" s="128" t="s">
        <v>29</v>
      </c>
      <c r="H10" s="128">
        <v>2</v>
      </c>
      <c r="J10" s="128" t="s">
        <v>29</v>
      </c>
      <c r="K10" s="128">
        <v>1</v>
      </c>
      <c r="M10" s="128" t="s">
        <v>29</v>
      </c>
      <c r="N10" s="128">
        <v>0</v>
      </c>
      <c r="P10" s="128" t="s">
        <v>29</v>
      </c>
      <c r="Q10" s="128">
        <v>11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E11+H11+K11+N11+T11</f>
        <v>8</v>
      </c>
      <c r="D11" s="128" t="s">
        <v>30</v>
      </c>
      <c r="E11" s="174">
        <v>1</v>
      </c>
      <c r="G11" s="128" t="s">
        <v>30</v>
      </c>
      <c r="H11" s="174">
        <v>7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E12+H12+K12+N12+Q12+T12</f>
        <v>81</v>
      </c>
      <c r="D12" s="140" t="s">
        <v>125</v>
      </c>
      <c r="E12" s="140">
        <f>E10+E11</f>
        <v>55</v>
      </c>
      <c r="G12" s="140" t="s">
        <v>125</v>
      </c>
      <c r="H12" s="140">
        <f>H10+H11</f>
        <v>9</v>
      </c>
      <c r="J12" s="140" t="s">
        <v>125</v>
      </c>
      <c r="K12" s="140">
        <f>K10+K11</f>
        <v>1</v>
      </c>
      <c r="M12" s="140" t="s">
        <v>125</v>
      </c>
      <c r="N12" s="140">
        <f>N10+N11</f>
        <v>0</v>
      </c>
      <c r="P12" s="140" t="s">
        <v>125</v>
      </c>
      <c r="Q12" s="140">
        <f>Q10+Q11</f>
        <v>11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6</v>
      </c>
      <c r="D13" s="128" t="s">
        <v>136</v>
      </c>
      <c r="E13" s="141">
        <v>5</v>
      </c>
      <c r="G13" s="128" t="s">
        <v>136</v>
      </c>
      <c r="H13" s="141">
        <v>1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0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7.4074074074074066</v>
      </c>
      <c r="D14" s="128" t="s">
        <v>5</v>
      </c>
      <c r="E14" s="143">
        <f>E13/E12*100</f>
        <v>9.0909090909090917</v>
      </c>
      <c r="G14" s="128" t="s">
        <v>5</v>
      </c>
      <c r="H14" s="143">
        <f>H13/H12*100</f>
        <v>11.111111111111111</v>
      </c>
      <c r="J14" s="128" t="s">
        <v>5</v>
      </c>
      <c r="K14" s="144">
        <f>K13/K12*100</f>
        <v>0</v>
      </c>
      <c r="M14" s="128" t="s">
        <v>5</v>
      </c>
      <c r="N14" s="145" t="e">
        <f>N13/N12*100</f>
        <v>#DIV/0!</v>
      </c>
      <c r="P14" s="128" t="s">
        <v>5</v>
      </c>
      <c r="Q14" s="144">
        <f>Q13/Q12*100</f>
        <v>0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38</v>
      </c>
      <c r="D18" s="154" t="s">
        <v>29</v>
      </c>
      <c r="E18" s="154">
        <v>26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3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E19+H19+K19+N19+Q19+T19</f>
        <v>38</v>
      </c>
      <c r="D19" s="140" t="s">
        <v>125</v>
      </c>
      <c r="E19" s="156">
        <f>E18</f>
        <v>26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3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2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1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5.2631578947368416</v>
      </c>
      <c r="D21" s="128" t="s">
        <v>5</v>
      </c>
      <c r="E21" s="158">
        <f>E20/E19*100</f>
        <v>3.8461538461538463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33.333333333333329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119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8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6.7226890756302522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199</v>
      </c>
      <c r="D28" s="128" t="s">
        <v>28</v>
      </c>
      <c r="E28" s="128">
        <v>137</v>
      </c>
      <c r="G28" s="128" t="s">
        <v>28</v>
      </c>
      <c r="H28" s="128">
        <v>14</v>
      </c>
      <c r="J28" s="128" t="s">
        <v>28</v>
      </c>
      <c r="K28" s="128">
        <v>6</v>
      </c>
      <c r="M28" s="128" t="s">
        <v>28</v>
      </c>
      <c r="N28" s="128">
        <v>12</v>
      </c>
      <c r="P28" s="128" t="s">
        <v>28</v>
      </c>
      <c r="Q28" s="128">
        <v>21</v>
      </c>
      <c r="S28" s="128" t="s">
        <v>28</v>
      </c>
      <c r="T28" s="128">
        <v>9</v>
      </c>
    </row>
    <row r="29" spans="1:20" x14ac:dyDescent="0.25">
      <c r="A29" s="128" t="s">
        <v>30</v>
      </c>
      <c r="B29" s="174">
        <f>E29+H29</f>
        <v>24</v>
      </c>
      <c r="D29" s="128" t="s">
        <v>30</v>
      </c>
      <c r="E29" s="174">
        <v>2</v>
      </c>
      <c r="G29" s="128" t="s">
        <v>30</v>
      </c>
      <c r="H29" s="174">
        <v>22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223</v>
      </c>
      <c r="D30" s="163" t="s">
        <v>125</v>
      </c>
      <c r="E30" s="163">
        <f>E28+E29</f>
        <v>139</v>
      </c>
      <c r="G30" s="163" t="s">
        <v>125</v>
      </c>
      <c r="H30" s="163">
        <f>H28+H29</f>
        <v>36</v>
      </c>
      <c r="J30" s="163" t="s">
        <v>125</v>
      </c>
      <c r="K30" s="163">
        <f>K28+K29</f>
        <v>6</v>
      </c>
      <c r="M30" s="163" t="s">
        <v>125</v>
      </c>
      <c r="N30" s="163">
        <f>N28+N29</f>
        <v>12</v>
      </c>
      <c r="P30" s="163" t="s">
        <v>125</v>
      </c>
      <c r="Q30" s="163">
        <f>Q28+Q29</f>
        <v>21</v>
      </c>
      <c r="S30" s="163" t="s">
        <v>125</v>
      </c>
      <c r="T30" s="163">
        <f>T28+T29</f>
        <v>9</v>
      </c>
    </row>
    <row r="31" spans="1:20" x14ac:dyDescent="0.25">
      <c r="A31" s="128" t="s">
        <v>4</v>
      </c>
      <c r="B31" s="164">
        <f>E31+H31+K31+N31+Q31+T31</f>
        <v>24</v>
      </c>
      <c r="D31" s="128" t="s">
        <v>4</v>
      </c>
      <c r="E31" s="165">
        <v>14</v>
      </c>
      <c r="G31" s="128" t="s">
        <v>4</v>
      </c>
      <c r="H31" s="164">
        <v>7</v>
      </c>
      <c r="J31" s="128" t="s">
        <v>4</v>
      </c>
      <c r="K31" s="166">
        <v>2</v>
      </c>
      <c r="M31" s="128" t="s">
        <v>4</v>
      </c>
      <c r="N31" s="167">
        <v>0</v>
      </c>
      <c r="P31" s="128" t="s">
        <v>4</v>
      </c>
      <c r="Q31" s="167">
        <v>1</v>
      </c>
      <c r="S31" s="128" t="s">
        <v>4</v>
      </c>
      <c r="T31" s="167">
        <v>0</v>
      </c>
    </row>
    <row r="32" spans="1:20" x14ac:dyDescent="0.25">
      <c r="A32" s="128" t="s">
        <v>5</v>
      </c>
      <c r="B32" s="162">
        <f>B31/B30*100</f>
        <v>10.762331838565023</v>
      </c>
      <c r="D32" s="128" t="s">
        <v>5</v>
      </c>
      <c r="E32" s="162">
        <f>E31/E30*100</f>
        <v>10.071942446043165</v>
      </c>
      <c r="G32" s="128" t="s">
        <v>5</v>
      </c>
      <c r="H32" s="162">
        <f>H31/H30*100</f>
        <v>19.444444444444446</v>
      </c>
      <c r="J32" s="128" t="s">
        <v>5</v>
      </c>
      <c r="K32" s="162">
        <f>K31/K30*100%</f>
        <v>0.33333333333333331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4.7619047619047619</v>
      </c>
      <c r="S32" s="128" t="s">
        <v>5</v>
      </c>
      <c r="T32" s="168">
        <f>T31/T30</f>
        <v>0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32</v>
      </c>
      <c r="D35" s="163" t="s">
        <v>28</v>
      </c>
      <c r="E35" s="163">
        <v>20</v>
      </c>
      <c r="G35" s="163" t="s">
        <v>28</v>
      </c>
      <c r="H35" s="163">
        <v>4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56</v>
      </c>
      <c r="D40" s="163" t="s">
        <v>28</v>
      </c>
      <c r="E40" s="163">
        <v>35</v>
      </c>
      <c r="G40" s="163" t="s">
        <v>28</v>
      </c>
      <c r="H40" s="163">
        <v>8</v>
      </c>
      <c r="J40" s="163" t="s">
        <v>28</v>
      </c>
      <c r="K40" s="163">
        <v>2</v>
      </c>
      <c r="M40" s="163" t="s">
        <v>28</v>
      </c>
      <c r="N40" s="163">
        <v>1</v>
      </c>
      <c r="P40" s="163" t="s">
        <v>28</v>
      </c>
      <c r="Q40" s="163">
        <v>6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2</v>
      </c>
      <c r="D41" s="128" t="s">
        <v>4</v>
      </c>
      <c r="E41" s="167">
        <v>0</v>
      </c>
      <c r="G41" s="128" t="s">
        <v>4</v>
      </c>
      <c r="H41" s="167">
        <v>1</v>
      </c>
      <c r="J41" s="128" t="s">
        <v>4</v>
      </c>
      <c r="K41" s="166">
        <v>1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3.5714285714285712</v>
      </c>
      <c r="D42" s="128" t="s">
        <v>5</v>
      </c>
      <c r="E42" s="158">
        <f>E41/E40*100</f>
        <v>0</v>
      </c>
      <c r="G42" s="128" t="s">
        <v>5</v>
      </c>
      <c r="H42" s="162">
        <f>H41/H40*100</f>
        <v>12.5</v>
      </c>
      <c r="J42" s="128" t="s">
        <v>5</v>
      </c>
      <c r="K42" s="162">
        <f>K41/K40*100</f>
        <v>50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88</v>
      </c>
      <c r="D44" s="154" t="s">
        <v>123</v>
      </c>
      <c r="E44" s="154">
        <f>B30+B44</f>
        <v>311</v>
      </c>
    </row>
    <row r="45" spans="1:22" ht="15" customHeight="1" x14ac:dyDescent="0.25">
      <c r="A45" s="154" t="s">
        <v>44</v>
      </c>
      <c r="B45" s="170">
        <f>B36+B41</f>
        <v>2</v>
      </c>
      <c r="D45" s="154" t="s">
        <v>44</v>
      </c>
      <c r="E45" s="170">
        <f>B31+B36+B41</f>
        <v>26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2.2727272727272729</v>
      </c>
      <c r="D46" s="171" t="s">
        <v>11</v>
      </c>
      <c r="E46" s="158">
        <f>E45/E44*100</f>
        <v>8.360128617363344</v>
      </c>
    </row>
    <row r="49" spans="1:11" ht="15" customHeight="1" x14ac:dyDescent="0.25">
      <c r="A49" s="313" t="s">
        <v>140</v>
      </c>
      <c r="B49" s="314"/>
      <c r="C49" s="313" t="s">
        <v>143</v>
      </c>
      <c r="D49" s="314"/>
    </row>
    <row r="50" spans="1:11" ht="15" customHeight="1" x14ac:dyDescent="0.25">
      <c r="A50" s="387">
        <v>1</v>
      </c>
      <c r="B50" s="387"/>
      <c r="C50" s="387">
        <v>1</v>
      </c>
      <c r="D50" s="387"/>
    </row>
    <row r="51" spans="1:11" ht="15" customHeight="1" x14ac:dyDescent="0.25">
      <c r="A51" s="313"/>
      <c r="B51" s="314"/>
      <c r="C51" s="313"/>
      <c r="D51" s="314"/>
    </row>
    <row r="52" spans="1:11" ht="15" customHeight="1" x14ac:dyDescent="0.25">
      <c r="A52" s="387"/>
      <c r="B52" s="387"/>
      <c r="C52" s="387"/>
      <c r="D52" s="387"/>
    </row>
    <row r="53" spans="1:11" ht="15" customHeight="1" x14ac:dyDescent="0.25">
      <c r="A53" s="147"/>
      <c r="B53" s="147"/>
    </row>
    <row r="54" spans="1:11" ht="15" customHeight="1" x14ac:dyDescent="0.25">
      <c r="A54" s="147"/>
      <c r="B54" s="14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</sheetData>
  <mergeCells count="51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F55:G55"/>
    <mergeCell ref="H55:I55"/>
    <mergeCell ref="J55:K55"/>
    <mergeCell ref="S39:T39"/>
    <mergeCell ref="A49:B49"/>
    <mergeCell ref="C49:D49"/>
    <mergeCell ref="A50:B50"/>
    <mergeCell ref="C50:D50"/>
    <mergeCell ref="A51:B51"/>
    <mergeCell ref="C51:D51"/>
    <mergeCell ref="A39:B39"/>
    <mergeCell ref="D39:E39"/>
    <mergeCell ref="G39:H39"/>
    <mergeCell ref="J39:K39"/>
    <mergeCell ref="M39:N39"/>
    <mergeCell ref="P39:Q39"/>
    <mergeCell ref="A52:B52"/>
    <mergeCell ref="C52:D52"/>
    <mergeCell ref="F54:G54"/>
    <mergeCell ref="H54:I54"/>
    <mergeCell ref="J54:K54"/>
  </mergeCells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92FF-0410-4ECD-AD6A-0FAA50106FF3}">
  <sheetPr>
    <outlinePr summaryBelow="0" summaryRight="0"/>
  </sheetPr>
  <dimension ref="A1:V60"/>
  <sheetViews>
    <sheetView showGridLines="0" topLeftCell="A12" zoomScale="106" zoomScaleNormal="106" workbookViewId="0">
      <selection activeCell="M6" sqref="M6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522</v>
      </c>
      <c r="D2" s="130"/>
      <c r="E2" s="131"/>
    </row>
    <row r="3" spans="1:20" x14ac:dyDescent="0.25">
      <c r="A3" s="128" t="s">
        <v>30</v>
      </c>
      <c r="B3" s="173">
        <v>30</v>
      </c>
      <c r="D3" s="130"/>
      <c r="E3" s="131"/>
    </row>
    <row r="4" spans="1:20" x14ac:dyDescent="0.25">
      <c r="A4" s="128" t="s">
        <v>3</v>
      </c>
      <c r="B4" s="132">
        <f>B2+B3</f>
        <v>552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54</v>
      </c>
      <c r="D6" s="134" t="s">
        <v>43</v>
      </c>
      <c r="E6" s="136">
        <v>5</v>
      </c>
      <c r="G6" s="128" t="s">
        <v>44</v>
      </c>
      <c r="H6" s="136">
        <f>B6+E6</f>
        <v>59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10.688405797101449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80</v>
      </c>
      <c r="D10" s="128" t="s">
        <v>29</v>
      </c>
      <c r="E10" s="128">
        <v>56</v>
      </c>
      <c r="G10" s="128" t="s">
        <v>29</v>
      </c>
      <c r="H10" s="128">
        <v>1</v>
      </c>
      <c r="J10" s="128" t="s">
        <v>29</v>
      </c>
      <c r="K10" s="128">
        <v>1</v>
      </c>
      <c r="M10" s="128" t="s">
        <v>29</v>
      </c>
      <c r="N10" s="128">
        <v>3</v>
      </c>
      <c r="P10" s="128" t="s">
        <v>29</v>
      </c>
      <c r="Q10" s="128">
        <v>13</v>
      </c>
      <c r="S10" s="128" t="s">
        <v>29</v>
      </c>
      <c r="T10" s="128">
        <v>6</v>
      </c>
    </row>
    <row r="11" spans="1:20" x14ac:dyDescent="0.25">
      <c r="A11" s="128" t="s">
        <v>30</v>
      </c>
      <c r="B11" s="174">
        <f>E11+H11+K11+N11+T11</f>
        <v>8</v>
      </c>
      <c r="D11" s="128" t="s">
        <v>30</v>
      </c>
      <c r="E11" s="174">
        <v>0</v>
      </c>
      <c r="G11" s="128" t="s">
        <v>30</v>
      </c>
      <c r="H11" s="174">
        <v>8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E12+H12+K12+N12+Q12+T12</f>
        <v>88</v>
      </c>
      <c r="D12" s="140" t="s">
        <v>125</v>
      </c>
      <c r="E12" s="140">
        <f>E10+E11</f>
        <v>56</v>
      </c>
      <c r="G12" s="140" t="s">
        <v>125</v>
      </c>
      <c r="H12" s="140">
        <f>H10+H11</f>
        <v>9</v>
      </c>
      <c r="J12" s="140" t="s">
        <v>125</v>
      </c>
      <c r="K12" s="140">
        <f>K10+K11</f>
        <v>1</v>
      </c>
      <c r="M12" s="140" t="s">
        <v>125</v>
      </c>
      <c r="N12" s="140">
        <f>N10+N11</f>
        <v>3</v>
      </c>
      <c r="P12" s="140" t="s">
        <v>125</v>
      </c>
      <c r="Q12" s="140">
        <f>Q10+Q11</f>
        <v>13</v>
      </c>
      <c r="S12" s="140" t="s">
        <v>125</v>
      </c>
      <c r="T12" s="140">
        <f>T10+T11</f>
        <v>6</v>
      </c>
    </row>
    <row r="13" spans="1:20" x14ac:dyDescent="0.25">
      <c r="A13" s="128" t="s">
        <v>66</v>
      </c>
      <c r="B13" s="141">
        <f>E13+H13+K13+N13+Q13+T13</f>
        <v>14</v>
      </c>
      <c r="D13" s="128" t="s">
        <v>136</v>
      </c>
      <c r="E13" s="141">
        <v>11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2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15.909090909090908</v>
      </c>
      <c r="D14" s="128" t="s">
        <v>5</v>
      </c>
      <c r="E14" s="143">
        <f>E13/E12*100</f>
        <v>19.642857142857142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15.384615384615385</v>
      </c>
      <c r="S14" s="128" t="s">
        <v>5</v>
      </c>
      <c r="T14" s="144">
        <f>T13/T12*100</f>
        <v>16.666666666666664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37</v>
      </c>
      <c r="D18" s="154" t="s">
        <v>29</v>
      </c>
      <c r="E18" s="154">
        <v>26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2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E19+H19+K19+N19+Q19+T19</f>
        <v>37</v>
      </c>
      <c r="D19" s="140" t="s">
        <v>125</v>
      </c>
      <c r="E19" s="156">
        <f>E18</f>
        <v>26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2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3</v>
      </c>
      <c r="D20" s="128" t="s">
        <v>73</v>
      </c>
      <c r="E20" s="141">
        <v>3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8.1081081081081088</v>
      </c>
      <c r="D21" s="128" t="s">
        <v>5</v>
      </c>
      <c r="E21" s="158">
        <f>E20/E19*100</f>
        <v>11.538461538461538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125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17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13.600000000000001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195</v>
      </c>
      <c r="D28" s="128" t="s">
        <v>28</v>
      </c>
      <c r="E28" s="128">
        <v>136</v>
      </c>
      <c r="G28" s="128" t="s">
        <v>28</v>
      </c>
      <c r="H28" s="128">
        <v>10</v>
      </c>
      <c r="J28" s="128" t="s">
        <v>28</v>
      </c>
      <c r="K28" s="128">
        <v>6</v>
      </c>
      <c r="M28" s="128" t="s">
        <v>28</v>
      </c>
      <c r="N28" s="128">
        <v>13</v>
      </c>
      <c r="P28" s="128" t="s">
        <v>28</v>
      </c>
      <c r="Q28" s="128">
        <v>21</v>
      </c>
      <c r="S28" s="128" t="s">
        <v>28</v>
      </c>
      <c r="T28" s="128">
        <v>9</v>
      </c>
    </row>
    <row r="29" spans="1:20" x14ac:dyDescent="0.25">
      <c r="A29" s="128" t="s">
        <v>30</v>
      </c>
      <c r="B29" s="174">
        <f>E29+H29</f>
        <v>20</v>
      </c>
      <c r="D29" s="128" t="s">
        <v>30</v>
      </c>
      <c r="E29" s="174">
        <v>2</v>
      </c>
      <c r="G29" s="128" t="s">
        <v>30</v>
      </c>
      <c r="H29" s="174">
        <v>18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215</v>
      </c>
      <c r="D30" s="163" t="s">
        <v>125</v>
      </c>
      <c r="E30" s="163">
        <f>E28+E29</f>
        <v>138</v>
      </c>
      <c r="G30" s="163" t="s">
        <v>125</v>
      </c>
      <c r="H30" s="163">
        <f>H28+H29</f>
        <v>28</v>
      </c>
      <c r="J30" s="163" t="s">
        <v>125</v>
      </c>
      <c r="K30" s="163">
        <f>K28+K29</f>
        <v>6</v>
      </c>
      <c r="M30" s="163" t="s">
        <v>125</v>
      </c>
      <c r="N30" s="163">
        <f>N28+N29</f>
        <v>13</v>
      </c>
      <c r="P30" s="163" t="s">
        <v>125</v>
      </c>
      <c r="Q30" s="163">
        <f>Q28+Q29</f>
        <v>21</v>
      </c>
      <c r="S30" s="163" t="s">
        <v>125</v>
      </c>
      <c r="T30" s="163">
        <f>T28+T29</f>
        <v>9</v>
      </c>
    </row>
    <row r="31" spans="1:20" x14ac:dyDescent="0.25">
      <c r="A31" s="128" t="s">
        <v>4</v>
      </c>
      <c r="B31" s="164">
        <f>E31+H31+K31+N31+Q31+T31</f>
        <v>29</v>
      </c>
      <c r="D31" s="128" t="s">
        <v>4</v>
      </c>
      <c r="E31" s="165">
        <v>19</v>
      </c>
      <c r="G31" s="128" t="s">
        <v>4</v>
      </c>
      <c r="H31" s="164">
        <v>5</v>
      </c>
      <c r="J31" s="128" t="s">
        <v>4</v>
      </c>
      <c r="K31" s="166">
        <v>1</v>
      </c>
      <c r="M31" s="128" t="s">
        <v>4</v>
      </c>
      <c r="N31" s="167">
        <v>1</v>
      </c>
      <c r="P31" s="128" t="s">
        <v>4</v>
      </c>
      <c r="Q31" s="167">
        <v>1</v>
      </c>
      <c r="S31" s="128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13.488372093023257</v>
      </c>
      <c r="D32" s="128" t="s">
        <v>5</v>
      </c>
      <c r="E32" s="162">
        <f>E31/E30*100</f>
        <v>13.768115942028986</v>
      </c>
      <c r="G32" s="128" t="s">
        <v>5</v>
      </c>
      <c r="H32" s="162">
        <f>H31/H30*100</f>
        <v>17.857142857142858</v>
      </c>
      <c r="J32" s="128" t="s">
        <v>5</v>
      </c>
      <c r="K32" s="162">
        <f>K31/K30*100%</f>
        <v>0.16666666666666666</v>
      </c>
      <c r="M32" s="128" t="s">
        <v>5</v>
      </c>
      <c r="N32" s="162">
        <f>N31/N30*100</f>
        <v>7.6923076923076925</v>
      </c>
      <c r="P32" s="128" t="s">
        <v>5</v>
      </c>
      <c r="Q32" s="162">
        <f>Q31/Q30*100</f>
        <v>4.7619047619047619</v>
      </c>
      <c r="S32" s="128" t="s">
        <v>5</v>
      </c>
      <c r="T32" s="168">
        <f>T31/T30</f>
        <v>0.22222222222222221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21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57</v>
      </c>
      <c r="D40" s="163" t="s">
        <v>28</v>
      </c>
      <c r="E40" s="163">
        <v>34</v>
      </c>
      <c r="G40" s="163" t="s">
        <v>28</v>
      </c>
      <c r="H40" s="163">
        <v>10</v>
      </c>
      <c r="J40" s="163" t="s">
        <v>28</v>
      </c>
      <c r="K40" s="163">
        <v>1</v>
      </c>
      <c r="M40" s="163" t="s">
        <v>28</v>
      </c>
      <c r="N40" s="163">
        <v>2</v>
      </c>
      <c r="P40" s="163" t="s">
        <v>28</v>
      </c>
      <c r="Q40" s="163">
        <v>6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4</v>
      </c>
      <c r="D41" s="128" t="s">
        <v>4</v>
      </c>
      <c r="E41" s="167">
        <v>3</v>
      </c>
      <c r="G41" s="128" t="s">
        <v>4</v>
      </c>
      <c r="H41" s="167">
        <v>0</v>
      </c>
      <c r="J41" s="128" t="s">
        <v>4</v>
      </c>
      <c r="K41" s="166">
        <v>1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7.0175438596491224</v>
      </c>
      <c r="D42" s="128" t="s">
        <v>5</v>
      </c>
      <c r="E42" s="158">
        <f>E41/E40*100</f>
        <v>8.8235294117647065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100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91</v>
      </c>
      <c r="D44" s="154" t="s">
        <v>123</v>
      </c>
      <c r="E44" s="154">
        <f>B30+B44</f>
        <v>306</v>
      </c>
    </row>
    <row r="45" spans="1:22" ht="15" customHeight="1" x14ac:dyDescent="0.25">
      <c r="A45" s="154" t="s">
        <v>44</v>
      </c>
      <c r="B45" s="170">
        <f>B36+B41</f>
        <v>4</v>
      </c>
      <c r="D45" s="154" t="s">
        <v>44</v>
      </c>
      <c r="E45" s="170">
        <f>B31+B36+B41</f>
        <v>33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4.395604395604396</v>
      </c>
      <c r="D46" s="171" t="s">
        <v>11</v>
      </c>
      <c r="E46" s="158">
        <f>E45/E44*100</f>
        <v>10.784313725490197</v>
      </c>
    </row>
    <row r="49" spans="1:11" ht="15" customHeight="1" x14ac:dyDescent="0.25">
      <c r="A49" s="313" t="s">
        <v>144</v>
      </c>
      <c r="B49" s="314"/>
      <c r="C49" s="313" t="s">
        <v>145</v>
      </c>
      <c r="D49" s="314"/>
    </row>
    <row r="50" spans="1:11" ht="15" customHeight="1" x14ac:dyDescent="0.25">
      <c r="A50" s="387">
        <v>3</v>
      </c>
      <c r="B50" s="387"/>
      <c r="C50" s="387">
        <v>1</v>
      </c>
      <c r="D50" s="387"/>
    </row>
    <row r="51" spans="1:11" ht="15" customHeight="1" x14ac:dyDescent="0.25">
      <c r="A51" s="313" t="s">
        <v>141</v>
      </c>
      <c r="B51" s="314"/>
      <c r="C51" s="313" t="s">
        <v>52</v>
      </c>
      <c r="D51" s="314"/>
    </row>
    <row r="52" spans="1:11" ht="15" customHeight="1" x14ac:dyDescent="0.25">
      <c r="A52" s="387">
        <v>2</v>
      </c>
      <c r="B52" s="387"/>
      <c r="C52" s="387">
        <v>1</v>
      </c>
      <c r="D52" s="387"/>
    </row>
    <row r="53" spans="1:11" ht="15" customHeight="1" x14ac:dyDescent="0.25">
      <c r="A53" s="313" t="s">
        <v>146</v>
      </c>
      <c r="B53" s="314"/>
      <c r="C53" s="313" t="s">
        <v>147</v>
      </c>
      <c r="D53" s="314"/>
    </row>
    <row r="54" spans="1:11" ht="15" customHeight="1" x14ac:dyDescent="0.25">
      <c r="A54" s="387">
        <v>1</v>
      </c>
      <c r="B54" s="387"/>
      <c r="C54" s="387">
        <v>1</v>
      </c>
      <c r="D54" s="38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  <row r="60" spans="1:11" ht="15" customHeight="1" x14ac:dyDescent="0.25">
      <c r="G60" s="127">
        <f>41/60</f>
        <v>0.68333333333333335</v>
      </c>
    </row>
  </sheetData>
  <mergeCells count="55">
    <mergeCell ref="F55:G55"/>
    <mergeCell ref="H55:I55"/>
    <mergeCell ref="J55:K55"/>
    <mergeCell ref="C53:D53"/>
    <mergeCell ref="C54:D54"/>
    <mergeCell ref="F54:G54"/>
    <mergeCell ref="H54:I54"/>
    <mergeCell ref="J54:K54"/>
    <mergeCell ref="S39:T39"/>
    <mergeCell ref="A49:B49"/>
    <mergeCell ref="C49:D49"/>
    <mergeCell ref="A50:B50"/>
    <mergeCell ref="C50:D50"/>
    <mergeCell ref="G39:H39"/>
    <mergeCell ref="J39:K39"/>
    <mergeCell ref="M39:N39"/>
    <mergeCell ref="P39:Q39"/>
    <mergeCell ref="A51:B51"/>
    <mergeCell ref="C51:D51"/>
    <mergeCell ref="A53:B53"/>
    <mergeCell ref="A54:B54"/>
    <mergeCell ref="A39:B39"/>
    <mergeCell ref="D39:E39"/>
    <mergeCell ref="A52:B52"/>
    <mergeCell ref="C52:D52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97BC-F07B-4931-A9B2-FB4591DDC507}">
  <sheetPr>
    <outlinePr summaryBelow="0" summaryRight="0"/>
  </sheetPr>
  <dimension ref="A1:V55"/>
  <sheetViews>
    <sheetView showGridLines="0" topLeftCell="A14" zoomScale="106" zoomScaleNormal="106" workbookViewId="0">
      <selection activeCell="G9" sqref="G9:H42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517</v>
      </c>
      <c r="D2" s="130"/>
      <c r="E2" s="131"/>
    </row>
    <row r="3" spans="1:20" x14ac:dyDescent="0.25">
      <c r="A3" s="128" t="s">
        <v>30</v>
      </c>
      <c r="B3" s="173">
        <v>25</v>
      </c>
      <c r="D3" s="130"/>
      <c r="E3" s="131"/>
    </row>
    <row r="4" spans="1:20" x14ac:dyDescent="0.25">
      <c r="A4" s="128" t="s">
        <v>3</v>
      </c>
      <c r="B4" s="132">
        <f>B2+B3</f>
        <v>542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56</v>
      </c>
      <c r="D6" s="134" t="s">
        <v>43</v>
      </c>
      <c r="E6" s="136">
        <v>5</v>
      </c>
      <c r="G6" s="128" t="s">
        <v>44</v>
      </c>
      <c r="H6" s="136">
        <f>B6+E6</f>
        <v>61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11.254612546125461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75</v>
      </c>
      <c r="D10" s="128" t="s">
        <v>29</v>
      </c>
      <c r="E10" s="128">
        <v>48</v>
      </c>
      <c r="G10" s="128" t="s">
        <v>29</v>
      </c>
      <c r="H10" s="128">
        <v>3</v>
      </c>
      <c r="J10" s="128" t="s">
        <v>29</v>
      </c>
      <c r="K10" s="128">
        <v>2</v>
      </c>
      <c r="M10" s="128" t="s">
        <v>29</v>
      </c>
      <c r="N10" s="128">
        <v>3</v>
      </c>
      <c r="P10" s="128" t="s">
        <v>29</v>
      </c>
      <c r="Q10" s="128">
        <v>13</v>
      </c>
      <c r="S10" s="128" t="s">
        <v>29</v>
      </c>
      <c r="T10" s="128">
        <v>6</v>
      </c>
    </row>
    <row r="11" spans="1:20" x14ac:dyDescent="0.25">
      <c r="A11" s="128" t="s">
        <v>30</v>
      </c>
      <c r="B11" s="174">
        <f>E11+H11+K11+N11+Q11+T11</f>
        <v>6</v>
      </c>
      <c r="D11" s="128" t="s">
        <v>30</v>
      </c>
      <c r="E11" s="174">
        <v>0</v>
      </c>
      <c r="G11" s="128" t="s">
        <v>30</v>
      </c>
      <c r="H11" s="174">
        <v>6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81</v>
      </c>
      <c r="D12" s="140" t="s">
        <v>125</v>
      </c>
      <c r="E12" s="140">
        <f>E10+E11</f>
        <v>48</v>
      </c>
      <c r="G12" s="140" t="s">
        <v>125</v>
      </c>
      <c r="H12" s="140">
        <f>H10+H11</f>
        <v>9</v>
      </c>
      <c r="J12" s="140" t="s">
        <v>125</v>
      </c>
      <c r="K12" s="140">
        <f>K10+K11</f>
        <v>2</v>
      </c>
      <c r="M12" s="140" t="s">
        <v>125</v>
      </c>
      <c r="N12" s="140">
        <f>N10+N11</f>
        <v>3</v>
      </c>
      <c r="P12" s="140" t="s">
        <v>125</v>
      </c>
      <c r="Q12" s="140">
        <f>Q10+Q11</f>
        <v>13</v>
      </c>
      <c r="S12" s="140" t="s">
        <v>125</v>
      </c>
      <c r="T12" s="140">
        <f>T10+T11</f>
        <v>6</v>
      </c>
    </row>
    <row r="13" spans="1:20" x14ac:dyDescent="0.25">
      <c r="A13" s="128" t="s">
        <v>66</v>
      </c>
      <c r="B13" s="141">
        <f>E13+H13+K13+N13+Q13+T13</f>
        <v>9</v>
      </c>
      <c r="D13" s="128" t="s">
        <v>136</v>
      </c>
      <c r="E13" s="141">
        <v>5</v>
      </c>
      <c r="G13" s="128" t="s">
        <v>136</v>
      </c>
      <c r="H13" s="141">
        <v>1</v>
      </c>
      <c r="J13" s="128" t="s">
        <v>4</v>
      </c>
      <c r="K13" s="141">
        <v>1</v>
      </c>
      <c r="M13" s="128" t="s">
        <v>136</v>
      </c>
      <c r="N13" s="141">
        <v>0</v>
      </c>
      <c r="P13" s="128" t="s">
        <v>136</v>
      </c>
      <c r="Q13" s="141">
        <v>2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11.111111111111111</v>
      </c>
      <c r="D14" s="128" t="s">
        <v>5</v>
      </c>
      <c r="E14" s="143">
        <f>E13/E12*100</f>
        <v>10.416666666666668</v>
      </c>
      <c r="G14" s="128" t="s">
        <v>5</v>
      </c>
      <c r="H14" s="143">
        <f>H13/H12*100</f>
        <v>11.111111111111111</v>
      </c>
      <c r="J14" s="128" t="s">
        <v>5</v>
      </c>
      <c r="K14" s="144">
        <f>K13/K12*100</f>
        <v>50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15.384615384615385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33</v>
      </c>
      <c r="D18" s="154" t="s">
        <v>29</v>
      </c>
      <c r="E18" s="154">
        <v>22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2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33</v>
      </c>
      <c r="D19" s="140" t="s">
        <v>125</v>
      </c>
      <c r="E19" s="156">
        <f>E18</f>
        <v>22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2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2</v>
      </c>
      <c r="D20" s="128" t="s">
        <v>73</v>
      </c>
      <c r="E20" s="141">
        <v>2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6.0606060606060606</v>
      </c>
      <c r="D21" s="128" t="s">
        <v>5</v>
      </c>
      <c r="E21" s="158">
        <f>E20/E19*100</f>
        <v>9.0909090909090917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114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11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9.6491228070175428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211</v>
      </c>
      <c r="D28" s="128" t="s">
        <v>28</v>
      </c>
      <c r="E28" s="128">
        <v>147</v>
      </c>
      <c r="G28" s="128" t="s">
        <v>28</v>
      </c>
      <c r="H28" s="128">
        <v>14</v>
      </c>
      <c r="J28" s="128" t="s">
        <v>28</v>
      </c>
      <c r="K28" s="128">
        <v>8</v>
      </c>
      <c r="M28" s="128" t="s">
        <v>28</v>
      </c>
      <c r="N28" s="128">
        <v>12</v>
      </c>
      <c r="P28" s="128" t="s">
        <v>28</v>
      </c>
      <c r="Q28" s="128">
        <v>22</v>
      </c>
      <c r="S28" s="128" t="s">
        <v>28</v>
      </c>
      <c r="T28" s="128">
        <v>8</v>
      </c>
    </row>
    <row r="29" spans="1:20" x14ac:dyDescent="0.25">
      <c r="A29" s="128" t="s">
        <v>30</v>
      </c>
      <c r="B29" s="174">
        <f>E29+H29</f>
        <v>17</v>
      </c>
      <c r="D29" s="128" t="s">
        <v>30</v>
      </c>
      <c r="E29" s="174">
        <v>0</v>
      </c>
      <c r="G29" s="128" t="s">
        <v>30</v>
      </c>
      <c r="H29" s="174">
        <v>17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228</v>
      </c>
      <c r="D30" s="163" t="s">
        <v>125</v>
      </c>
      <c r="E30" s="163">
        <f>E28+E29</f>
        <v>147</v>
      </c>
      <c r="G30" s="163" t="s">
        <v>125</v>
      </c>
      <c r="H30" s="163">
        <f>H28+H29</f>
        <v>31</v>
      </c>
      <c r="J30" s="163" t="s">
        <v>125</v>
      </c>
      <c r="K30" s="163">
        <f>K28+K29</f>
        <v>8</v>
      </c>
      <c r="M30" s="163" t="s">
        <v>125</v>
      </c>
      <c r="N30" s="163">
        <f>N28+N29</f>
        <v>12</v>
      </c>
      <c r="P30" s="163" t="s">
        <v>125</v>
      </c>
      <c r="Q30" s="163">
        <f>Q28+Q29</f>
        <v>22</v>
      </c>
      <c r="S30" s="163" t="s">
        <v>125</v>
      </c>
      <c r="T30" s="163">
        <f>T28+T29</f>
        <v>8</v>
      </c>
    </row>
    <row r="31" spans="1:20" x14ac:dyDescent="0.25">
      <c r="A31" s="128" t="s">
        <v>4</v>
      </c>
      <c r="B31" s="164">
        <f>E31+H31+K31+N31+Q31+T31</f>
        <v>44</v>
      </c>
      <c r="D31" s="128" t="s">
        <v>4</v>
      </c>
      <c r="E31" s="165">
        <v>32</v>
      </c>
      <c r="G31" s="128" t="s">
        <v>4</v>
      </c>
      <c r="H31" s="164">
        <v>6</v>
      </c>
      <c r="J31" s="128" t="s">
        <v>4</v>
      </c>
      <c r="K31" s="166">
        <v>2</v>
      </c>
      <c r="M31" s="128" t="s">
        <v>4</v>
      </c>
      <c r="N31" s="167">
        <v>0</v>
      </c>
      <c r="P31" s="128" t="s">
        <v>4</v>
      </c>
      <c r="Q31" s="167">
        <v>3</v>
      </c>
      <c r="S31" s="128" t="s">
        <v>4</v>
      </c>
      <c r="T31" s="167">
        <v>1</v>
      </c>
    </row>
    <row r="32" spans="1:20" x14ac:dyDescent="0.25">
      <c r="A32" s="128" t="s">
        <v>5</v>
      </c>
      <c r="B32" s="162">
        <f>B31/B30*100</f>
        <v>19.298245614035086</v>
      </c>
      <c r="D32" s="128" t="s">
        <v>5</v>
      </c>
      <c r="E32" s="162">
        <f>E31/E30*100</f>
        <v>21.768707482993197</v>
      </c>
      <c r="G32" s="128" t="s">
        <v>5</v>
      </c>
      <c r="H32" s="162">
        <f>H31/H30*100</f>
        <v>19.35483870967742</v>
      </c>
      <c r="J32" s="128" t="s">
        <v>5</v>
      </c>
      <c r="K32" s="162">
        <f>K31/K30*100%</f>
        <v>0.25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13.636363636363635</v>
      </c>
      <c r="S32" s="128" t="s">
        <v>5</v>
      </c>
      <c r="T32" s="168">
        <f>T31/T30</f>
        <v>0.125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35</v>
      </c>
      <c r="D35" s="163" t="s">
        <v>28</v>
      </c>
      <c r="E35" s="163">
        <v>22</v>
      </c>
      <c r="G35" s="163" t="s">
        <v>28</v>
      </c>
      <c r="H35" s="163">
        <v>4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53</v>
      </c>
      <c r="D40" s="163" t="s">
        <v>28</v>
      </c>
      <c r="E40" s="163">
        <v>31</v>
      </c>
      <c r="G40" s="163" t="s">
        <v>28</v>
      </c>
      <c r="H40" s="163">
        <v>10</v>
      </c>
      <c r="J40" s="163" t="s">
        <v>28</v>
      </c>
      <c r="K40" s="163">
        <v>0</v>
      </c>
      <c r="M40" s="163" t="s">
        <v>28</v>
      </c>
      <c r="N40" s="163">
        <v>2</v>
      </c>
      <c r="P40" s="163" t="s">
        <v>28</v>
      </c>
      <c r="Q40" s="163">
        <v>6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1</v>
      </c>
      <c r="G41" s="128" t="s">
        <v>4</v>
      </c>
      <c r="H41" s="167">
        <v>2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5.6603773584905666</v>
      </c>
      <c r="D42" s="128" t="s">
        <v>5</v>
      </c>
      <c r="E42" s="158">
        <f>E41/E40*100</f>
        <v>3.225806451612903</v>
      </c>
      <c r="G42" s="128" t="s">
        <v>5</v>
      </c>
      <c r="H42" s="162">
        <f>H41/H40*100</f>
        <v>20</v>
      </c>
      <c r="J42" s="128" t="s">
        <v>5</v>
      </c>
      <c r="K42" s="162" t="e">
        <f>K41/K40*100</f>
        <v>#DIV/0!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88</v>
      </c>
      <c r="D44" s="154" t="s">
        <v>123</v>
      </c>
      <c r="E44" s="154">
        <f>B30+B44</f>
        <v>316</v>
      </c>
    </row>
    <row r="45" spans="1:22" ht="15" customHeight="1" x14ac:dyDescent="0.25">
      <c r="A45" s="154" t="s">
        <v>44</v>
      </c>
      <c r="B45" s="170">
        <f>B36+B41</f>
        <v>3</v>
      </c>
      <c r="D45" s="154" t="s">
        <v>44</v>
      </c>
      <c r="E45" s="170">
        <f>B31+B36+B41</f>
        <v>47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3.4090909090909087</v>
      </c>
      <c r="D46" s="171" t="s">
        <v>11</v>
      </c>
      <c r="E46" s="158">
        <f>E45/E44*100</f>
        <v>14.873417721518987</v>
      </c>
    </row>
    <row r="49" spans="1:11" ht="15" customHeight="1" x14ac:dyDescent="0.25">
      <c r="A49" s="313" t="s">
        <v>148</v>
      </c>
      <c r="B49" s="314"/>
      <c r="C49" s="313" t="s">
        <v>144</v>
      </c>
      <c r="D49" s="314"/>
    </row>
    <row r="50" spans="1:11" ht="15" customHeight="1" x14ac:dyDescent="0.25">
      <c r="A50" s="387">
        <v>1</v>
      </c>
      <c r="B50" s="387"/>
      <c r="C50" s="387">
        <v>1</v>
      </c>
      <c r="D50" s="387"/>
    </row>
    <row r="51" spans="1:11" ht="15" customHeight="1" x14ac:dyDescent="0.25">
      <c r="A51" s="313" t="s">
        <v>141</v>
      </c>
      <c r="B51" s="314"/>
      <c r="C51" s="391"/>
      <c r="D51" s="392"/>
    </row>
    <row r="52" spans="1:11" ht="15" customHeight="1" x14ac:dyDescent="0.25">
      <c r="A52" s="387">
        <v>1</v>
      </c>
      <c r="B52" s="387"/>
      <c r="C52" s="387"/>
      <c r="D52" s="387"/>
    </row>
    <row r="53" spans="1:11" ht="15" customHeight="1" x14ac:dyDescent="0.25">
      <c r="A53" s="391"/>
      <c r="B53" s="392"/>
      <c r="C53" s="391"/>
      <c r="D53" s="392"/>
    </row>
    <row r="54" spans="1:11" ht="15" customHeight="1" x14ac:dyDescent="0.25">
      <c r="A54" s="387"/>
      <c r="B54" s="387"/>
      <c r="C54" s="387"/>
      <c r="D54" s="38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</sheetData>
  <mergeCells count="55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A51:B51"/>
    <mergeCell ref="C51:D51"/>
    <mergeCell ref="A39:B39"/>
    <mergeCell ref="D39:E39"/>
    <mergeCell ref="G39:H39"/>
    <mergeCell ref="S39:T39"/>
    <mergeCell ref="A49:B49"/>
    <mergeCell ref="C49:D49"/>
    <mergeCell ref="A50:B50"/>
    <mergeCell ref="C50:D50"/>
    <mergeCell ref="J39:K39"/>
    <mergeCell ref="M39:N39"/>
    <mergeCell ref="P39:Q39"/>
    <mergeCell ref="A52:B52"/>
    <mergeCell ref="C52:D52"/>
    <mergeCell ref="A53:B53"/>
    <mergeCell ref="C53:D53"/>
    <mergeCell ref="A54:B54"/>
    <mergeCell ref="C54:D54"/>
    <mergeCell ref="F54:G54"/>
    <mergeCell ref="H54:I54"/>
    <mergeCell ref="J54:K54"/>
    <mergeCell ref="F55:G55"/>
    <mergeCell ref="H55:I55"/>
    <mergeCell ref="J55:K55"/>
  </mergeCells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3EF7-FD82-4B6F-AE45-C9039AEF22BC}">
  <sheetPr>
    <outlinePr summaryBelow="0" summaryRight="0"/>
  </sheetPr>
  <dimension ref="A1:V56"/>
  <sheetViews>
    <sheetView showGridLines="0" topLeftCell="A15" zoomScale="106" zoomScaleNormal="106" workbookViewId="0">
      <selection activeCell="G9" sqref="G9:H42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1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500</v>
      </c>
      <c r="D2" s="130"/>
      <c r="E2" s="131"/>
    </row>
    <row r="3" spans="1:20" x14ac:dyDescent="0.25">
      <c r="A3" s="128" t="s">
        <v>30</v>
      </c>
      <c r="B3" s="173">
        <v>25</v>
      </c>
      <c r="D3" s="130"/>
      <c r="E3" s="131"/>
    </row>
    <row r="4" spans="1:20" x14ac:dyDescent="0.25">
      <c r="A4" s="128" t="s">
        <v>3</v>
      </c>
      <c r="B4" s="132">
        <f>B2+B3</f>
        <v>525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44</v>
      </c>
      <c r="D6" s="134" t="s">
        <v>43</v>
      </c>
      <c r="E6" s="136">
        <v>5</v>
      </c>
      <c r="G6" s="128" t="s">
        <v>44</v>
      </c>
      <c r="H6" s="136">
        <f>B6+E6</f>
        <v>49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9.3333333333333339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81</v>
      </c>
      <c r="D10" s="128" t="s">
        <v>29</v>
      </c>
      <c r="E10" s="128">
        <v>53</v>
      </c>
      <c r="G10" s="128" t="s">
        <v>29</v>
      </c>
      <c r="H10" s="128">
        <v>5</v>
      </c>
      <c r="J10" s="128" t="s">
        <v>29</v>
      </c>
      <c r="K10" s="128">
        <v>1</v>
      </c>
      <c r="M10" s="128" t="s">
        <v>29</v>
      </c>
      <c r="N10" s="128">
        <v>3</v>
      </c>
      <c r="P10" s="128" t="s">
        <v>29</v>
      </c>
      <c r="Q10" s="128">
        <v>12</v>
      </c>
      <c r="S10" s="128" t="s">
        <v>29</v>
      </c>
      <c r="T10" s="128">
        <v>7</v>
      </c>
    </row>
    <row r="11" spans="1:20" x14ac:dyDescent="0.25">
      <c r="A11" s="128" t="s">
        <v>30</v>
      </c>
      <c r="B11" s="174">
        <f>E11+H11+K11+N11+Q11+T11</f>
        <v>8</v>
      </c>
      <c r="D11" s="128" t="s">
        <v>30</v>
      </c>
      <c r="E11" s="174">
        <v>0</v>
      </c>
      <c r="G11" s="128" t="s">
        <v>30</v>
      </c>
      <c r="H11" s="174">
        <v>8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89</v>
      </c>
      <c r="D12" s="140" t="s">
        <v>125</v>
      </c>
      <c r="E12" s="140">
        <f>E10+E11</f>
        <v>53</v>
      </c>
      <c r="G12" s="140" t="s">
        <v>125</v>
      </c>
      <c r="H12" s="140">
        <f>H10+H11</f>
        <v>13</v>
      </c>
      <c r="J12" s="140" t="s">
        <v>125</v>
      </c>
      <c r="K12" s="140">
        <f>K10+K11</f>
        <v>1</v>
      </c>
      <c r="M12" s="140" t="s">
        <v>125</v>
      </c>
      <c r="N12" s="140">
        <f>N10+N11</f>
        <v>3</v>
      </c>
      <c r="P12" s="140" t="s">
        <v>125</v>
      </c>
      <c r="Q12" s="140">
        <f>Q10+Q11</f>
        <v>12</v>
      </c>
      <c r="S12" s="140" t="s">
        <v>125</v>
      </c>
      <c r="T12" s="140">
        <f>T10+T11</f>
        <v>7</v>
      </c>
    </row>
    <row r="13" spans="1:20" x14ac:dyDescent="0.25">
      <c r="A13" s="128" t="s">
        <v>66</v>
      </c>
      <c r="B13" s="141">
        <f>E13+H13+K13+N13+Q13+T13</f>
        <v>11</v>
      </c>
      <c r="D13" s="128" t="s">
        <v>136</v>
      </c>
      <c r="E13" s="141">
        <v>6</v>
      </c>
      <c r="G13" s="128" t="s">
        <v>136</v>
      </c>
      <c r="H13" s="141">
        <v>3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1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12.359550561797752</v>
      </c>
      <c r="D14" s="128" t="s">
        <v>5</v>
      </c>
      <c r="E14" s="143">
        <f>E13/E12*100</f>
        <v>11.320754716981133</v>
      </c>
      <c r="G14" s="128" t="s">
        <v>5</v>
      </c>
      <c r="H14" s="143">
        <f>H13/H12*100</f>
        <v>23.076923076923077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8.3333333333333321</v>
      </c>
      <c r="S14" s="128" t="s">
        <v>5</v>
      </c>
      <c r="T14" s="144">
        <f>T13/T12*100</f>
        <v>14.285714285714285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34</v>
      </c>
      <c r="D18" s="154" t="s">
        <v>29</v>
      </c>
      <c r="E18" s="154">
        <v>23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1</v>
      </c>
      <c r="P18" s="154" t="s">
        <v>29</v>
      </c>
      <c r="Q18" s="154">
        <v>2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34</v>
      </c>
      <c r="D19" s="140" t="s">
        <v>125</v>
      </c>
      <c r="E19" s="156">
        <f>E18</f>
        <v>23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1</v>
      </c>
      <c r="P19" s="140" t="s">
        <v>125</v>
      </c>
      <c r="Q19" s="156">
        <f>Q18</f>
        <v>2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2.9411764705882351</v>
      </c>
      <c r="D21" s="128" t="s">
        <v>5</v>
      </c>
      <c r="E21" s="158">
        <f>E20/E19*100</f>
        <v>4.3478260869565215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123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12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9.7560975609756095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188</v>
      </c>
      <c r="D28" s="128" t="s">
        <v>28</v>
      </c>
      <c r="E28" s="128">
        <v>128</v>
      </c>
      <c r="G28" s="128" t="s">
        <v>28</v>
      </c>
      <c r="H28" s="128">
        <v>15</v>
      </c>
      <c r="J28" s="128" t="s">
        <v>28</v>
      </c>
      <c r="K28" s="128">
        <v>6</v>
      </c>
      <c r="M28" s="128" t="s">
        <v>28</v>
      </c>
      <c r="N28" s="128">
        <v>12</v>
      </c>
      <c r="P28" s="128" t="s">
        <v>28</v>
      </c>
      <c r="Q28" s="128">
        <v>19</v>
      </c>
      <c r="S28" s="128" t="s">
        <v>28</v>
      </c>
      <c r="T28" s="128">
        <v>8</v>
      </c>
    </row>
    <row r="29" spans="1:20" x14ac:dyDescent="0.25">
      <c r="A29" s="128" t="s">
        <v>30</v>
      </c>
      <c r="B29" s="174">
        <f>E29+H29</f>
        <v>15</v>
      </c>
      <c r="D29" s="128" t="s">
        <v>30</v>
      </c>
      <c r="E29" s="174">
        <v>0</v>
      </c>
      <c r="G29" s="128" t="s">
        <v>30</v>
      </c>
      <c r="H29" s="174">
        <v>15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203</v>
      </c>
      <c r="D30" s="163" t="s">
        <v>125</v>
      </c>
      <c r="E30" s="163">
        <f>E28+E29</f>
        <v>128</v>
      </c>
      <c r="G30" s="163" t="s">
        <v>125</v>
      </c>
      <c r="H30" s="163">
        <f>H28+H29</f>
        <v>30</v>
      </c>
      <c r="J30" s="163" t="s">
        <v>125</v>
      </c>
      <c r="K30" s="163">
        <f>K28+K29</f>
        <v>6</v>
      </c>
      <c r="M30" s="163" t="s">
        <v>125</v>
      </c>
      <c r="N30" s="163">
        <f>N28+N29</f>
        <v>12</v>
      </c>
      <c r="P30" s="163" t="s">
        <v>125</v>
      </c>
      <c r="Q30" s="163">
        <f>Q28+Q29</f>
        <v>19</v>
      </c>
      <c r="S30" s="163" t="s">
        <v>125</v>
      </c>
      <c r="T30" s="163">
        <f>T28+T29</f>
        <v>8</v>
      </c>
    </row>
    <row r="31" spans="1:20" x14ac:dyDescent="0.25">
      <c r="A31" s="128" t="s">
        <v>4</v>
      </c>
      <c r="B31" s="164">
        <f>E31+H31+K31+N31+Q31+T31</f>
        <v>25</v>
      </c>
      <c r="D31" s="128" t="s">
        <v>4</v>
      </c>
      <c r="E31" s="165">
        <v>18</v>
      </c>
      <c r="G31" s="128" t="s">
        <v>4</v>
      </c>
      <c r="H31" s="164">
        <v>6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1</v>
      </c>
      <c r="S31" s="128" t="s">
        <v>4</v>
      </c>
      <c r="T31" s="167">
        <v>0</v>
      </c>
    </row>
    <row r="32" spans="1:20" x14ac:dyDescent="0.25">
      <c r="A32" s="128" t="s">
        <v>5</v>
      </c>
      <c r="B32" s="162">
        <f>B31/B30*100</f>
        <v>12.315270935960591</v>
      </c>
      <c r="D32" s="128" t="s">
        <v>5</v>
      </c>
      <c r="E32" s="162">
        <f>E31/E30*100</f>
        <v>14.0625</v>
      </c>
      <c r="G32" s="128" t="s">
        <v>5</v>
      </c>
      <c r="H32" s="162">
        <f>H31/H30*100</f>
        <v>20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5.2631578947368416</v>
      </c>
      <c r="S32" s="128" t="s">
        <v>5</v>
      </c>
      <c r="T32" s="168">
        <f>T31/T30</f>
        <v>0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35</v>
      </c>
      <c r="D35" s="163" t="s">
        <v>28</v>
      </c>
      <c r="E35" s="163">
        <v>21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2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1</v>
      </c>
    </row>
    <row r="37" spans="1:22" ht="15" customHeight="1" x14ac:dyDescent="0.25">
      <c r="A37" s="128" t="s">
        <v>5</v>
      </c>
      <c r="B37" s="158">
        <f>B36/B35*100</f>
        <v>5.7142857142857144</v>
      </c>
      <c r="D37" s="128" t="s">
        <v>5</v>
      </c>
      <c r="E37" s="158">
        <f>E36/E35*100</f>
        <v>4.7619047619047619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50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53</v>
      </c>
      <c r="D40" s="163" t="s">
        <v>28</v>
      </c>
      <c r="E40" s="163">
        <v>32</v>
      </c>
      <c r="G40" s="163" t="s">
        <v>28</v>
      </c>
      <c r="H40" s="163">
        <v>8</v>
      </c>
      <c r="J40" s="163" t="s">
        <v>28</v>
      </c>
      <c r="K40" s="163">
        <v>0</v>
      </c>
      <c r="M40" s="163" t="s">
        <v>28</v>
      </c>
      <c r="N40" s="163">
        <v>2</v>
      </c>
      <c r="P40" s="163" t="s">
        <v>28</v>
      </c>
      <c r="Q40" s="163">
        <v>7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1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1</v>
      </c>
      <c r="S41" s="128" t="s">
        <v>4</v>
      </c>
      <c r="T41" s="166">
        <v>1</v>
      </c>
    </row>
    <row r="42" spans="1:22" ht="15" customHeight="1" x14ac:dyDescent="0.25">
      <c r="A42" s="128" t="s">
        <v>5</v>
      </c>
      <c r="B42" s="158">
        <f>B41/B40*100</f>
        <v>5.6603773584905666</v>
      </c>
      <c r="D42" s="128" t="s">
        <v>5</v>
      </c>
      <c r="E42" s="158">
        <f>E41/E40*100</f>
        <v>3.125</v>
      </c>
      <c r="G42" s="128" t="s">
        <v>5</v>
      </c>
      <c r="H42" s="162">
        <f>H41/H40*100</f>
        <v>0</v>
      </c>
      <c r="J42" s="128" t="s">
        <v>5</v>
      </c>
      <c r="K42" s="162" t="e">
        <f>K41/K40*100</f>
        <v>#DIV/0!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14.285714285714285</v>
      </c>
      <c r="S42" s="128" t="s">
        <v>5</v>
      </c>
      <c r="T42" s="162">
        <f>T41/T40*100</f>
        <v>25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88</v>
      </c>
      <c r="D44" s="154" t="s">
        <v>123</v>
      </c>
      <c r="E44" s="154">
        <f>B30+B44</f>
        <v>291</v>
      </c>
    </row>
    <row r="45" spans="1:22" ht="15" customHeight="1" x14ac:dyDescent="0.25">
      <c r="A45" s="154" t="s">
        <v>44</v>
      </c>
      <c r="B45" s="170">
        <f>B36+B41</f>
        <v>5</v>
      </c>
      <c r="D45" s="154" t="s">
        <v>44</v>
      </c>
      <c r="E45" s="170">
        <f>B31+B36+B41</f>
        <v>30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5.6818181818181817</v>
      </c>
      <c r="D46" s="171" t="s">
        <v>11</v>
      </c>
      <c r="E46" s="158">
        <f>E45/E44*100</f>
        <v>10.309278350515463</v>
      </c>
    </row>
    <row r="49" spans="1:11" ht="15" customHeight="1" x14ac:dyDescent="0.25">
      <c r="A49" s="313" t="s">
        <v>149</v>
      </c>
      <c r="B49" s="314"/>
      <c r="C49" s="313" t="s">
        <v>150</v>
      </c>
      <c r="D49" s="314"/>
    </row>
    <row r="50" spans="1:11" ht="15" customHeight="1" x14ac:dyDescent="0.25">
      <c r="A50" s="387">
        <v>1</v>
      </c>
      <c r="B50" s="387"/>
      <c r="C50" s="387">
        <v>1</v>
      </c>
      <c r="D50" s="387"/>
    </row>
    <row r="51" spans="1:11" ht="15" customHeight="1" x14ac:dyDescent="0.25">
      <c r="A51" s="313" t="s">
        <v>141</v>
      </c>
      <c r="B51" s="314"/>
      <c r="C51" s="391" t="s">
        <v>151</v>
      </c>
      <c r="D51" s="392"/>
    </row>
    <row r="52" spans="1:11" ht="15" customHeight="1" x14ac:dyDescent="0.25">
      <c r="A52" s="387">
        <v>4</v>
      </c>
      <c r="B52" s="387"/>
      <c r="C52" s="387">
        <v>1</v>
      </c>
      <c r="D52" s="387"/>
    </row>
    <row r="53" spans="1:11" ht="15" customHeight="1" x14ac:dyDescent="0.25">
      <c r="A53" s="391"/>
      <c r="B53" s="392"/>
      <c r="C53" s="391"/>
      <c r="D53" s="392"/>
    </row>
    <row r="54" spans="1:11" ht="15" customHeight="1" x14ac:dyDescent="0.25">
      <c r="A54" s="387"/>
      <c r="B54" s="387"/>
      <c r="C54" s="387"/>
      <c r="D54" s="387"/>
      <c r="F54" s="388"/>
      <c r="G54" s="320"/>
      <c r="H54" s="389"/>
      <c r="I54" s="390"/>
      <c r="J54" s="389"/>
      <c r="K54" s="390"/>
    </row>
    <row r="55" spans="1:11" s="147" customFormat="1" ht="15" customHeight="1" x14ac:dyDescent="0.25">
      <c r="F55" s="385"/>
      <c r="G55" s="385"/>
      <c r="H55" s="386"/>
      <c r="I55" s="386"/>
      <c r="J55" s="386"/>
      <c r="K55" s="386"/>
    </row>
    <row r="56" spans="1:11" ht="15" customHeight="1" x14ac:dyDescent="0.25">
      <c r="A56" s="127">
        <v>110</v>
      </c>
    </row>
  </sheetData>
  <mergeCells count="55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A51:B51"/>
    <mergeCell ref="C51:D51"/>
    <mergeCell ref="A39:B39"/>
    <mergeCell ref="D39:E39"/>
    <mergeCell ref="G39:H39"/>
    <mergeCell ref="S39:T39"/>
    <mergeCell ref="A49:B49"/>
    <mergeCell ref="C49:D49"/>
    <mergeCell ref="A50:B50"/>
    <mergeCell ref="C50:D50"/>
    <mergeCell ref="J39:K39"/>
    <mergeCell ref="M39:N39"/>
    <mergeCell ref="P39:Q39"/>
    <mergeCell ref="A52:B52"/>
    <mergeCell ref="C52:D52"/>
    <mergeCell ref="A53:B53"/>
    <mergeCell ref="C53:D53"/>
    <mergeCell ref="A54:B54"/>
    <mergeCell ref="C54:D54"/>
    <mergeCell ref="F54:G54"/>
    <mergeCell ref="H54:I54"/>
    <mergeCell ref="J54:K54"/>
    <mergeCell ref="F55:G55"/>
    <mergeCell ref="H55:I55"/>
    <mergeCell ref="J55:K55"/>
  </mergeCells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BC1C-A43D-43C2-9548-671887FF5715}">
  <sheetPr>
    <outlinePr summaryBelow="0" summaryRight="0"/>
  </sheetPr>
  <dimension ref="A1:V59"/>
  <sheetViews>
    <sheetView showGridLines="0" topLeftCell="A19" zoomScaleNormal="100" workbookViewId="0">
      <selection activeCell="G9" sqref="G9:H42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502</v>
      </c>
      <c r="D2" s="130"/>
      <c r="E2" s="131"/>
    </row>
    <row r="3" spans="1:20" x14ac:dyDescent="0.25">
      <c r="A3" s="128" t="s">
        <v>30</v>
      </c>
      <c r="B3" s="173">
        <v>25</v>
      </c>
      <c r="D3" s="130"/>
      <c r="E3" s="131"/>
    </row>
    <row r="4" spans="1:20" x14ac:dyDescent="0.25">
      <c r="A4" s="128" t="s">
        <v>3</v>
      </c>
      <c r="B4" s="132">
        <f>B2+B3</f>
        <v>527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54</v>
      </c>
      <c r="D6" s="134" t="s">
        <v>43</v>
      </c>
      <c r="E6" s="136">
        <v>7</v>
      </c>
      <c r="G6" s="128" t="s">
        <v>44</v>
      </c>
      <c r="H6" s="136">
        <f>B6+E6</f>
        <v>61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11.57495256166983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67</v>
      </c>
      <c r="D10" s="128" t="s">
        <v>29</v>
      </c>
      <c r="E10" s="128">
        <v>41</v>
      </c>
      <c r="G10" s="128" t="s">
        <v>29</v>
      </c>
      <c r="H10" s="128">
        <v>5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12</v>
      </c>
      <c r="S10" s="128" t="s">
        <v>29</v>
      </c>
      <c r="T10" s="128">
        <v>6</v>
      </c>
    </row>
    <row r="11" spans="1:20" x14ac:dyDescent="0.25">
      <c r="A11" s="128" t="s">
        <v>30</v>
      </c>
      <c r="B11" s="174">
        <f>E11+H11+K11+N11+Q11+T11</f>
        <v>8</v>
      </c>
      <c r="D11" s="128" t="s">
        <v>30</v>
      </c>
      <c r="E11" s="174">
        <v>0</v>
      </c>
      <c r="G11" s="128" t="s">
        <v>30</v>
      </c>
      <c r="H11" s="174">
        <v>8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75</v>
      </c>
      <c r="D12" s="140" t="s">
        <v>125</v>
      </c>
      <c r="E12" s="140">
        <f>E10+E11</f>
        <v>41</v>
      </c>
      <c r="G12" s="140" t="s">
        <v>125</v>
      </c>
      <c r="H12" s="140">
        <f>H10+H11</f>
        <v>13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12</v>
      </c>
      <c r="S12" s="140" t="s">
        <v>125</v>
      </c>
      <c r="T12" s="140">
        <f>T10+T11</f>
        <v>6</v>
      </c>
    </row>
    <row r="13" spans="1:20" x14ac:dyDescent="0.25">
      <c r="A13" s="128" t="s">
        <v>66</v>
      </c>
      <c r="B13" s="141">
        <f>E13+H13+K13+N13+Q13+T13</f>
        <v>11</v>
      </c>
      <c r="D13" s="128" t="s">
        <v>136</v>
      </c>
      <c r="E13" s="141">
        <v>6</v>
      </c>
      <c r="G13" s="128" t="s">
        <v>136</v>
      </c>
      <c r="H13" s="141">
        <v>2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2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14.666666666666666</v>
      </c>
      <c r="D14" s="128" t="s">
        <v>5</v>
      </c>
      <c r="E14" s="143">
        <f>E13/E12*100</f>
        <v>14.634146341463413</v>
      </c>
      <c r="G14" s="128" t="s">
        <v>5</v>
      </c>
      <c r="H14" s="143">
        <f>H13/H12*100</f>
        <v>15.384615384615385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16.666666666666664</v>
      </c>
      <c r="S14" s="128" t="s">
        <v>5</v>
      </c>
      <c r="T14" s="144">
        <f>T13/T12*100</f>
        <v>16.666666666666664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45</v>
      </c>
      <c r="D18" s="154" t="s">
        <v>29</v>
      </c>
      <c r="E18" s="154">
        <v>32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3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45</v>
      </c>
      <c r="D19" s="140" t="s">
        <v>125</v>
      </c>
      <c r="E19" s="156">
        <f>E18</f>
        <v>32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3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2</v>
      </c>
      <c r="D20" s="128" t="s">
        <v>73</v>
      </c>
      <c r="E20" s="141">
        <v>2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4.4444444444444446</v>
      </c>
      <c r="D21" s="128" t="s">
        <v>5</v>
      </c>
      <c r="E21" s="158">
        <f>E20/E19*100</f>
        <v>6.25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120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13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10.833333333333334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196</v>
      </c>
      <c r="D28" s="128" t="s">
        <v>28</v>
      </c>
      <c r="E28" s="128">
        <v>133</v>
      </c>
      <c r="G28" s="128" t="s">
        <v>28</v>
      </c>
      <c r="H28" s="128">
        <v>13</v>
      </c>
      <c r="J28" s="128" t="s">
        <v>28</v>
      </c>
      <c r="K28" s="128">
        <v>6</v>
      </c>
      <c r="M28" s="128" t="s">
        <v>28</v>
      </c>
      <c r="N28" s="128">
        <v>10</v>
      </c>
      <c r="P28" s="128" t="s">
        <v>28</v>
      </c>
      <c r="Q28" s="128">
        <v>22</v>
      </c>
      <c r="S28" s="128" t="s">
        <v>28</v>
      </c>
      <c r="T28" s="128">
        <v>12</v>
      </c>
    </row>
    <row r="29" spans="1:20" x14ac:dyDescent="0.25">
      <c r="A29" s="128" t="s">
        <v>30</v>
      </c>
      <c r="B29" s="174">
        <f>E29+H29</f>
        <v>16</v>
      </c>
      <c r="D29" s="128" t="s">
        <v>30</v>
      </c>
      <c r="E29" s="174">
        <v>0</v>
      </c>
      <c r="G29" s="128" t="s">
        <v>30</v>
      </c>
      <c r="H29" s="174">
        <v>16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212</v>
      </c>
      <c r="D30" s="163" t="s">
        <v>125</v>
      </c>
      <c r="E30" s="163">
        <f>E28+E29</f>
        <v>133</v>
      </c>
      <c r="G30" s="163" t="s">
        <v>125</v>
      </c>
      <c r="H30" s="163">
        <f>H28+H29</f>
        <v>29</v>
      </c>
      <c r="J30" s="163" t="s">
        <v>125</v>
      </c>
      <c r="K30" s="163">
        <f>K28+K29</f>
        <v>6</v>
      </c>
      <c r="M30" s="163" t="s">
        <v>125</v>
      </c>
      <c r="N30" s="163">
        <f>N28+N29</f>
        <v>10</v>
      </c>
      <c r="P30" s="163" t="s">
        <v>125</v>
      </c>
      <c r="Q30" s="163">
        <f>Q28+Q29</f>
        <v>22</v>
      </c>
      <c r="S30" s="163" t="s">
        <v>125</v>
      </c>
      <c r="T30" s="163">
        <f>T28+T29</f>
        <v>12</v>
      </c>
    </row>
    <row r="31" spans="1:20" x14ac:dyDescent="0.25">
      <c r="A31" s="128" t="s">
        <v>4</v>
      </c>
      <c r="B31" s="164">
        <f>E31+H31+K31+N31+Q31+T31</f>
        <v>39</v>
      </c>
      <c r="D31" s="128" t="s">
        <v>4</v>
      </c>
      <c r="E31" s="165">
        <v>21</v>
      </c>
      <c r="G31" s="128" t="s">
        <v>4</v>
      </c>
      <c r="H31" s="164">
        <v>8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8</v>
      </c>
      <c r="S31" s="128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18.39622641509434</v>
      </c>
      <c r="D32" s="128" t="s">
        <v>5</v>
      </c>
      <c r="E32" s="162">
        <f>E31/E30*100</f>
        <v>15.789473684210526</v>
      </c>
      <c r="G32" s="128" t="s">
        <v>5</v>
      </c>
      <c r="H32" s="162">
        <f>H31/H30*100</f>
        <v>27.586206896551722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36.363636363636367</v>
      </c>
      <c r="S32" s="128" t="s">
        <v>5</v>
      </c>
      <c r="T32" s="168">
        <f>T31/T30</f>
        <v>0.16666666666666666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21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1</v>
      </c>
    </row>
    <row r="36" spans="1:22" x14ac:dyDescent="0.25">
      <c r="A36" s="128" t="s">
        <v>78</v>
      </c>
      <c r="B36" s="169">
        <f>E36+H36+K36+N36+Q36+T36</f>
        <v>2</v>
      </c>
      <c r="D36" s="128" t="s">
        <v>136</v>
      </c>
      <c r="E36" s="167">
        <v>2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5.8823529411764701</v>
      </c>
      <c r="D37" s="128" t="s">
        <v>5</v>
      </c>
      <c r="E37" s="158">
        <f>E36/E35*100</f>
        <v>9.5238095238095237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55</v>
      </c>
      <c r="D40" s="163" t="s">
        <v>28</v>
      </c>
      <c r="E40" s="163">
        <v>32</v>
      </c>
      <c r="G40" s="163" t="s">
        <v>28</v>
      </c>
      <c r="H40" s="163">
        <v>10</v>
      </c>
      <c r="J40" s="163" t="s">
        <v>28</v>
      </c>
      <c r="K40" s="163">
        <v>1</v>
      </c>
      <c r="M40" s="163" t="s">
        <v>28</v>
      </c>
      <c r="N40" s="163">
        <v>2</v>
      </c>
      <c r="P40" s="163" t="s">
        <v>28</v>
      </c>
      <c r="Q40" s="163">
        <v>7</v>
      </c>
      <c r="S40" s="163" t="s">
        <v>28</v>
      </c>
      <c r="T40" s="163">
        <v>3</v>
      </c>
      <c r="V40" s="175"/>
    </row>
    <row r="41" spans="1:22" x14ac:dyDescent="0.25">
      <c r="A41" s="128" t="s">
        <v>121</v>
      </c>
      <c r="B41" s="167">
        <f>E41+H41+K41+N41+Q41+T41</f>
        <v>1</v>
      </c>
      <c r="D41" s="128" t="s">
        <v>4</v>
      </c>
      <c r="E41" s="167">
        <v>1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1.8181818181818181</v>
      </c>
      <c r="D42" s="128" t="s">
        <v>5</v>
      </c>
      <c r="E42" s="158">
        <f>E41/E40*100</f>
        <v>3.125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89</v>
      </c>
      <c r="D44" s="154" t="s">
        <v>123</v>
      </c>
      <c r="E44" s="154">
        <f>B30+B44</f>
        <v>301</v>
      </c>
    </row>
    <row r="45" spans="1:22" ht="15" customHeight="1" x14ac:dyDescent="0.25">
      <c r="A45" s="154" t="s">
        <v>44</v>
      </c>
      <c r="B45" s="170">
        <f>B36+B41</f>
        <v>3</v>
      </c>
      <c r="D45" s="154" t="s">
        <v>44</v>
      </c>
      <c r="E45" s="170">
        <f>B31+B36+B41</f>
        <v>42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3.3707865168539324</v>
      </c>
      <c r="D46" s="171" t="s">
        <v>11</v>
      </c>
      <c r="E46" s="158">
        <f>E45/E44*100</f>
        <v>13.953488372093023</v>
      </c>
    </row>
    <row r="49" spans="1:11" ht="15" customHeight="1" x14ac:dyDescent="0.25">
      <c r="A49" s="313" t="s">
        <v>153</v>
      </c>
      <c r="B49" s="314"/>
      <c r="C49" s="403" t="s">
        <v>154</v>
      </c>
      <c r="D49" s="387"/>
      <c r="G49" s="176" t="s">
        <v>152</v>
      </c>
      <c r="I49" s="127">
        <v>105</v>
      </c>
    </row>
    <row r="50" spans="1:11" ht="15" customHeight="1" x14ac:dyDescent="0.25">
      <c r="A50" s="313" t="s">
        <v>155</v>
      </c>
      <c r="B50" s="314"/>
      <c r="C50" s="403" t="s">
        <v>156</v>
      </c>
      <c r="D50" s="387"/>
    </row>
    <row r="51" spans="1:11" ht="15" customHeight="1" x14ac:dyDescent="0.25">
      <c r="A51" s="313" t="s">
        <v>167</v>
      </c>
      <c r="B51" s="314"/>
      <c r="C51" s="403" t="s">
        <v>157</v>
      </c>
      <c r="D51" s="387"/>
    </row>
    <row r="52" spans="1:11" s="177" customFormat="1" x14ac:dyDescent="0.25">
      <c r="A52" s="313" t="s">
        <v>158</v>
      </c>
      <c r="B52" s="314"/>
      <c r="C52" s="405" t="s">
        <v>159</v>
      </c>
      <c r="D52" s="406"/>
      <c r="F52" s="401"/>
      <c r="G52" s="401"/>
      <c r="H52" s="402"/>
      <c r="I52" s="402"/>
      <c r="J52" s="402"/>
      <c r="K52" s="402"/>
    </row>
    <row r="53" spans="1:11" ht="15" customHeight="1" x14ac:dyDescent="0.25">
      <c r="A53" s="313" t="s">
        <v>161</v>
      </c>
      <c r="B53" s="314"/>
      <c r="C53" s="403" t="s">
        <v>160</v>
      </c>
      <c r="D53" s="387"/>
    </row>
    <row r="54" spans="1:11" ht="15" customHeight="1" x14ac:dyDescent="0.25">
      <c r="A54" s="313" t="s">
        <v>162</v>
      </c>
      <c r="B54" s="314"/>
      <c r="C54" s="403" t="s">
        <v>163</v>
      </c>
      <c r="D54" s="387"/>
    </row>
    <row r="57" spans="1:11" ht="15" customHeight="1" x14ac:dyDescent="0.25">
      <c r="A57" s="404" t="s">
        <v>164</v>
      </c>
      <c r="B57" s="315"/>
      <c r="C57" s="315"/>
      <c r="D57" s="315"/>
      <c r="E57" s="315"/>
      <c r="F57" s="315"/>
      <c r="G57" s="315"/>
      <c r="H57" s="315"/>
      <c r="I57" s="315"/>
      <c r="J57" s="315"/>
    </row>
    <row r="58" spans="1:11" ht="15" customHeight="1" x14ac:dyDescent="0.25">
      <c r="A58" s="393" t="s">
        <v>165</v>
      </c>
      <c r="B58" s="394"/>
      <c r="C58" s="179" t="s">
        <v>139</v>
      </c>
      <c r="D58" s="180"/>
      <c r="E58" s="395" t="s">
        <v>166</v>
      </c>
      <c r="F58" s="396"/>
      <c r="G58" s="397"/>
      <c r="H58" s="398"/>
      <c r="I58" s="399"/>
      <c r="J58" s="400"/>
    </row>
    <row r="59" spans="1:11" ht="15" customHeight="1" x14ac:dyDescent="0.25">
      <c r="A59" s="178" t="s">
        <v>168</v>
      </c>
      <c r="B59" s="154"/>
      <c r="C59" s="178" t="s">
        <v>169</v>
      </c>
      <c r="D59" s="154"/>
      <c r="E59" s="178" t="s">
        <v>170</v>
      </c>
      <c r="F59" s="154"/>
      <c r="G59" s="154"/>
      <c r="H59" s="178" t="s">
        <v>171</v>
      </c>
      <c r="I59" s="154"/>
      <c r="J59" s="154"/>
    </row>
  </sheetData>
  <mergeCells count="56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C50:D50"/>
    <mergeCell ref="A51:B51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C51:D51"/>
    <mergeCell ref="C54:D54"/>
    <mergeCell ref="A53:B53"/>
    <mergeCell ref="A57:J57"/>
    <mergeCell ref="S39:T39"/>
    <mergeCell ref="A49:B49"/>
    <mergeCell ref="A52:B52"/>
    <mergeCell ref="C49:D49"/>
    <mergeCell ref="C52:D52"/>
    <mergeCell ref="A50:B50"/>
    <mergeCell ref="A39:B39"/>
    <mergeCell ref="D39:E39"/>
    <mergeCell ref="G39:H39"/>
    <mergeCell ref="J39:K39"/>
    <mergeCell ref="M39:N39"/>
    <mergeCell ref="P39:Q39"/>
    <mergeCell ref="A58:B58"/>
    <mergeCell ref="E58:G58"/>
    <mergeCell ref="H58:J58"/>
    <mergeCell ref="F52:G52"/>
    <mergeCell ref="H52:I52"/>
    <mergeCell ref="J52:K52"/>
    <mergeCell ref="C53:D53"/>
    <mergeCell ref="A54:B54"/>
  </mergeCells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CDF-6D6D-4274-A57B-5A11F7A6EC2A}">
  <sheetPr>
    <outlinePr summaryBelow="0" summaryRight="0"/>
  </sheetPr>
  <dimension ref="A1:V57"/>
  <sheetViews>
    <sheetView showGridLines="0" zoomScaleNormal="100" workbookViewId="0">
      <selection activeCell="E24" sqref="E24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514</v>
      </c>
      <c r="D2" s="130"/>
      <c r="E2" s="131"/>
    </row>
    <row r="3" spans="1:20" x14ac:dyDescent="0.25">
      <c r="A3" s="128" t="s">
        <v>30</v>
      </c>
      <c r="B3" s="173">
        <v>26</v>
      </c>
      <c r="D3" s="130"/>
      <c r="E3" s="131"/>
    </row>
    <row r="4" spans="1:20" x14ac:dyDescent="0.25">
      <c r="A4" s="128" t="s">
        <v>3</v>
      </c>
      <c r="B4" s="132">
        <f>B2+B3</f>
        <v>540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46</v>
      </c>
      <c r="D6" s="134" t="s">
        <v>43</v>
      </c>
      <c r="E6" s="136">
        <v>7</v>
      </c>
      <c r="G6" s="128" t="s">
        <v>44</v>
      </c>
      <c r="H6" s="136">
        <f>B6+E6</f>
        <v>53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9.8148148148148149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69</v>
      </c>
      <c r="D10" s="128" t="s">
        <v>29</v>
      </c>
      <c r="E10" s="128">
        <v>42</v>
      </c>
      <c r="G10" s="128" t="s">
        <v>29</v>
      </c>
      <c r="H10" s="128">
        <v>8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10</v>
      </c>
      <c r="S10" s="128" t="s">
        <v>29</v>
      </c>
      <c r="T10" s="128">
        <v>6</v>
      </c>
    </row>
    <row r="11" spans="1:20" x14ac:dyDescent="0.25">
      <c r="A11" s="128" t="s">
        <v>30</v>
      </c>
      <c r="B11" s="174">
        <f>E11+H11+K11+N11+Q11+T11</f>
        <v>8</v>
      </c>
      <c r="D11" s="128" t="s">
        <v>30</v>
      </c>
      <c r="E11" s="174">
        <v>0</v>
      </c>
      <c r="G11" s="128" t="s">
        <v>30</v>
      </c>
      <c r="H11" s="174">
        <v>8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77</v>
      </c>
      <c r="D12" s="140" t="s">
        <v>125</v>
      </c>
      <c r="E12" s="140">
        <f>E10+E11</f>
        <v>42</v>
      </c>
      <c r="G12" s="140" t="s">
        <v>125</v>
      </c>
      <c r="H12" s="140">
        <f>H10+H11</f>
        <v>16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10</v>
      </c>
      <c r="S12" s="140" t="s">
        <v>125</v>
      </c>
      <c r="T12" s="140">
        <f>T10+T11</f>
        <v>6</v>
      </c>
    </row>
    <row r="13" spans="1:20" x14ac:dyDescent="0.25">
      <c r="A13" s="128" t="s">
        <v>66</v>
      </c>
      <c r="B13" s="141">
        <f>E13+H13+K13+N13+Q13+T13</f>
        <v>5</v>
      </c>
      <c r="D13" s="128" t="s">
        <v>136</v>
      </c>
      <c r="E13" s="141">
        <v>2</v>
      </c>
      <c r="G13" s="128" t="s">
        <v>136</v>
      </c>
      <c r="H13" s="141">
        <v>3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0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6.4935064935064926</v>
      </c>
      <c r="D14" s="128" t="s">
        <v>5</v>
      </c>
      <c r="E14" s="143">
        <f>E13/E12*100</f>
        <v>4.7619047619047619</v>
      </c>
      <c r="G14" s="128" t="s">
        <v>5</v>
      </c>
      <c r="H14" s="143">
        <f>H13/H12*100</f>
        <v>18.75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0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42</v>
      </c>
      <c r="D18" s="154" t="s">
        <v>29</v>
      </c>
      <c r="E18" s="154">
        <v>29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3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42</v>
      </c>
      <c r="D19" s="140" t="s">
        <v>125</v>
      </c>
      <c r="E19" s="156">
        <f>E18</f>
        <v>29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3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3</v>
      </c>
      <c r="D20" s="128" t="s">
        <v>73</v>
      </c>
      <c r="E20" s="141">
        <v>2</v>
      </c>
      <c r="G20" s="128" t="s">
        <v>74</v>
      </c>
      <c r="H20" s="140">
        <v>1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7.1428571428571423</v>
      </c>
      <c r="D21" s="128" t="s">
        <v>5</v>
      </c>
      <c r="E21" s="158">
        <f>E20/E19*100</f>
        <v>6.8965517241379306</v>
      </c>
      <c r="F21" s="133"/>
      <c r="G21" s="128" t="s">
        <v>5</v>
      </c>
      <c r="H21" s="145">
        <f>H20/H19*100</f>
        <v>16.666666666666664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119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8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6.7226890756302522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207</v>
      </c>
      <c r="D28" s="128" t="s">
        <v>28</v>
      </c>
      <c r="E28" s="128">
        <v>147</v>
      </c>
      <c r="G28" s="128" t="s">
        <v>28</v>
      </c>
      <c r="H28" s="128">
        <v>16</v>
      </c>
      <c r="J28" s="128" t="s">
        <v>28</v>
      </c>
      <c r="K28" s="128">
        <v>6</v>
      </c>
      <c r="M28" s="128" t="s">
        <v>28</v>
      </c>
      <c r="N28" s="128">
        <v>10</v>
      </c>
      <c r="P28" s="128" t="s">
        <v>28</v>
      </c>
      <c r="Q28" s="128">
        <v>17</v>
      </c>
      <c r="S28" s="128" t="s">
        <v>28</v>
      </c>
      <c r="T28" s="128">
        <v>11</v>
      </c>
    </row>
    <row r="29" spans="1:20" x14ac:dyDescent="0.25">
      <c r="A29" s="128" t="s">
        <v>30</v>
      </c>
      <c r="B29" s="174">
        <f>E29+H29</f>
        <v>16</v>
      </c>
      <c r="D29" s="128" t="s">
        <v>30</v>
      </c>
      <c r="E29" s="174">
        <v>0</v>
      </c>
      <c r="G29" s="128" t="s">
        <v>30</v>
      </c>
      <c r="H29" s="174">
        <v>16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223</v>
      </c>
      <c r="D30" s="163" t="s">
        <v>125</v>
      </c>
      <c r="E30" s="163">
        <f>E28+E29</f>
        <v>147</v>
      </c>
      <c r="G30" s="163" t="s">
        <v>125</v>
      </c>
      <c r="H30" s="163">
        <f>H28+H29</f>
        <v>32</v>
      </c>
      <c r="J30" s="163" t="s">
        <v>125</v>
      </c>
      <c r="K30" s="163">
        <f>K28+K29</f>
        <v>6</v>
      </c>
      <c r="M30" s="163" t="s">
        <v>125</v>
      </c>
      <c r="N30" s="163">
        <f>N28+N29</f>
        <v>10</v>
      </c>
      <c r="P30" s="163" t="s">
        <v>125</v>
      </c>
      <c r="Q30" s="163">
        <f>Q28+Q29</f>
        <v>17</v>
      </c>
      <c r="S30" s="163" t="s">
        <v>125</v>
      </c>
      <c r="T30" s="163">
        <f>T28+T29</f>
        <v>11</v>
      </c>
    </row>
    <row r="31" spans="1:20" x14ac:dyDescent="0.25">
      <c r="A31" s="128" t="s">
        <v>4</v>
      </c>
      <c r="B31" s="164">
        <f>E31+H31+K31+N31+Q31+T31</f>
        <v>37</v>
      </c>
      <c r="D31" s="128" t="s">
        <v>4</v>
      </c>
      <c r="E31" s="165">
        <v>25</v>
      </c>
      <c r="G31" s="128" t="s">
        <v>4</v>
      </c>
      <c r="H31" s="164">
        <v>5</v>
      </c>
      <c r="J31" s="128" t="s">
        <v>4</v>
      </c>
      <c r="K31" s="166">
        <v>0</v>
      </c>
      <c r="M31" s="128" t="s">
        <v>4</v>
      </c>
      <c r="N31" s="167">
        <v>1</v>
      </c>
      <c r="P31" s="128" t="s">
        <v>4</v>
      </c>
      <c r="Q31" s="167">
        <v>3</v>
      </c>
      <c r="S31" s="128" t="s">
        <v>4</v>
      </c>
      <c r="T31" s="167">
        <v>3</v>
      </c>
    </row>
    <row r="32" spans="1:20" x14ac:dyDescent="0.25">
      <c r="A32" s="128" t="s">
        <v>5</v>
      </c>
      <c r="B32" s="162">
        <f>B31/B30*100</f>
        <v>16.591928251121075</v>
      </c>
      <c r="D32" s="128" t="s">
        <v>5</v>
      </c>
      <c r="E32" s="162">
        <f>E31/E30*100</f>
        <v>17.006802721088434</v>
      </c>
      <c r="G32" s="128" t="s">
        <v>5</v>
      </c>
      <c r="H32" s="162">
        <f>H31/H30*100</f>
        <v>15.625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10</v>
      </c>
      <c r="P32" s="128" t="s">
        <v>5</v>
      </c>
      <c r="Q32" s="162">
        <f>Q31/Q30*100</f>
        <v>17.647058823529413</v>
      </c>
      <c r="S32" s="128" t="s">
        <v>5</v>
      </c>
      <c r="T32" s="168">
        <f>T31/T30</f>
        <v>0.27272727272727271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33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1</v>
      </c>
    </row>
    <row r="36" spans="1:22" x14ac:dyDescent="0.25">
      <c r="A36" s="128" t="s">
        <v>78</v>
      </c>
      <c r="B36" s="169">
        <f>E36+H36+K36+N36+Q36+T36</f>
        <v>1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3.0303030303030303</v>
      </c>
      <c r="D37" s="128" t="s">
        <v>5</v>
      </c>
      <c r="E37" s="158">
        <f>E36/E35*100</f>
        <v>5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57</v>
      </c>
      <c r="D40" s="163" t="s">
        <v>28</v>
      </c>
      <c r="E40" s="163">
        <v>31</v>
      </c>
      <c r="G40" s="163" t="s">
        <v>28</v>
      </c>
      <c r="H40" s="163">
        <v>10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7</v>
      </c>
      <c r="S40" s="163" t="s">
        <v>28</v>
      </c>
      <c r="T40" s="163">
        <v>3</v>
      </c>
      <c r="V40" s="175"/>
    </row>
    <row r="41" spans="1:22" x14ac:dyDescent="0.25">
      <c r="A41" s="128" t="s">
        <v>121</v>
      </c>
      <c r="B41" s="167">
        <f>E41+H41+K41+N41+Q41+T41</f>
        <v>2</v>
      </c>
      <c r="D41" s="128" t="s">
        <v>4</v>
      </c>
      <c r="E41" s="167">
        <v>2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3.5087719298245612</v>
      </c>
      <c r="D42" s="128" t="s">
        <v>5</v>
      </c>
      <c r="E42" s="158">
        <f>E41/E40*100</f>
        <v>6.4516129032258061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90</v>
      </c>
      <c r="D44" s="154" t="s">
        <v>123</v>
      </c>
      <c r="E44" s="154">
        <f>B30+B44</f>
        <v>313</v>
      </c>
    </row>
    <row r="45" spans="1:22" ht="15" customHeight="1" x14ac:dyDescent="0.25">
      <c r="A45" s="154" t="s">
        <v>44</v>
      </c>
      <c r="B45" s="170">
        <f>B36+B41</f>
        <v>3</v>
      </c>
      <c r="D45" s="154" t="s">
        <v>44</v>
      </c>
      <c r="E45" s="170">
        <f>B31+B36+B41</f>
        <v>40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3.3333333333333335</v>
      </c>
      <c r="D46" s="171" t="s">
        <v>11</v>
      </c>
      <c r="E46" s="158">
        <f>E45/E44*100</f>
        <v>12.779552715654951</v>
      </c>
    </row>
    <row r="49" spans="1:11" ht="15" customHeight="1" x14ac:dyDescent="0.25">
      <c r="A49" s="313" t="s">
        <v>175</v>
      </c>
      <c r="B49" s="314"/>
      <c r="C49" s="407" t="s">
        <v>176</v>
      </c>
      <c r="D49" s="387"/>
      <c r="G49" s="176" t="s">
        <v>152</v>
      </c>
      <c r="I49" s="127">
        <v>109</v>
      </c>
      <c r="J49" s="181"/>
    </row>
    <row r="50" spans="1:11" ht="15" customHeight="1" x14ac:dyDescent="0.25">
      <c r="A50" s="313" t="s">
        <v>177</v>
      </c>
      <c r="B50" s="314"/>
      <c r="C50" s="407" t="s">
        <v>178</v>
      </c>
      <c r="D50" s="387"/>
    </row>
    <row r="51" spans="1:11" ht="15" customHeight="1" x14ac:dyDescent="0.25">
      <c r="A51" s="313" t="s">
        <v>144</v>
      </c>
      <c r="B51" s="314"/>
      <c r="C51" s="407" t="s">
        <v>179</v>
      </c>
      <c r="D51" s="387"/>
    </row>
    <row r="52" spans="1:11" s="177" customFormat="1" x14ac:dyDescent="0.25">
      <c r="A52" s="313" t="s">
        <v>180</v>
      </c>
      <c r="B52" s="314"/>
      <c r="C52" s="410" t="s">
        <v>181</v>
      </c>
      <c r="D52" s="406"/>
      <c r="F52" s="401"/>
      <c r="G52" s="401"/>
      <c r="H52" s="402"/>
      <c r="I52" s="402"/>
      <c r="J52" s="402"/>
      <c r="K52" s="402"/>
    </row>
    <row r="53" spans="1:11" ht="15" customHeight="1" x14ac:dyDescent="0.25">
      <c r="A53" s="313" t="s">
        <v>182</v>
      </c>
      <c r="B53" s="314"/>
      <c r="C53" s="407" t="s">
        <v>183</v>
      </c>
      <c r="D53" s="387"/>
    </row>
    <row r="56" spans="1:11" ht="15" customHeight="1" x14ac:dyDescent="0.25">
      <c r="A56" s="404" t="s">
        <v>164</v>
      </c>
      <c r="B56" s="315"/>
      <c r="C56" s="315"/>
      <c r="D56" s="315"/>
      <c r="E56" s="315"/>
      <c r="F56" s="315"/>
      <c r="G56" s="315"/>
      <c r="H56" s="315"/>
      <c r="I56" s="315"/>
      <c r="J56" s="315"/>
    </row>
    <row r="57" spans="1:11" ht="15" customHeight="1" x14ac:dyDescent="0.25">
      <c r="A57" s="408" t="s">
        <v>172</v>
      </c>
      <c r="B57" s="394"/>
      <c r="C57" s="182" t="s">
        <v>173</v>
      </c>
      <c r="D57" s="180"/>
      <c r="E57" s="409" t="s">
        <v>174</v>
      </c>
      <c r="F57" s="396"/>
      <c r="G57" s="397"/>
      <c r="H57" s="398"/>
      <c r="I57" s="399"/>
      <c r="J57" s="400"/>
    </row>
  </sheetData>
  <mergeCells count="54">
    <mergeCell ref="A56:J56"/>
    <mergeCell ref="A57:B57"/>
    <mergeCell ref="E57:G57"/>
    <mergeCell ref="H57:J57"/>
    <mergeCell ref="A52:B52"/>
    <mergeCell ref="C52:D52"/>
    <mergeCell ref="F52:G52"/>
    <mergeCell ref="H52:I52"/>
    <mergeCell ref="J52:K52"/>
    <mergeCell ref="A53:B53"/>
    <mergeCell ref="C53:D53"/>
    <mergeCell ref="S39:T39"/>
    <mergeCell ref="A49:B49"/>
    <mergeCell ref="C49:D49"/>
    <mergeCell ref="A50:B50"/>
    <mergeCell ref="C50:D50"/>
    <mergeCell ref="J39:K39"/>
    <mergeCell ref="M39:N39"/>
    <mergeCell ref="P39:Q39"/>
    <mergeCell ref="A51:B51"/>
    <mergeCell ref="C51:D51"/>
    <mergeCell ref="A39:B39"/>
    <mergeCell ref="D39:E39"/>
    <mergeCell ref="G39:H3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041-B7ED-46C2-929F-C4C15E79AE72}">
  <sheetPr>
    <outlinePr summaryBelow="0" summaryRight="0"/>
  </sheetPr>
  <dimension ref="A1:V55"/>
  <sheetViews>
    <sheetView showGridLines="0" zoomScaleNormal="100" workbookViewId="0">
      <selection activeCell="B31" sqref="B31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506</v>
      </c>
      <c r="D2" s="130"/>
      <c r="E2" s="131"/>
    </row>
    <row r="3" spans="1:20" x14ac:dyDescent="0.25">
      <c r="A3" s="128" t="s">
        <v>30</v>
      </c>
      <c r="B3" s="173">
        <v>25</v>
      </c>
      <c r="D3" s="130"/>
      <c r="E3" s="131"/>
    </row>
    <row r="4" spans="1:20" x14ac:dyDescent="0.25">
      <c r="A4" s="128" t="s">
        <v>3</v>
      </c>
      <c r="B4" s="132">
        <f>B2+B3</f>
        <v>531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32</v>
      </c>
      <c r="D6" s="134" t="s">
        <v>43</v>
      </c>
      <c r="E6" s="136">
        <v>6</v>
      </c>
      <c r="G6" s="128" t="s">
        <v>44</v>
      </c>
      <c r="H6" s="136">
        <f>B6+E6</f>
        <v>38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7.1563088512241055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68</v>
      </c>
      <c r="D10" s="128" t="s">
        <v>29</v>
      </c>
      <c r="E10" s="128">
        <v>39</v>
      </c>
      <c r="G10" s="128" t="s">
        <v>29</v>
      </c>
      <c r="H10" s="128">
        <v>8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11</v>
      </c>
      <c r="S10" s="128" t="s">
        <v>29</v>
      </c>
      <c r="T10" s="128">
        <v>7</v>
      </c>
    </row>
    <row r="11" spans="1:20" x14ac:dyDescent="0.25">
      <c r="A11" s="128" t="s">
        <v>30</v>
      </c>
      <c r="B11" s="174">
        <f>E11+H11+K11+N11+Q11+T11</f>
        <v>7</v>
      </c>
      <c r="D11" s="128" t="s">
        <v>30</v>
      </c>
      <c r="E11" s="174">
        <v>0</v>
      </c>
      <c r="G11" s="128" t="s">
        <v>30</v>
      </c>
      <c r="H11" s="174">
        <v>7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75</v>
      </c>
      <c r="D12" s="140" t="s">
        <v>125</v>
      </c>
      <c r="E12" s="140">
        <f>E10+E11</f>
        <v>39</v>
      </c>
      <c r="G12" s="140" t="s">
        <v>125</v>
      </c>
      <c r="H12" s="140">
        <f>H10+H11</f>
        <v>15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11</v>
      </c>
      <c r="S12" s="140" t="s">
        <v>125</v>
      </c>
      <c r="T12" s="140">
        <f>T10+T11</f>
        <v>7</v>
      </c>
    </row>
    <row r="13" spans="1:20" x14ac:dyDescent="0.25">
      <c r="A13" s="128" t="s">
        <v>66</v>
      </c>
      <c r="B13" s="141">
        <f>E13+H13+K13+N13+Q13+T13</f>
        <v>6</v>
      </c>
      <c r="D13" s="128" t="s">
        <v>136</v>
      </c>
      <c r="E13" s="141">
        <v>1</v>
      </c>
      <c r="G13" s="128" t="s">
        <v>136</v>
      </c>
      <c r="H13" s="141">
        <v>2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1</v>
      </c>
      <c r="S13" s="128" t="s">
        <v>4</v>
      </c>
      <c r="T13" s="142">
        <v>2</v>
      </c>
    </row>
    <row r="14" spans="1:20" x14ac:dyDescent="0.25">
      <c r="A14" s="128" t="s">
        <v>5</v>
      </c>
      <c r="B14" s="143">
        <f>B13/B12*100</f>
        <v>8</v>
      </c>
      <c r="D14" s="128" t="s">
        <v>5</v>
      </c>
      <c r="E14" s="143">
        <f>E13/E12*100</f>
        <v>2.5641025641025639</v>
      </c>
      <c r="G14" s="128" t="s">
        <v>5</v>
      </c>
      <c r="H14" s="143">
        <f>H13/H12*100</f>
        <v>13.333333333333334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9.0909090909090917</v>
      </c>
      <c r="S14" s="128" t="s">
        <v>5</v>
      </c>
      <c r="T14" s="144">
        <f>T13/T12*100</f>
        <v>28.571428571428569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44</v>
      </c>
      <c r="D18" s="154" t="s">
        <v>29</v>
      </c>
      <c r="E18" s="154">
        <v>31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3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44</v>
      </c>
      <c r="D19" s="140" t="s">
        <v>125</v>
      </c>
      <c r="E19" s="156">
        <f>E18</f>
        <v>31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3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2.2727272727272729</v>
      </c>
      <c r="D21" s="128" t="s">
        <v>5</v>
      </c>
      <c r="E21" s="158">
        <f>E20/E19*100</f>
        <v>3.225806451612903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119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7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5.8823529411764701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199</v>
      </c>
      <c r="D28" s="128" t="s">
        <v>28</v>
      </c>
      <c r="E28" s="128">
        <v>140</v>
      </c>
      <c r="G28" s="128" t="s">
        <v>28</v>
      </c>
      <c r="H28" s="128">
        <v>19</v>
      </c>
      <c r="J28" s="128" t="s">
        <v>28</v>
      </c>
      <c r="K28" s="128">
        <v>5</v>
      </c>
      <c r="M28" s="128" t="s">
        <v>28</v>
      </c>
      <c r="N28" s="128">
        <v>9</v>
      </c>
      <c r="P28" s="128" t="s">
        <v>28</v>
      </c>
      <c r="Q28" s="128">
        <v>16</v>
      </c>
      <c r="S28" s="128" t="s">
        <v>28</v>
      </c>
      <c r="T28" s="128">
        <v>10</v>
      </c>
    </row>
    <row r="29" spans="1:20" x14ac:dyDescent="0.25">
      <c r="A29" s="128" t="s">
        <v>30</v>
      </c>
      <c r="B29" s="174">
        <f>E29+H29</f>
        <v>15</v>
      </c>
      <c r="D29" s="128" t="s">
        <v>30</v>
      </c>
      <c r="E29" s="174">
        <v>0</v>
      </c>
      <c r="G29" s="128" t="s">
        <v>30</v>
      </c>
      <c r="H29" s="174">
        <v>15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214</v>
      </c>
      <c r="D30" s="163" t="s">
        <v>125</v>
      </c>
      <c r="E30" s="163">
        <f>E28+E29</f>
        <v>140</v>
      </c>
      <c r="G30" s="163" t="s">
        <v>125</v>
      </c>
      <c r="H30" s="163">
        <f>H28+H29</f>
        <v>34</v>
      </c>
      <c r="J30" s="163" t="s">
        <v>125</v>
      </c>
      <c r="K30" s="163">
        <f>K28+K29</f>
        <v>5</v>
      </c>
      <c r="M30" s="163" t="s">
        <v>125</v>
      </c>
      <c r="N30" s="163">
        <f>N28+N29</f>
        <v>9</v>
      </c>
      <c r="P30" s="163" t="s">
        <v>125</v>
      </c>
      <c r="Q30" s="163">
        <f>Q28+Q29</f>
        <v>16</v>
      </c>
      <c r="S30" s="163" t="s">
        <v>125</v>
      </c>
      <c r="T30" s="163">
        <f>T28+T29</f>
        <v>10</v>
      </c>
    </row>
    <row r="31" spans="1:20" x14ac:dyDescent="0.25">
      <c r="A31" s="128" t="s">
        <v>4</v>
      </c>
      <c r="B31" s="164">
        <f>E31+H31+K31+N31+Q31+T31</f>
        <v>29</v>
      </c>
      <c r="D31" s="128" t="s">
        <v>4</v>
      </c>
      <c r="E31" s="165">
        <v>18</v>
      </c>
      <c r="G31" s="128" t="s">
        <v>4</v>
      </c>
      <c r="H31" s="164">
        <v>5</v>
      </c>
      <c r="J31" s="128" t="s">
        <v>4</v>
      </c>
      <c r="K31" s="166">
        <v>0</v>
      </c>
      <c r="M31" s="128" t="s">
        <v>4</v>
      </c>
      <c r="N31" s="167">
        <v>1</v>
      </c>
      <c r="P31" s="128" t="s">
        <v>4</v>
      </c>
      <c r="Q31" s="167">
        <v>1</v>
      </c>
      <c r="S31" s="128" t="s">
        <v>4</v>
      </c>
      <c r="T31" s="167">
        <v>4</v>
      </c>
    </row>
    <row r="32" spans="1:20" x14ac:dyDescent="0.25">
      <c r="A32" s="128" t="s">
        <v>5</v>
      </c>
      <c r="B32" s="162">
        <f>B31/B30*100</f>
        <v>13.551401869158877</v>
      </c>
      <c r="D32" s="128" t="s">
        <v>5</v>
      </c>
      <c r="E32" s="162">
        <f>E31/E30*100</f>
        <v>12.857142857142856</v>
      </c>
      <c r="G32" s="128" t="s">
        <v>5</v>
      </c>
      <c r="H32" s="162">
        <f>H31/H30*100</f>
        <v>14.705882352941178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11.111111111111111</v>
      </c>
      <c r="P32" s="128" t="s">
        <v>5</v>
      </c>
      <c r="Q32" s="162">
        <f>Q31/Q30*100</f>
        <v>6.25</v>
      </c>
      <c r="S32" s="128" t="s">
        <v>5</v>
      </c>
      <c r="T32" s="168">
        <f>T31/T30</f>
        <v>0.4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35</v>
      </c>
      <c r="D35" s="163" t="s">
        <v>28</v>
      </c>
      <c r="E35" s="163">
        <v>21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58</v>
      </c>
      <c r="D40" s="163" t="s">
        <v>28</v>
      </c>
      <c r="E40" s="163">
        <v>31</v>
      </c>
      <c r="G40" s="163" t="s">
        <v>28</v>
      </c>
      <c r="H40" s="163">
        <v>10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8</v>
      </c>
      <c r="S40" s="163" t="s">
        <v>28</v>
      </c>
      <c r="T40" s="163">
        <v>3</v>
      </c>
      <c r="V40" s="175"/>
    </row>
    <row r="41" spans="1:22" x14ac:dyDescent="0.25">
      <c r="A41" s="128" t="s">
        <v>121</v>
      </c>
      <c r="B41" s="167">
        <f>E41+H41+K41+N41+Q41+T41</f>
        <v>1</v>
      </c>
      <c r="D41" s="128" t="s">
        <v>4</v>
      </c>
      <c r="E41" s="167">
        <v>1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1.7241379310344827</v>
      </c>
      <c r="D42" s="128" t="s">
        <v>5</v>
      </c>
      <c r="E42" s="158">
        <f>E41/E40*100</f>
        <v>3.225806451612903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93</v>
      </c>
      <c r="D44" s="154" t="s">
        <v>123</v>
      </c>
      <c r="E44" s="154">
        <f>B30+B44</f>
        <v>307</v>
      </c>
    </row>
    <row r="45" spans="1:22" ht="15" customHeight="1" x14ac:dyDescent="0.25">
      <c r="A45" s="154" t="s">
        <v>44</v>
      </c>
      <c r="B45" s="170">
        <f>B36+B41</f>
        <v>1</v>
      </c>
      <c r="D45" s="154" t="s">
        <v>44</v>
      </c>
      <c r="E45" s="170">
        <f>B31+B36+B41</f>
        <v>30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1.0752688172043012</v>
      </c>
      <c r="D46" s="171" t="s">
        <v>11</v>
      </c>
      <c r="E46" s="158">
        <f>E45/E44*100</f>
        <v>9.7719869706840399</v>
      </c>
    </row>
    <row r="48" spans="1:22" ht="13.5" customHeight="1" x14ac:dyDescent="0.25"/>
    <row r="51" spans="1:10" ht="15" customHeight="1" x14ac:dyDescent="0.25">
      <c r="A51" s="404" t="s">
        <v>164</v>
      </c>
      <c r="B51" s="315"/>
      <c r="C51" s="315"/>
      <c r="D51" s="315"/>
      <c r="E51" s="315"/>
      <c r="F51" s="315"/>
      <c r="G51" s="315"/>
      <c r="H51" s="315"/>
      <c r="I51" s="315"/>
      <c r="J51" s="315"/>
    </row>
    <row r="52" spans="1:10" ht="15" customHeight="1" x14ac:dyDescent="0.25">
      <c r="A52" s="411" t="s">
        <v>184</v>
      </c>
      <c r="B52" s="394"/>
      <c r="C52" s="183" t="s">
        <v>185</v>
      </c>
      <c r="D52" s="180"/>
      <c r="E52" s="409" t="s">
        <v>174</v>
      </c>
      <c r="F52" s="396"/>
      <c r="G52" s="397"/>
      <c r="H52" s="398"/>
      <c r="I52" s="399"/>
      <c r="J52" s="400"/>
    </row>
    <row r="53" spans="1:10" ht="15" customHeight="1" x14ac:dyDescent="0.25">
      <c r="A53" s="411" t="s">
        <v>186</v>
      </c>
      <c r="B53" s="394"/>
      <c r="C53" s="183" t="s">
        <v>185</v>
      </c>
      <c r="D53" s="180"/>
      <c r="E53" s="409" t="s">
        <v>174</v>
      </c>
      <c r="F53" s="396"/>
      <c r="G53" s="397"/>
      <c r="H53" s="398"/>
      <c r="I53" s="399"/>
      <c r="J53" s="400"/>
    </row>
    <row r="54" spans="1:10" ht="15" customHeight="1" x14ac:dyDescent="0.25">
      <c r="A54" s="411" t="s">
        <v>187</v>
      </c>
      <c r="B54" s="394"/>
      <c r="C54" s="182" t="s">
        <v>173</v>
      </c>
      <c r="D54" s="180"/>
      <c r="E54" s="409" t="s">
        <v>174</v>
      </c>
      <c r="F54" s="396"/>
      <c r="G54" s="397"/>
      <c r="H54" s="398"/>
      <c r="I54" s="399"/>
      <c r="J54" s="400"/>
    </row>
    <row r="55" spans="1:10" ht="15" customHeight="1" x14ac:dyDescent="0.25">
      <c r="A55" s="411" t="s">
        <v>188</v>
      </c>
      <c r="B55" s="394"/>
      <c r="C55" s="183" t="s">
        <v>189</v>
      </c>
      <c r="D55" s="180"/>
      <c r="E55" s="409" t="s">
        <v>174</v>
      </c>
      <c r="F55" s="396"/>
      <c r="G55" s="397"/>
      <c r="H55" s="398"/>
      <c r="I55" s="399"/>
      <c r="J55" s="400"/>
    </row>
  </sheetData>
  <mergeCells count="50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39:B39"/>
    <mergeCell ref="D39:E39"/>
    <mergeCell ref="G39:H39"/>
    <mergeCell ref="J39:K39"/>
    <mergeCell ref="M39:N39"/>
    <mergeCell ref="P39:Q39"/>
    <mergeCell ref="A51:J51"/>
    <mergeCell ref="A52:B52"/>
    <mergeCell ref="E52:G52"/>
    <mergeCell ref="H52:J52"/>
    <mergeCell ref="E53:G53"/>
    <mergeCell ref="H53:J53"/>
    <mergeCell ref="A53:B53"/>
    <mergeCell ref="A54:B54"/>
    <mergeCell ref="E54:G54"/>
    <mergeCell ref="H54:J54"/>
    <mergeCell ref="A55:B55"/>
    <mergeCell ref="E55:G55"/>
    <mergeCell ref="H55:J55"/>
  </mergeCells>
  <pageMargins left="0.7" right="0.7" top="0.75" bottom="0.75" header="0.3" footer="0.3"/>
  <pageSetup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1DC6-3577-4B8C-86E8-4F478F2714D4}">
  <sheetPr>
    <outlinePr summaryBelow="0" summaryRight="0"/>
  </sheetPr>
  <dimension ref="A1:V56"/>
  <sheetViews>
    <sheetView showGridLines="0" topLeftCell="A15" zoomScaleNormal="100" workbookViewId="0">
      <selection activeCell="E45" sqref="E45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509</v>
      </c>
      <c r="D2" s="130"/>
      <c r="E2" s="131"/>
    </row>
    <row r="3" spans="1:20" x14ac:dyDescent="0.25">
      <c r="A3" s="128" t="s">
        <v>30</v>
      </c>
      <c r="B3" s="173">
        <v>21</v>
      </c>
      <c r="D3" s="130"/>
      <c r="E3" s="131"/>
    </row>
    <row r="4" spans="1:20" x14ac:dyDescent="0.25">
      <c r="A4" s="128" t="s">
        <v>3</v>
      </c>
      <c r="B4" s="132">
        <f>B2+B3</f>
        <v>530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45</v>
      </c>
      <c r="D6" s="134" t="s">
        <v>43</v>
      </c>
      <c r="E6" s="136">
        <v>4</v>
      </c>
      <c r="G6" s="128" t="s">
        <v>44</v>
      </c>
      <c r="H6" s="136">
        <f>B6+E6</f>
        <v>49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9.2452830188679247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67</v>
      </c>
      <c r="D10" s="128" t="s">
        <v>29</v>
      </c>
      <c r="E10" s="128">
        <v>44</v>
      </c>
      <c r="G10" s="128" t="s">
        <v>29</v>
      </c>
      <c r="H10" s="128">
        <v>7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8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E11+H11+K11+N11+Q11+T11</f>
        <v>5</v>
      </c>
      <c r="D11" s="128" t="s">
        <v>30</v>
      </c>
      <c r="E11" s="174">
        <v>0</v>
      </c>
      <c r="G11" s="128" t="s">
        <v>30</v>
      </c>
      <c r="H11" s="174">
        <v>5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72</v>
      </c>
      <c r="D12" s="140" t="s">
        <v>125</v>
      </c>
      <c r="E12" s="140">
        <f>E10+E11</f>
        <v>44</v>
      </c>
      <c r="G12" s="140" t="s">
        <v>125</v>
      </c>
      <c r="H12" s="140">
        <f>H10+H11</f>
        <v>12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8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11</v>
      </c>
      <c r="D13" s="128" t="s">
        <v>136</v>
      </c>
      <c r="E13" s="141">
        <v>10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1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15.277777777777779</v>
      </c>
      <c r="D14" s="128" t="s">
        <v>5</v>
      </c>
      <c r="E14" s="143">
        <f>E13/E12*100</f>
        <v>22.727272727272727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12.5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44</v>
      </c>
      <c r="D18" s="154" t="s">
        <v>29</v>
      </c>
      <c r="E18" s="154">
        <v>28</v>
      </c>
      <c r="G18" s="154" t="s">
        <v>29</v>
      </c>
      <c r="H18" s="60">
        <v>7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5</v>
      </c>
      <c r="S18" s="154" t="s">
        <v>29</v>
      </c>
      <c r="T18" s="154">
        <v>1</v>
      </c>
    </row>
    <row r="19" spans="1:20" x14ac:dyDescent="0.25">
      <c r="A19" s="140" t="s">
        <v>125</v>
      </c>
      <c r="B19" s="155">
        <f>B18</f>
        <v>44</v>
      </c>
      <c r="D19" s="140" t="s">
        <v>125</v>
      </c>
      <c r="E19" s="156">
        <f>E18</f>
        <v>28</v>
      </c>
      <c r="G19" s="140" t="s">
        <v>125</v>
      </c>
      <c r="H19" s="156">
        <f>H18</f>
        <v>7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5</v>
      </c>
      <c r="S19" s="140" t="s">
        <v>125</v>
      </c>
      <c r="T19" s="156">
        <f>T18</f>
        <v>1</v>
      </c>
    </row>
    <row r="20" spans="1:20" x14ac:dyDescent="0.25">
      <c r="A20" s="128" t="s">
        <v>72</v>
      </c>
      <c r="B20" s="141">
        <f>E20+H20+K20+N20+Q20+T20</f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2.2727272727272729</v>
      </c>
      <c r="D21" s="128" t="s">
        <v>5</v>
      </c>
      <c r="E21" s="158">
        <f>E20/E19*100</f>
        <v>3.5714285714285712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116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12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10.344827586206897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197</v>
      </c>
      <c r="D28" s="128" t="s">
        <v>28</v>
      </c>
      <c r="E28" s="128">
        <v>137</v>
      </c>
      <c r="G28" s="128" t="s">
        <v>28</v>
      </c>
      <c r="H28" s="128">
        <v>19</v>
      </c>
      <c r="J28" s="128" t="s">
        <v>28</v>
      </c>
      <c r="K28" s="128">
        <v>5</v>
      </c>
      <c r="M28" s="128" t="s">
        <v>28</v>
      </c>
      <c r="N28" s="128">
        <v>8</v>
      </c>
      <c r="P28" s="128" t="s">
        <v>28</v>
      </c>
      <c r="Q28" s="128">
        <v>18</v>
      </c>
      <c r="S28" s="128" t="s">
        <v>28</v>
      </c>
      <c r="T28" s="128">
        <v>10</v>
      </c>
    </row>
    <row r="29" spans="1:20" x14ac:dyDescent="0.25">
      <c r="A29" s="128" t="s">
        <v>30</v>
      </c>
      <c r="B29" s="174">
        <f>E29+H29</f>
        <v>14</v>
      </c>
      <c r="D29" s="128" t="s">
        <v>30</v>
      </c>
      <c r="E29" s="174">
        <v>0</v>
      </c>
      <c r="G29" s="128" t="s">
        <v>30</v>
      </c>
      <c r="H29" s="174">
        <v>14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211</v>
      </c>
      <c r="D30" s="163" t="s">
        <v>125</v>
      </c>
      <c r="E30" s="163">
        <f>E28+E29</f>
        <v>137</v>
      </c>
      <c r="G30" s="163" t="s">
        <v>125</v>
      </c>
      <c r="H30" s="163">
        <f>H28+H29</f>
        <v>33</v>
      </c>
      <c r="J30" s="163" t="s">
        <v>125</v>
      </c>
      <c r="K30" s="163">
        <f>K28+K29</f>
        <v>5</v>
      </c>
      <c r="M30" s="163" t="s">
        <v>125</v>
      </c>
      <c r="N30" s="163">
        <f>N28+N29</f>
        <v>8</v>
      </c>
      <c r="P30" s="163" t="s">
        <v>125</v>
      </c>
      <c r="Q30" s="163">
        <f>Q28+Q29</f>
        <v>18</v>
      </c>
      <c r="S30" s="163" t="s">
        <v>125</v>
      </c>
      <c r="T30" s="163">
        <f>T28+T29</f>
        <v>10</v>
      </c>
    </row>
    <row r="31" spans="1:20" x14ac:dyDescent="0.25">
      <c r="A31" s="128" t="s">
        <v>4</v>
      </c>
      <c r="B31" s="164">
        <f>E31+H31+K31+N31+Q31+T31</f>
        <v>27</v>
      </c>
      <c r="D31" s="128" t="s">
        <v>4</v>
      </c>
      <c r="E31" s="165">
        <v>18</v>
      </c>
      <c r="G31" s="128" t="s">
        <v>4</v>
      </c>
      <c r="H31" s="164">
        <v>4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3</v>
      </c>
      <c r="S31" s="128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12.796208530805686</v>
      </c>
      <c r="D32" s="128" t="s">
        <v>5</v>
      </c>
      <c r="E32" s="162">
        <f>E31/E30*100</f>
        <v>13.138686131386862</v>
      </c>
      <c r="G32" s="128" t="s">
        <v>5</v>
      </c>
      <c r="H32" s="162">
        <f>H31/H30*100</f>
        <v>12.121212121212121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16.666666666666664</v>
      </c>
      <c r="S32" s="128" t="s">
        <v>5</v>
      </c>
      <c r="T32" s="168">
        <f>T31/T30</f>
        <v>0.2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37</v>
      </c>
      <c r="D35" s="163" t="s">
        <v>28</v>
      </c>
      <c r="E35" s="163">
        <v>21</v>
      </c>
      <c r="G35" s="163" t="s">
        <v>28</v>
      </c>
      <c r="H35" s="163">
        <v>6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3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2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8.1081081081081088</v>
      </c>
      <c r="D37" s="128" t="s">
        <v>5</v>
      </c>
      <c r="E37" s="158">
        <f>E36/E35*100</f>
        <v>4.7619047619047619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40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58</v>
      </c>
      <c r="D40" s="163" t="s">
        <v>28</v>
      </c>
      <c r="E40" s="163">
        <v>31</v>
      </c>
      <c r="G40" s="163" t="s">
        <v>28</v>
      </c>
      <c r="H40" s="163">
        <v>9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8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3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5.1724137931034484</v>
      </c>
      <c r="D42" s="128" t="s">
        <v>5</v>
      </c>
      <c r="E42" s="158">
        <f>E41/E40*100</f>
        <v>9.67741935483871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95</v>
      </c>
      <c r="D44" s="154" t="s">
        <v>123</v>
      </c>
      <c r="E44" s="154">
        <f>B30+B44</f>
        <v>306</v>
      </c>
    </row>
    <row r="45" spans="1:22" ht="15" customHeight="1" x14ac:dyDescent="0.25">
      <c r="A45" s="154" t="s">
        <v>44</v>
      </c>
      <c r="B45" s="170">
        <f>B36+B41</f>
        <v>6</v>
      </c>
      <c r="D45" s="154" t="s">
        <v>44</v>
      </c>
      <c r="E45" s="170">
        <f>B31+B36+B41</f>
        <v>33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6.3157894736842106</v>
      </c>
      <c r="D46" s="171" t="s">
        <v>11</v>
      </c>
      <c r="E46" s="158">
        <f>E45/E44*100</f>
        <v>10.784313725490197</v>
      </c>
    </row>
    <row r="48" spans="1:22" ht="13.5" customHeight="1" x14ac:dyDescent="0.25"/>
    <row r="51" spans="1:10" ht="15" customHeight="1" x14ac:dyDescent="0.25">
      <c r="A51" s="404" t="s">
        <v>164</v>
      </c>
      <c r="B51" s="315"/>
      <c r="C51" s="315"/>
      <c r="D51" s="315"/>
      <c r="E51" s="315"/>
      <c r="F51" s="315"/>
      <c r="G51" s="315"/>
      <c r="H51" s="315"/>
      <c r="I51" s="315"/>
      <c r="J51" s="315"/>
    </row>
    <row r="52" spans="1:10" ht="15" customHeight="1" x14ac:dyDescent="0.25">
      <c r="A52" s="412" t="s">
        <v>191</v>
      </c>
      <c r="B52" s="394"/>
      <c r="C52" s="414" t="s">
        <v>185</v>
      </c>
      <c r="D52" s="415"/>
      <c r="E52" s="413" t="s">
        <v>190</v>
      </c>
      <c r="F52" s="396"/>
      <c r="G52" s="397"/>
      <c r="H52" s="398"/>
      <c r="I52" s="399"/>
      <c r="J52" s="400"/>
    </row>
    <row r="53" spans="1:10" ht="15" customHeight="1" x14ac:dyDescent="0.25">
      <c r="A53" s="412" t="s">
        <v>192</v>
      </c>
      <c r="B53" s="394"/>
      <c r="C53" s="416" t="s">
        <v>146</v>
      </c>
      <c r="D53" s="417"/>
      <c r="E53" s="413" t="s">
        <v>166</v>
      </c>
      <c r="F53" s="396"/>
      <c r="G53" s="397"/>
      <c r="H53" s="398"/>
      <c r="I53" s="399"/>
      <c r="J53" s="400"/>
    </row>
    <row r="54" spans="1:10" ht="15" customHeight="1" x14ac:dyDescent="0.25">
      <c r="A54" s="412" t="s">
        <v>193</v>
      </c>
      <c r="B54" s="394"/>
      <c r="C54" s="416" t="s">
        <v>146</v>
      </c>
      <c r="D54" s="417"/>
      <c r="E54" s="413" t="s">
        <v>190</v>
      </c>
      <c r="F54" s="396"/>
      <c r="G54" s="397"/>
      <c r="H54" s="398"/>
      <c r="I54" s="399"/>
      <c r="J54" s="400"/>
    </row>
    <row r="55" spans="1:10" ht="15" customHeight="1" x14ac:dyDescent="0.25">
      <c r="A55" s="412" t="s">
        <v>194</v>
      </c>
      <c r="B55" s="394"/>
      <c r="C55" s="416" t="s">
        <v>45</v>
      </c>
      <c r="D55" s="417"/>
      <c r="E55" s="413" t="s">
        <v>195</v>
      </c>
      <c r="F55" s="396"/>
      <c r="G55" s="397"/>
      <c r="H55" s="398"/>
      <c r="I55" s="399"/>
      <c r="J55" s="400"/>
    </row>
    <row r="56" spans="1:10" ht="15" customHeight="1" x14ac:dyDescent="0.25">
      <c r="A56" s="412" t="s">
        <v>196</v>
      </c>
      <c r="B56" s="394"/>
      <c r="C56" s="416" t="s">
        <v>197</v>
      </c>
      <c r="D56" s="417"/>
      <c r="E56" s="413" t="s">
        <v>190</v>
      </c>
      <c r="F56" s="396"/>
      <c r="G56" s="397"/>
      <c r="H56" s="398"/>
      <c r="I56" s="399"/>
      <c r="J56" s="400"/>
    </row>
  </sheetData>
  <mergeCells count="58">
    <mergeCell ref="A56:B56"/>
    <mergeCell ref="C56:D56"/>
    <mergeCell ref="E56:G56"/>
    <mergeCell ref="H56:J56"/>
    <mergeCell ref="A54:B54"/>
    <mergeCell ref="E54:G54"/>
    <mergeCell ref="H54:J54"/>
    <mergeCell ref="A55:B55"/>
    <mergeCell ref="E55:G55"/>
    <mergeCell ref="H55:J55"/>
    <mergeCell ref="C54:D54"/>
    <mergeCell ref="C55:D55"/>
    <mergeCell ref="S39:T39"/>
    <mergeCell ref="A51:J51"/>
    <mergeCell ref="A52:B52"/>
    <mergeCell ref="E52:G52"/>
    <mergeCell ref="H52:J52"/>
    <mergeCell ref="A39:B39"/>
    <mergeCell ref="D39:E39"/>
    <mergeCell ref="G39:H39"/>
    <mergeCell ref="J39:K39"/>
    <mergeCell ref="M39:N39"/>
    <mergeCell ref="P39:Q39"/>
    <mergeCell ref="A53:B53"/>
    <mergeCell ref="E53:G53"/>
    <mergeCell ref="H53:J53"/>
    <mergeCell ref="C52:D52"/>
    <mergeCell ref="C53:D53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9988-B583-49D4-ADA0-E1A626FE466F}">
  <sheetPr>
    <outlinePr summaryBelow="0" summaryRight="0"/>
  </sheetPr>
  <dimension ref="A1:V58"/>
  <sheetViews>
    <sheetView showGridLines="0" topLeftCell="A12" zoomScaleNormal="100" workbookViewId="0">
      <selection activeCell="E45" sqref="E45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543</v>
      </c>
      <c r="D2" s="130"/>
      <c r="E2" s="131"/>
    </row>
    <row r="3" spans="1:20" x14ac:dyDescent="0.25">
      <c r="A3" s="128" t="s">
        <v>30</v>
      </c>
      <c r="B3" s="173">
        <v>26</v>
      </c>
      <c r="D3" s="130"/>
      <c r="E3" s="131"/>
    </row>
    <row r="4" spans="1:20" x14ac:dyDescent="0.25">
      <c r="A4" s="128" t="s">
        <v>3</v>
      </c>
      <c r="B4" s="132">
        <f>B2+B3</f>
        <v>569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44</v>
      </c>
      <c r="D6" s="134" t="s">
        <v>43</v>
      </c>
      <c r="E6" s="136">
        <v>7</v>
      </c>
      <c r="G6" s="128" t="s">
        <v>44</v>
      </c>
      <c r="H6" s="136">
        <f>B6+E6</f>
        <v>51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8.9630931458699479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75</v>
      </c>
      <c r="D10" s="128" t="s">
        <v>29</v>
      </c>
      <c r="E10" s="128">
        <v>50</v>
      </c>
      <c r="G10" s="128" t="s">
        <v>29</v>
      </c>
      <c r="H10" s="128">
        <v>9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9</v>
      </c>
      <c r="S10" s="128" t="s">
        <v>29</v>
      </c>
      <c r="T10" s="128">
        <v>4</v>
      </c>
    </row>
    <row r="11" spans="1:20" x14ac:dyDescent="0.25">
      <c r="A11" s="128" t="s">
        <v>30</v>
      </c>
      <c r="B11" s="174">
        <f>E11+H11+K11+N11+Q11+T11</f>
        <v>5</v>
      </c>
      <c r="D11" s="128" t="s">
        <v>30</v>
      </c>
      <c r="E11" s="174">
        <v>0</v>
      </c>
      <c r="G11" s="128" t="s">
        <v>30</v>
      </c>
      <c r="H11" s="174">
        <v>5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80</v>
      </c>
      <c r="D12" s="140" t="s">
        <v>125</v>
      </c>
      <c r="E12" s="140">
        <f>E10+E11</f>
        <v>50</v>
      </c>
      <c r="G12" s="140" t="s">
        <v>125</v>
      </c>
      <c r="H12" s="140">
        <f>H10+H11</f>
        <v>14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9</v>
      </c>
      <c r="S12" s="140" t="s">
        <v>125</v>
      </c>
      <c r="T12" s="140">
        <f>T10+T11</f>
        <v>4</v>
      </c>
    </row>
    <row r="13" spans="1:20" x14ac:dyDescent="0.25">
      <c r="A13" s="128" t="s">
        <v>66</v>
      </c>
      <c r="B13" s="141">
        <f>E13+H13+K13+N13+Q13+T13</f>
        <v>8</v>
      </c>
      <c r="D13" s="128" t="s">
        <v>136</v>
      </c>
      <c r="E13" s="141">
        <v>4</v>
      </c>
      <c r="G13" s="128" t="s">
        <v>136</v>
      </c>
      <c r="H13" s="141">
        <v>3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1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10</v>
      </c>
      <c r="D14" s="128" t="s">
        <v>5</v>
      </c>
      <c r="E14" s="143">
        <f>E13/E12*100</f>
        <v>8</v>
      </c>
      <c r="G14" s="128" t="s">
        <v>5</v>
      </c>
      <c r="H14" s="143">
        <f>H13/H12*100</f>
        <v>21.428571428571427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11.111111111111111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46</v>
      </c>
      <c r="D18" s="154" t="s">
        <v>29</v>
      </c>
      <c r="E18" s="154">
        <v>27</v>
      </c>
      <c r="G18" s="154" t="s">
        <v>29</v>
      </c>
      <c r="H18" s="60">
        <v>7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6</v>
      </c>
      <c r="S18" s="154" t="s">
        <v>29</v>
      </c>
      <c r="T18" s="154">
        <v>3</v>
      </c>
    </row>
    <row r="19" spans="1:20" x14ac:dyDescent="0.25">
      <c r="A19" s="140" t="s">
        <v>125</v>
      </c>
      <c r="B19" s="155">
        <f>B18</f>
        <v>46</v>
      </c>
      <c r="D19" s="140" t="s">
        <v>125</v>
      </c>
      <c r="E19" s="156">
        <f>E18</f>
        <v>27</v>
      </c>
      <c r="G19" s="140" t="s">
        <v>125</v>
      </c>
      <c r="H19" s="156">
        <f>H18</f>
        <v>7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6</v>
      </c>
      <c r="S19" s="140" t="s">
        <v>125</v>
      </c>
      <c r="T19" s="156">
        <f>T18</f>
        <v>3</v>
      </c>
    </row>
    <row r="20" spans="1:20" x14ac:dyDescent="0.25">
      <c r="A20" s="128" t="s">
        <v>72</v>
      </c>
      <c r="B20" s="141">
        <f>E20+H20+K20+N20+Q20+T20</f>
        <v>3</v>
      </c>
      <c r="D20" s="128" t="s">
        <v>73</v>
      </c>
      <c r="E20" s="141">
        <v>2</v>
      </c>
      <c r="G20" s="128" t="s">
        <v>74</v>
      </c>
      <c r="H20" s="140">
        <v>1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6.5217391304347823</v>
      </c>
      <c r="D21" s="128" t="s">
        <v>5</v>
      </c>
      <c r="E21" s="158">
        <f>E20/E19*100</f>
        <v>7.4074074074074066</v>
      </c>
      <c r="F21" s="133"/>
      <c r="G21" s="128" t="s">
        <v>5</v>
      </c>
      <c r="H21" s="145">
        <f>H20/H19*100</f>
        <v>14.285714285714285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126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11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8.7301587301587293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224</v>
      </c>
      <c r="D28" s="128" t="s">
        <v>28</v>
      </c>
      <c r="E28" s="128">
        <v>157</v>
      </c>
      <c r="G28" s="128" t="s">
        <v>28</v>
      </c>
      <c r="H28" s="128">
        <v>23</v>
      </c>
      <c r="J28" s="128" t="s">
        <v>28</v>
      </c>
      <c r="K28" s="128">
        <v>6</v>
      </c>
      <c r="M28" s="128" t="s">
        <v>28</v>
      </c>
      <c r="N28" s="128">
        <v>8</v>
      </c>
      <c r="P28" s="128" t="s">
        <v>28</v>
      </c>
      <c r="Q28" s="128">
        <v>19</v>
      </c>
      <c r="S28" s="128" t="s">
        <v>28</v>
      </c>
      <c r="T28" s="128">
        <v>11</v>
      </c>
    </row>
    <row r="29" spans="1:20" x14ac:dyDescent="0.25">
      <c r="A29" s="128" t="s">
        <v>30</v>
      </c>
      <c r="B29" s="174">
        <f>E29+H29</f>
        <v>20</v>
      </c>
      <c r="D29" s="128" t="s">
        <v>30</v>
      </c>
      <c r="E29" s="174">
        <v>0</v>
      </c>
      <c r="G29" s="128" t="s">
        <v>30</v>
      </c>
      <c r="H29" s="174">
        <v>20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244</v>
      </c>
      <c r="D30" s="163" t="s">
        <v>125</v>
      </c>
      <c r="E30" s="163">
        <f>E28+E29</f>
        <v>157</v>
      </c>
      <c r="G30" s="163" t="s">
        <v>125</v>
      </c>
      <c r="H30" s="163">
        <f>H28+H29</f>
        <v>43</v>
      </c>
      <c r="J30" s="163" t="s">
        <v>125</v>
      </c>
      <c r="K30" s="163">
        <f>K28+K29</f>
        <v>6</v>
      </c>
      <c r="M30" s="163" t="s">
        <v>125</v>
      </c>
      <c r="N30" s="163">
        <f>N28+N29</f>
        <v>8</v>
      </c>
      <c r="P30" s="163" t="s">
        <v>125</v>
      </c>
      <c r="Q30" s="163">
        <f>Q28+Q29</f>
        <v>19</v>
      </c>
      <c r="S30" s="163" t="s">
        <v>125</v>
      </c>
      <c r="T30" s="163">
        <f>T28+T29</f>
        <v>11</v>
      </c>
    </row>
    <row r="31" spans="1:20" x14ac:dyDescent="0.25">
      <c r="A31" s="128" t="s">
        <v>4</v>
      </c>
      <c r="B31" s="164">
        <f>E31+H31+K31+N31+Q31+T31</f>
        <v>30</v>
      </c>
      <c r="D31" s="128" t="s">
        <v>4</v>
      </c>
      <c r="E31" s="165">
        <v>20</v>
      </c>
      <c r="G31" s="128" t="s">
        <v>4</v>
      </c>
      <c r="H31" s="164">
        <v>6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1</v>
      </c>
      <c r="S31" s="128" t="s">
        <v>4</v>
      </c>
      <c r="T31" s="167">
        <v>3</v>
      </c>
    </row>
    <row r="32" spans="1:20" x14ac:dyDescent="0.25">
      <c r="A32" s="128" t="s">
        <v>5</v>
      </c>
      <c r="B32" s="162">
        <f>B31/B30*100</f>
        <v>12.295081967213115</v>
      </c>
      <c r="D32" s="128" t="s">
        <v>5</v>
      </c>
      <c r="E32" s="162">
        <f>E31/E30*100</f>
        <v>12.738853503184714</v>
      </c>
      <c r="G32" s="128" t="s">
        <v>5</v>
      </c>
      <c r="H32" s="162">
        <f>H31/H30*100</f>
        <v>13.953488372093023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5.2631578947368416</v>
      </c>
      <c r="S32" s="128" t="s">
        <v>5</v>
      </c>
      <c r="T32" s="168">
        <f>T31/T30</f>
        <v>0.27272727272727271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19</v>
      </c>
      <c r="G35" s="163" t="s">
        <v>28</v>
      </c>
      <c r="H35" s="163">
        <v>6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1</v>
      </c>
      <c r="D36" s="128" t="s">
        <v>136</v>
      </c>
      <c r="E36" s="167">
        <v>0</v>
      </c>
      <c r="G36" s="128" t="s">
        <v>4</v>
      </c>
      <c r="H36" s="167">
        <v>1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2.9411764705882351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16.666666666666664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56</v>
      </c>
      <c r="D40" s="163" t="s">
        <v>28</v>
      </c>
      <c r="E40" s="163">
        <v>29</v>
      </c>
      <c r="G40" s="163" t="s">
        <v>28</v>
      </c>
      <c r="H40" s="163">
        <v>9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8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2</v>
      </c>
      <c r="D41" s="128" t="s">
        <v>4</v>
      </c>
      <c r="E41" s="167">
        <v>2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3.5714285714285712</v>
      </c>
      <c r="D42" s="128" t="s">
        <v>5</v>
      </c>
      <c r="E42" s="158">
        <f>E41/E40*100</f>
        <v>6.8965517241379306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90</v>
      </c>
      <c r="D44" s="154" t="s">
        <v>123</v>
      </c>
      <c r="E44" s="154">
        <f>B30+B44</f>
        <v>334</v>
      </c>
    </row>
    <row r="45" spans="1:22" ht="15" customHeight="1" x14ac:dyDescent="0.25">
      <c r="A45" s="154" t="s">
        <v>44</v>
      </c>
      <c r="B45" s="170">
        <f>B36+B41</f>
        <v>3</v>
      </c>
      <c r="D45" s="154" t="s">
        <v>44</v>
      </c>
      <c r="E45" s="170">
        <f>B31+B36+B41</f>
        <v>33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3.3333333333333335</v>
      </c>
      <c r="D46" s="171" t="s">
        <v>11</v>
      </c>
      <c r="E46" s="158">
        <f>E45/E44*100</f>
        <v>9.8802395209580833</v>
      </c>
    </row>
    <row r="48" spans="1:22" ht="13.5" customHeight="1" x14ac:dyDescent="0.25"/>
    <row r="51" spans="1:10" ht="15" customHeight="1" x14ac:dyDescent="0.25">
      <c r="A51" s="404" t="s">
        <v>164</v>
      </c>
      <c r="B51" s="315"/>
      <c r="C51" s="315"/>
      <c r="D51" s="315"/>
      <c r="E51" s="315"/>
      <c r="F51" s="315"/>
      <c r="G51" s="315"/>
      <c r="H51" s="315"/>
      <c r="I51" s="315"/>
      <c r="J51" s="315"/>
    </row>
    <row r="52" spans="1:10" ht="15" customHeight="1" x14ac:dyDescent="0.25">
      <c r="A52" s="418" t="s">
        <v>198</v>
      </c>
      <c r="B52" s="394"/>
      <c r="C52" s="421" t="s">
        <v>199</v>
      </c>
      <c r="D52" s="415"/>
      <c r="E52" s="420" t="s">
        <v>166</v>
      </c>
      <c r="F52" s="396"/>
      <c r="G52" s="397"/>
      <c r="H52" s="398"/>
      <c r="I52" s="399"/>
      <c r="J52" s="400"/>
    </row>
    <row r="53" spans="1:10" ht="15" customHeight="1" x14ac:dyDescent="0.25">
      <c r="A53" s="418" t="s">
        <v>200</v>
      </c>
      <c r="B53" s="394"/>
      <c r="C53" s="416" t="s">
        <v>146</v>
      </c>
      <c r="D53" s="417"/>
      <c r="E53" s="413" t="s">
        <v>190</v>
      </c>
      <c r="F53" s="396"/>
      <c r="G53" s="397"/>
      <c r="H53" s="398"/>
      <c r="I53" s="399"/>
      <c r="J53" s="400"/>
    </row>
    <row r="54" spans="1:10" ht="15" customHeight="1" x14ac:dyDescent="0.25">
      <c r="A54" s="418" t="s">
        <v>202</v>
      </c>
      <c r="B54" s="394"/>
      <c r="C54" s="419" t="s">
        <v>201</v>
      </c>
      <c r="D54" s="417"/>
      <c r="E54" s="413" t="s">
        <v>195</v>
      </c>
      <c r="F54" s="396"/>
      <c r="G54" s="397"/>
      <c r="H54" s="398"/>
      <c r="I54" s="399"/>
      <c r="J54" s="400"/>
    </row>
    <row r="55" spans="1:10" ht="15" customHeight="1" x14ac:dyDescent="0.25">
      <c r="A55" s="418" t="s">
        <v>203</v>
      </c>
      <c r="B55" s="394"/>
      <c r="C55" s="419" t="s">
        <v>201</v>
      </c>
      <c r="D55" s="417"/>
      <c r="E55" s="420" t="s">
        <v>204</v>
      </c>
      <c r="F55" s="396"/>
      <c r="G55" s="397"/>
      <c r="H55" s="398"/>
      <c r="I55" s="399"/>
      <c r="J55" s="400"/>
    </row>
    <row r="56" spans="1:10" ht="15" customHeight="1" x14ac:dyDescent="0.25">
      <c r="A56" s="418" t="s">
        <v>205</v>
      </c>
      <c r="B56" s="394"/>
      <c r="C56" s="419" t="s">
        <v>201</v>
      </c>
      <c r="D56" s="417"/>
      <c r="E56" s="413" t="s">
        <v>195</v>
      </c>
      <c r="F56" s="396"/>
      <c r="G56" s="397"/>
      <c r="H56" s="398"/>
      <c r="I56" s="399"/>
      <c r="J56" s="400"/>
    </row>
    <row r="57" spans="1:10" ht="15" customHeight="1" x14ac:dyDescent="0.25">
      <c r="A57" s="430" t="s">
        <v>206</v>
      </c>
      <c r="B57" s="431"/>
      <c r="C57" s="426" t="s">
        <v>201</v>
      </c>
      <c r="D57" s="427"/>
      <c r="E57" s="428" t="s">
        <v>204</v>
      </c>
      <c r="F57" s="429"/>
      <c r="G57" s="429"/>
      <c r="H57" s="422"/>
      <c r="I57" s="423"/>
      <c r="J57" s="424"/>
    </row>
    <row r="58" spans="1:10" ht="15" customHeight="1" x14ac:dyDescent="0.25">
      <c r="A58" s="419" t="s">
        <v>207</v>
      </c>
      <c r="B58" s="425"/>
      <c r="C58" s="426" t="s">
        <v>201</v>
      </c>
      <c r="D58" s="427"/>
      <c r="E58" s="428" t="s">
        <v>204</v>
      </c>
      <c r="F58" s="429"/>
      <c r="G58" s="429"/>
      <c r="H58" s="398"/>
      <c r="I58" s="399"/>
      <c r="J58" s="400"/>
    </row>
  </sheetData>
  <mergeCells count="66">
    <mergeCell ref="H57:J57"/>
    <mergeCell ref="H58:J58"/>
    <mergeCell ref="A58:B58"/>
    <mergeCell ref="C57:D57"/>
    <mergeCell ref="E57:G57"/>
    <mergeCell ref="A57:B57"/>
    <mergeCell ref="C58:D58"/>
    <mergeCell ref="E58:G58"/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51:J51"/>
    <mergeCell ref="A52:B52"/>
    <mergeCell ref="C52:D52"/>
    <mergeCell ref="E52:G52"/>
    <mergeCell ref="H52:J52"/>
    <mergeCell ref="A39:B39"/>
    <mergeCell ref="D39:E39"/>
    <mergeCell ref="G39:H39"/>
    <mergeCell ref="J39:K39"/>
    <mergeCell ref="M39:N39"/>
    <mergeCell ref="P39:Q39"/>
    <mergeCell ref="A53:B53"/>
    <mergeCell ref="C53:D53"/>
    <mergeCell ref="E53:G53"/>
    <mergeCell ref="H53:J53"/>
    <mergeCell ref="A54:B54"/>
    <mergeCell ref="C54:D54"/>
    <mergeCell ref="E54:G54"/>
    <mergeCell ref="H54:J54"/>
    <mergeCell ref="A55:B55"/>
    <mergeCell ref="C55:D55"/>
    <mergeCell ref="E55:G55"/>
    <mergeCell ref="H55:J55"/>
    <mergeCell ref="A56:B56"/>
    <mergeCell ref="C56:D56"/>
    <mergeCell ref="E56:G56"/>
    <mergeCell ref="H56:J56"/>
  </mergeCells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DAA4-B6F3-4C51-B4C0-C9FEF91024AC}">
  <sheetPr>
    <outlinePr summaryBelow="0" summaryRight="0"/>
  </sheetPr>
  <dimension ref="A1:V58"/>
  <sheetViews>
    <sheetView showGridLines="0" zoomScaleNormal="100" workbookViewId="0">
      <selection activeCell="H6" sqref="H6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25.8554687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550</v>
      </c>
      <c r="D2" s="130"/>
      <c r="E2" s="131"/>
    </row>
    <row r="3" spans="1:20" x14ac:dyDescent="0.25">
      <c r="A3" s="128" t="s">
        <v>30</v>
      </c>
      <c r="B3" s="173">
        <v>24</v>
      </c>
      <c r="D3" s="130"/>
      <c r="E3" s="131"/>
    </row>
    <row r="4" spans="1:20" x14ac:dyDescent="0.25">
      <c r="A4" s="128" t="s">
        <v>3</v>
      </c>
      <c r="B4" s="132">
        <f>B2+B3</f>
        <v>574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49</v>
      </c>
      <c r="D6" s="134" t="s">
        <v>43</v>
      </c>
      <c r="E6" s="136">
        <v>10</v>
      </c>
      <c r="G6" s="128" t="s">
        <v>44</v>
      </c>
      <c r="H6" s="136">
        <f>B6+E6</f>
        <v>59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10.278745644599303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85</v>
      </c>
      <c r="D10" s="128" t="s">
        <v>29</v>
      </c>
      <c r="E10" s="128">
        <v>57</v>
      </c>
      <c r="G10" s="128" t="s">
        <v>29</v>
      </c>
      <c r="H10" s="128">
        <v>9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11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E11+H11+K11+N11+Q11+T11</f>
        <v>5</v>
      </c>
      <c r="D11" s="128" t="s">
        <v>30</v>
      </c>
      <c r="E11" s="174">
        <v>0</v>
      </c>
      <c r="G11" s="128" t="s">
        <v>30</v>
      </c>
      <c r="H11" s="174">
        <v>5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90</v>
      </c>
      <c r="D12" s="140" t="s">
        <v>125</v>
      </c>
      <c r="E12" s="140">
        <f>E10+E11</f>
        <v>57</v>
      </c>
      <c r="G12" s="140" t="s">
        <v>125</v>
      </c>
      <c r="H12" s="140">
        <f>H10+H11</f>
        <v>14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11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13</v>
      </c>
      <c r="D13" s="128" t="s">
        <v>136</v>
      </c>
      <c r="E13" s="141">
        <v>11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2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14.444444444444443</v>
      </c>
      <c r="D14" s="128" t="s">
        <v>5</v>
      </c>
      <c r="E14" s="143">
        <f>E13/E12*100</f>
        <v>19.298245614035086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18.181818181818183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44</v>
      </c>
      <c r="D18" s="154" t="s">
        <v>29</v>
      </c>
      <c r="E18" s="154">
        <v>26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6</v>
      </c>
      <c r="S18" s="154" t="s">
        <v>29</v>
      </c>
      <c r="T18" s="154">
        <v>3</v>
      </c>
    </row>
    <row r="19" spans="1:20" x14ac:dyDescent="0.25">
      <c r="A19" s="140" t="s">
        <v>125</v>
      </c>
      <c r="B19" s="155">
        <f>B18</f>
        <v>44</v>
      </c>
      <c r="D19" s="140" t="s">
        <v>125</v>
      </c>
      <c r="E19" s="156">
        <f>E18</f>
        <v>26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6</v>
      </c>
      <c r="S19" s="140" t="s">
        <v>125</v>
      </c>
      <c r="T19" s="156">
        <f>T18</f>
        <v>3</v>
      </c>
    </row>
    <row r="20" spans="1:20" x14ac:dyDescent="0.25">
      <c r="A20" s="128" t="s">
        <v>72</v>
      </c>
      <c r="B20" s="141">
        <f>E20+H20+K20+N20+Q20+T20</f>
        <v>1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2.2727272727272729</v>
      </c>
      <c r="D21" s="128" t="s">
        <v>5</v>
      </c>
      <c r="E21" s="158">
        <f>E20/E19*100</f>
        <v>3.8461538461538463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134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14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10.44776119402985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228</v>
      </c>
      <c r="D28" s="128" t="s">
        <v>28</v>
      </c>
      <c r="E28" s="128">
        <v>153</v>
      </c>
      <c r="G28" s="128" t="s">
        <v>28</v>
      </c>
      <c r="H28" s="128">
        <v>22</v>
      </c>
      <c r="J28" s="128" t="s">
        <v>28</v>
      </c>
      <c r="K28" s="128">
        <v>5</v>
      </c>
      <c r="M28" s="128" t="s">
        <v>28</v>
      </c>
      <c r="N28" s="128">
        <v>9</v>
      </c>
      <c r="P28" s="128" t="s">
        <v>28</v>
      </c>
      <c r="Q28" s="128">
        <v>29</v>
      </c>
      <c r="S28" s="128" t="s">
        <v>28</v>
      </c>
      <c r="T28" s="128">
        <v>10</v>
      </c>
    </row>
    <row r="29" spans="1:20" x14ac:dyDescent="0.25">
      <c r="A29" s="128" t="s">
        <v>30</v>
      </c>
      <c r="B29" s="174">
        <f>E29+H29</f>
        <v>19</v>
      </c>
      <c r="D29" s="128" t="s">
        <v>30</v>
      </c>
      <c r="E29" s="174">
        <v>0</v>
      </c>
      <c r="G29" s="128" t="s">
        <v>30</v>
      </c>
      <c r="H29" s="174">
        <v>19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247</v>
      </c>
      <c r="D30" s="163" t="s">
        <v>125</v>
      </c>
      <c r="E30" s="163">
        <f>E28+E29</f>
        <v>153</v>
      </c>
      <c r="G30" s="163" t="s">
        <v>125</v>
      </c>
      <c r="H30" s="163">
        <f>H28+H29</f>
        <v>41</v>
      </c>
      <c r="J30" s="163" t="s">
        <v>125</v>
      </c>
      <c r="K30" s="163">
        <f>K28+K29</f>
        <v>5</v>
      </c>
      <c r="M30" s="163" t="s">
        <v>125</v>
      </c>
      <c r="N30" s="163">
        <f>N28+N29</f>
        <v>9</v>
      </c>
      <c r="P30" s="163" t="s">
        <v>125</v>
      </c>
      <c r="Q30" s="163">
        <f>Q28+Q29</f>
        <v>29</v>
      </c>
      <c r="S30" s="163" t="s">
        <v>125</v>
      </c>
      <c r="T30" s="163">
        <f>T28+T29</f>
        <v>10</v>
      </c>
    </row>
    <row r="31" spans="1:20" x14ac:dyDescent="0.25">
      <c r="A31" s="184" t="s">
        <v>4</v>
      </c>
      <c r="B31" s="164">
        <f>E31+H31+K31+N31+Q31+T31</f>
        <v>38</v>
      </c>
      <c r="D31" s="128" t="s">
        <v>4</v>
      </c>
      <c r="E31" s="165">
        <v>19</v>
      </c>
      <c r="G31" s="128" t="s">
        <v>4</v>
      </c>
      <c r="H31" s="164">
        <v>12</v>
      </c>
      <c r="J31" s="128" t="s">
        <v>4</v>
      </c>
      <c r="K31" s="166">
        <v>0</v>
      </c>
      <c r="M31" s="128" t="s">
        <v>4</v>
      </c>
      <c r="N31" s="167">
        <v>1</v>
      </c>
      <c r="P31" s="128" t="s">
        <v>4</v>
      </c>
      <c r="Q31" s="167">
        <v>5</v>
      </c>
      <c r="S31" s="184" t="s">
        <v>4</v>
      </c>
      <c r="T31" s="167">
        <v>1</v>
      </c>
    </row>
    <row r="32" spans="1:20" x14ac:dyDescent="0.25">
      <c r="A32" s="128" t="s">
        <v>5</v>
      </c>
      <c r="B32" s="162">
        <f>B31/B30*100</f>
        <v>15.384615384615385</v>
      </c>
      <c r="D32" s="128" t="s">
        <v>5</v>
      </c>
      <c r="E32" s="162">
        <f>E31/E30*100</f>
        <v>12.418300653594772</v>
      </c>
      <c r="G32" s="128" t="s">
        <v>5</v>
      </c>
      <c r="H32" s="162">
        <f>H31/H30*100</f>
        <v>29.268292682926827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11.111111111111111</v>
      </c>
      <c r="P32" s="128" t="s">
        <v>5</v>
      </c>
      <c r="Q32" s="162">
        <f>Q31/Q30*100</f>
        <v>17.241379310344829</v>
      </c>
      <c r="S32" s="128" t="s">
        <v>5</v>
      </c>
      <c r="T32" s="168">
        <f>T31/T30</f>
        <v>0.1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35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1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2.8571428571428572</v>
      </c>
      <c r="D37" s="128" t="s">
        <v>5</v>
      </c>
      <c r="E37" s="158">
        <f>E36/E35*100</f>
        <v>5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53</v>
      </c>
      <c r="D40" s="163" t="s">
        <v>28</v>
      </c>
      <c r="E40" s="163">
        <v>27</v>
      </c>
      <c r="G40" s="163" t="s">
        <v>28</v>
      </c>
      <c r="H40" s="163">
        <v>9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7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3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5.6603773584905666</v>
      </c>
      <c r="D42" s="128" t="s">
        <v>5</v>
      </c>
      <c r="E42" s="158">
        <f>E41/E40*100</f>
        <v>11.111111111111111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88</v>
      </c>
      <c r="D44" s="154" t="s">
        <v>123</v>
      </c>
      <c r="E44" s="154">
        <f>B30+B44</f>
        <v>335</v>
      </c>
    </row>
    <row r="45" spans="1:22" ht="15" customHeight="1" x14ac:dyDescent="0.25">
      <c r="A45" s="154" t="s">
        <v>44</v>
      </c>
      <c r="B45" s="170">
        <f>B36+B41</f>
        <v>4</v>
      </c>
      <c r="D45" s="154" t="s">
        <v>44</v>
      </c>
      <c r="E45" s="170">
        <f>B45+B31</f>
        <v>42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4.5454545454545459</v>
      </c>
      <c r="D46" s="171" t="s">
        <v>11</v>
      </c>
      <c r="E46" s="158">
        <f>E45/E44*100</f>
        <v>12.53731343283582</v>
      </c>
    </row>
    <row r="48" spans="1:22" ht="13.5" customHeight="1" x14ac:dyDescent="0.25"/>
    <row r="51" spans="1:10" ht="15" customHeight="1" x14ac:dyDescent="0.25">
      <c r="A51" s="404" t="s">
        <v>208</v>
      </c>
      <c r="B51" s="315"/>
      <c r="C51" s="315"/>
      <c r="D51" s="315"/>
      <c r="E51" s="315"/>
      <c r="F51" s="315"/>
      <c r="G51" s="315"/>
      <c r="H51" s="315"/>
      <c r="I51" s="315"/>
      <c r="J51" s="315"/>
    </row>
    <row r="52" spans="1:10" ht="15" customHeight="1" x14ac:dyDescent="0.25">
      <c r="A52" s="439" t="s">
        <v>209</v>
      </c>
      <c r="B52" s="429"/>
      <c r="C52" s="440" t="s">
        <v>210</v>
      </c>
      <c r="D52" s="427"/>
      <c r="E52" s="439" t="s">
        <v>190</v>
      </c>
      <c r="F52" s="429"/>
      <c r="G52" s="429"/>
      <c r="H52" s="442"/>
      <c r="I52" s="442"/>
      <c r="J52" s="442"/>
    </row>
    <row r="53" spans="1:10" ht="15" customHeight="1" x14ac:dyDescent="0.25">
      <c r="A53" s="439" t="s">
        <v>211</v>
      </c>
      <c r="B53" s="429"/>
      <c r="C53" s="440" t="s">
        <v>57</v>
      </c>
      <c r="D53" s="427"/>
      <c r="E53" s="441" t="s">
        <v>190</v>
      </c>
      <c r="F53" s="429"/>
      <c r="G53" s="429"/>
      <c r="H53" s="442"/>
      <c r="I53" s="442"/>
      <c r="J53" s="442"/>
    </row>
    <row r="54" spans="1:10" ht="15" customHeight="1" x14ac:dyDescent="0.25">
      <c r="A54" s="439" t="s">
        <v>212</v>
      </c>
      <c r="B54" s="429"/>
      <c r="C54" s="440" t="s">
        <v>58</v>
      </c>
      <c r="D54" s="427"/>
      <c r="E54" s="439" t="s">
        <v>166</v>
      </c>
      <c r="F54" s="429"/>
      <c r="G54" s="429"/>
      <c r="H54" s="442"/>
      <c r="I54" s="442"/>
      <c r="J54" s="442"/>
    </row>
    <row r="55" spans="1:10" ht="15" customHeight="1" x14ac:dyDescent="0.25">
      <c r="A55" s="435"/>
      <c r="B55" s="436"/>
      <c r="C55" s="433"/>
      <c r="D55" s="434"/>
      <c r="E55" s="435"/>
      <c r="F55" s="436"/>
      <c r="G55" s="436"/>
      <c r="H55" s="437"/>
      <c r="I55" s="437"/>
      <c r="J55" s="437"/>
    </row>
    <row r="56" spans="1:10" ht="15" customHeight="1" x14ac:dyDescent="0.25">
      <c r="A56" s="435"/>
      <c r="B56" s="436"/>
      <c r="C56" s="433"/>
      <c r="D56" s="434"/>
      <c r="E56" s="438"/>
      <c r="F56" s="436"/>
      <c r="G56" s="436"/>
      <c r="H56" s="437"/>
      <c r="I56" s="437"/>
      <c r="J56" s="437"/>
    </row>
    <row r="57" spans="1:10" ht="15" customHeight="1" x14ac:dyDescent="0.25">
      <c r="A57" s="432"/>
      <c r="B57" s="432"/>
      <c r="C57" s="433"/>
      <c r="D57" s="434"/>
      <c r="E57" s="435"/>
      <c r="F57" s="436"/>
      <c r="G57" s="436"/>
      <c r="H57" s="437"/>
      <c r="I57" s="437"/>
      <c r="J57" s="437"/>
    </row>
    <row r="58" spans="1:10" ht="15" customHeight="1" x14ac:dyDescent="0.25">
      <c r="A58" s="433"/>
      <c r="B58" s="433"/>
      <c r="C58" s="433"/>
      <c r="D58" s="434"/>
      <c r="E58" s="435"/>
      <c r="F58" s="436"/>
      <c r="G58" s="436"/>
      <c r="H58" s="437"/>
      <c r="I58" s="437"/>
      <c r="J58" s="437"/>
    </row>
  </sheetData>
  <mergeCells count="66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51:J51"/>
    <mergeCell ref="A52:B52"/>
    <mergeCell ref="C52:D52"/>
    <mergeCell ref="E52:G52"/>
    <mergeCell ref="H52:J52"/>
    <mergeCell ref="A39:B39"/>
    <mergeCell ref="D39:E39"/>
    <mergeCell ref="G39:H39"/>
    <mergeCell ref="J39:K39"/>
    <mergeCell ref="M39:N39"/>
    <mergeCell ref="P39:Q39"/>
    <mergeCell ref="A53:B53"/>
    <mergeCell ref="C53:D53"/>
    <mergeCell ref="E53:G53"/>
    <mergeCell ref="H53:J53"/>
    <mergeCell ref="A54:B54"/>
    <mergeCell ref="C54:D54"/>
    <mergeCell ref="E54:G54"/>
    <mergeCell ref="H54:J54"/>
    <mergeCell ref="A55:B55"/>
    <mergeCell ref="C55:D55"/>
    <mergeCell ref="E55:G55"/>
    <mergeCell ref="H55:J55"/>
    <mergeCell ref="A56:B56"/>
    <mergeCell ref="C56:D56"/>
    <mergeCell ref="E56:G56"/>
    <mergeCell ref="H56:J56"/>
    <mergeCell ref="A57:B57"/>
    <mergeCell ref="C57:D57"/>
    <mergeCell ref="E57:G57"/>
    <mergeCell ref="H57:J57"/>
    <mergeCell ref="A58:B58"/>
    <mergeCell ref="C58:D58"/>
    <mergeCell ref="E58:G58"/>
    <mergeCell ref="H58:J58"/>
  </mergeCells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AED5-7014-4687-863C-37D71DB4676E}">
  <sheetPr>
    <outlinePr summaryBelow="0" summaryRight="0"/>
  </sheetPr>
  <dimension ref="A1:V60"/>
  <sheetViews>
    <sheetView showGridLines="0" zoomScaleNormal="100" workbookViewId="0">
      <selection activeCell="H6" sqref="H6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30.4257812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556</v>
      </c>
      <c r="D2" s="130"/>
      <c r="E2" s="131"/>
    </row>
    <row r="3" spans="1:20" x14ac:dyDescent="0.25">
      <c r="A3" s="128" t="s">
        <v>30</v>
      </c>
      <c r="B3" s="129">
        <v>17</v>
      </c>
      <c r="D3" s="130"/>
      <c r="E3" s="131"/>
    </row>
    <row r="4" spans="1:20" x14ac:dyDescent="0.25">
      <c r="A4" s="128" t="s">
        <v>3</v>
      </c>
      <c r="B4" s="132">
        <f>B2+B3</f>
        <v>573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66</v>
      </c>
      <c r="D6" s="134" t="s">
        <v>43</v>
      </c>
      <c r="E6" s="136">
        <v>1</v>
      </c>
      <c r="G6" s="128" t="s">
        <v>44</v>
      </c>
      <c r="H6" s="136">
        <f>B6+E6</f>
        <v>67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11.69284467713787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84</v>
      </c>
      <c r="D10" s="128" t="s">
        <v>29</v>
      </c>
      <c r="E10" s="128">
        <v>55</v>
      </c>
      <c r="G10" s="128" t="s">
        <v>29</v>
      </c>
      <c r="H10" s="128">
        <v>11</v>
      </c>
      <c r="J10" s="128" t="s">
        <v>29</v>
      </c>
      <c r="K10" s="128">
        <v>1</v>
      </c>
      <c r="M10" s="128" t="s">
        <v>29</v>
      </c>
      <c r="N10" s="128">
        <v>2</v>
      </c>
      <c r="P10" s="128" t="s">
        <v>29</v>
      </c>
      <c r="Q10" s="128">
        <v>10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E11+H11+K11+N11+Q11+T11</f>
        <v>3</v>
      </c>
      <c r="D11" s="128" t="s">
        <v>30</v>
      </c>
      <c r="E11" s="174">
        <v>0</v>
      </c>
      <c r="G11" s="128" t="s">
        <v>30</v>
      </c>
      <c r="H11" s="174">
        <v>3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87</v>
      </c>
      <c r="D12" s="140" t="s">
        <v>125</v>
      </c>
      <c r="E12" s="140">
        <f>E10+E11</f>
        <v>55</v>
      </c>
      <c r="G12" s="140" t="s">
        <v>125</v>
      </c>
      <c r="H12" s="140">
        <f>H10+H11</f>
        <v>14</v>
      </c>
      <c r="J12" s="140" t="s">
        <v>125</v>
      </c>
      <c r="K12" s="140">
        <f>K10+K11</f>
        <v>1</v>
      </c>
      <c r="M12" s="140" t="s">
        <v>125</v>
      </c>
      <c r="N12" s="140">
        <f>N10+N11</f>
        <v>2</v>
      </c>
      <c r="P12" s="140" t="s">
        <v>125</v>
      </c>
      <c r="Q12" s="140">
        <f>Q10+Q11</f>
        <v>10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16</v>
      </c>
      <c r="D13" s="128" t="s">
        <v>136</v>
      </c>
      <c r="E13" s="141">
        <v>11</v>
      </c>
      <c r="G13" s="128" t="s">
        <v>136</v>
      </c>
      <c r="H13" s="141">
        <v>1</v>
      </c>
      <c r="J13" s="128" t="s">
        <v>4</v>
      </c>
      <c r="K13" s="141">
        <v>0</v>
      </c>
      <c r="M13" s="128" t="s">
        <v>136</v>
      </c>
      <c r="N13" s="141">
        <v>1</v>
      </c>
      <c r="P13" s="128" t="s">
        <v>136</v>
      </c>
      <c r="Q13" s="141">
        <v>2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18.390804597701148</v>
      </c>
      <c r="D14" s="128" t="s">
        <v>5</v>
      </c>
      <c r="E14" s="143">
        <f>E13/E12*100</f>
        <v>20</v>
      </c>
      <c r="G14" s="128" t="s">
        <v>5</v>
      </c>
      <c r="H14" s="143">
        <f>H13/H12*100</f>
        <v>7.1428571428571423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50</v>
      </c>
      <c r="P14" s="128" t="s">
        <v>5</v>
      </c>
      <c r="Q14" s="144">
        <f>Q13/Q12*100</f>
        <v>20</v>
      </c>
      <c r="S14" s="128" t="s">
        <v>5</v>
      </c>
      <c r="T14" s="144">
        <f>T13/T12*100</f>
        <v>20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43</v>
      </c>
      <c r="D18" s="154" t="s">
        <v>29</v>
      </c>
      <c r="E18" s="154">
        <v>25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6</v>
      </c>
      <c r="S18" s="154" t="s">
        <v>29</v>
      </c>
      <c r="T18" s="154">
        <v>3</v>
      </c>
    </row>
    <row r="19" spans="1:20" x14ac:dyDescent="0.25">
      <c r="A19" s="140" t="s">
        <v>125</v>
      </c>
      <c r="B19" s="155">
        <f>B18</f>
        <v>43</v>
      </c>
      <c r="D19" s="140" t="s">
        <v>125</v>
      </c>
      <c r="E19" s="156">
        <f>E18</f>
        <v>25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6</v>
      </c>
      <c r="S19" s="140" t="s">
        <v>125</v>
      </c>
      <c r="T19" s="156">
        <f>T18</f>
        <v>3</v>
      </c>
    </row>
    <row r="20" spans="1:20" x14ac:dyDescent="0.25">
      <c r="A20" s="128" t="s">
        <v>72</v>
      </c>
      <c r="B20" s="141">
        <f>E20+H20+K20+N20+Q20+T20</f>
        <v>4</v>
      </c>
      <c r="D20" s="128" t="s">
        <v>73</v>
      </c>
      <c r="E20" s="141">
        <v>4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9.3023255813953494</v>
      </c>
      <c r="D21" s="128" t="s">
        <v>5</v>
      </c>
      <c r="E21" s="158">
        <f>E20/E19*100</f>
        <v>16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130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20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15.384615384615385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234</v>
      </c>
      <c r="D28" s="128" t="s">
        <v>28</v>
      </c>
      <c r="E28" s="128">
        <v>155</v>
      </c>
      <c r="G28" s="128" t="s">
        <v>28</v>
      </c>
      <c r="H28" s="128">
        <v>27</v>
      </c>
      <c r="J28" s="128" t="s">
        <v>28</v>
      </c>
      <c r="K28" s="128">
        <v>5</v>
      </c>
      <c r="M28" s="128" t="s">
        <v>28</v>
      </c>
      <c r="N28" s="128">
        <v>11</v>
      </c>
      <c r="P28" s="128" t="s">
        <v>28</v>
      </c>
      <c r="Q28" s="128">
        <v>26</v>
      </c>
      <c r="S28" s="128" t="s">
        <v>28</v>
      </c>
      <c r="T28" s="128">
        <v>10</v>
      </c>
    </row>
    <row r="29" spans="1:20" x14ac:dyDescent="0.25">
      <c r="A29" s="128" t="s">
        <v>30</v>
      </c>
      <c r="B29" s="174">
        <f>E29+H29</f>
        <v>14</v>
      </c>
      <c r="D29" s="128" t="s">
        <v>30</v>
      </c>
      <c r="E29" s="174">
        <v>0</v>
      </c>
      <c r="G29" s="128" t="s">
        <v>30</v>
      </c>
      <c r="H29" s="174">
        <v>14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248</v>
      </c>
      <c r="D30" s="163" t="s">
        <v>125</v>
      </c>
      <c r="E30" s="163">
        <f>E28+E29</f>
        <v>155</v>
      </c>
      <c r="G30" s="163" t="s">
        <v>125</v>
      </c>
      <c r="H30" s="163">
        <f>H28+H29</f>
        <v>41</v>
      </c>
      <c r="J30" s="163" t="s">
        <v>125</v>
      </c>
      <c r="K30" s="163">
        <f>K28+K29</f>
        <v>5</v>
      </c>
      <c r="M30" s="163" t="s">
        <v>125</v>
      </c>
      <c r="N30" s="163">
        <f>N28+N29</f>
        <v>11</v>
      </c>
      <c r="P30" s="163" t="s">
        <v>125</v>
      </c>
      <c r="Q30" s="163">
        <f>Q28+Q29</f>
        <v>26</v>
      </c>
      <c r="S30" s="163" t="s">
        <v>125</v>
      </c>
      <c r="T30" s="163">
        <f>T28+T29</f>
        <v>10</v>
      </c>
    </row>
    <row r="31" spans="1:20" x14ac:dyDescent="0.25">
      <c r="A31" s="184" t="s">
        <v>4</v>
      </c>
      <c r="B31" s="164">
        <f>E31+H31+K31+N31+Q31+T31</f>
        <v>31</v>
      </c>
      <c r="D31" s="128" t="s">
        <v>4</v>
      </c>
      <c r="E31" s="165">
        <v>23</v>
      </c>
      <c r="G31" s="128" t="s">
        <v>4</v>
      </c>
      <c r="H31" s="164">
        <v>3</v>
      </c>
      <c r="J31" s="128" t="s">
        <v>4</v>
      </c>
      <c r="K31" s="166">
        <v>0</v>
      </c>
      <c r="M31" s="128" t="s">
        <v>4</v>
      </c>
      <c r="N31" s="167">
        <v>1</v>
      </c>
      <c r="P31" s="187" t="s">
        <v>4</v>
      </c>
      <c r="Q31" s="167">
        <v>2</v>
      </c>
      <c r="S31" s="184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12.5</v>
      </c>
      <c r="D32" s="128" t="s">
        <v>5</v>
      </c>
      <c r="E32" s="162">
        <f>E31/E30*100</f>
        <v>14.838709677419354</v>
      </c>
      <c r="G32" s="128" t="s">
        <v>5</v>
      </c>
      <c r="H32" s="162">
        <f>H31/H30*100</f>
        <v>7.3170731707317067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9.0909090909090917</v>
      </c>
      <c r="P32" s="128" t="s">
        <v>5</v>
      </c>
      <c r="Q32" s="162">
        <f>Q31/Q30*100</f>
        <v>7.6923076923076925</v>
      </c>
      <c r="S32" s="128" t="s">
        <v>5</v>
      </c>
      <c r="T32" s="168">
        <f>T31/T30</f>
        <v>0.2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18</v>
      </c>
      <c r="G35" s="163" t="s">
        <v>28</v>
      </c>
      <c r="H35" s="163">
        <v>6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2</v>
      </c>
      <c r="D36" s="128" t="s">
        <v>136</v>
      </c>
      <c r="E36" s="167">
        <v>1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1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5.8823529411764701</v>
      </c>
      <c r="D37" s="128" t="s">
        <v>5</v>
      </c>
      <c r="E37" s="158">
        <f>E36/E35*100</f>
        <v>5.5555555555555554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50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53</v>
      </c>
      <c r="D40" s="163" t="s">
        <v>28</v>
      </c>
      <c r="E40" s="163">
        <v>28</v>
      </c>
      <c r="G40" s="163" t="s">
        <v>28</v>
      </c>
      <c r="H40" s="163">
        <v>8</v>
      </c>
      <c r="J40" s="163" t="s">
        <v>28</v>
      </c>
      <c r="K40" s="163">
        <v>2</v>
      </c>
      <c r="M40" s="163" t="s">
        <v>28</v>
      </c>
      <c r="N40" s="163">
        <v>4</v>
      </c>
      <c r="P40" s="163" t="s">
        <v>28</v>
      </c>
      <c r="Q40" s="163">
        <v>7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2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1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5.6603773584905666</v>
      </c>
      <c r="D42" s="128" t="s">
        <v>5</v>
      </c>
      <c r="E42" s="158">
        <f>E41/E40*100</f>
        <v>7.1428571428571423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25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87</v>
      </c>
      <c r="D44" s="154" t="s">
        <v>123</v>
      </c>
      <c r="E44" s="154">
        <f>B30+B44</f>
        <v>335</v>
      </c>
    </row>
    <row r="45" spans="1:22" ht="15" customHeight="1" x14ac:dyDescent="0.25">
      <c r="A45" s="154" t="s">
        <v>44</v>
      </c>
      <c r="B45" s="170">
        <f>B36+B41</f>
        <v>5</v>
      </c>
      <c r="D45" s="154" t="s">
        <v>44</v>
      </c>
      <c r="E45" s="170">
        <f>B45+B31</f>
        <v>36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5.7471264367816088</v>
      </c>
      <c r="D46" s="171" t="s">
        <v>11</v>
      </c>
      <c r="E46" s="158">
        <f>E45/E44*100</f>
        <v>10.746268656716417</v>
      </c>
    </row>
    <row r="48" spans="1:22" ht="15" customHeight="1" x14ac:dyDescent="0.25">
      <c r="A48" s="315" t="s">
        <v>227</v>
      </c>
      <c r="B48" s="316"/>
      <c r="D48" s="315" t="s">
        <v>237</v>
      </c>
      <c r="E48" s="316"/>
    </row>
    <row r="49" spans="1:10" ht="15" customHeight="1" x14ac:dyDescent="0.25">
      <c r="A49" s="163" t="s">
        <v>28</v>
      </c>
      <c r="B49" s="163">
        <v>31</v>
      </c>
      <c r="D49" s="163" t="s">
        <v>28</v>
      </c>
      <c r="E49" s="163">
        <v>14</v>
      </c>
    </row>
    <row r="50" spans="1:10" ht="13.5" customHeight="1" x14ac:dyDescent="0.25">
      <c r="A50" s="187" t="s">
        <v>228</v>
      </c>
      <c r="B50" s="167">
        <v>1</v>
      </c>
      <c r="D50" s="187" t="s">
        <v>238</v>
      </c>
      <c r="E50" s="167">
        <v>2</v>
      </c>
    </row>
    <row r="51" spans="1:10" ht="15" customHeight="1" x14ac:dyDescent="0.25">
      <c r="A51" s="128" t="s">
        <v>5</v>
      </c>
      <c r="B51" s="158">
        <f>B50/B49*100</f>
        <v>3.225806451612903</v>
      </c>
      <c r="D51" s="128" t="s">
        <v>5</v>
      </c>
      <c r="E51" s="158">
        <f>E50/E49*100</f>
        <v>14.285714285714285</v>
      </c>
    </row>
    <row r="53" spans="1:10" ht="15" customHeight="1" x14ac:dyDescent="0.25">
      <c r="A53" s="404" t="s">
        <v>208</v>
      </c>
      <c r="B53" s="315"/>
      <c r="C53" s="315"/>
      <c r="D53" s="315"/>
      <c r="E53" s="315"/>
      <c r="F53" s="315"/>
      <c r="G53" s="315"/>
      <c r="H53" s="315"/>
      <c r="I53" s="315"/>
      <c r="J53" s="315"/>
    </row>
    <row r="54" spans="1:10" ht="15" customHeight="1" x14ac:dyDescent="0.25">
      <c r="A54" s="444" t="s">
        <v>213</v>
      </c>
      <c r="B54" s="429"/>
      <c r="C54" s="445" t="s">
        <v>214</v>
      </c>
      <c r="D54" s="427"/>
      <c r="E54" s="444" t="s">
        <v>166</v>
      </c>
      <c r="F54" s="429"/>
      <c r="G54" s="429"/>
      <c r="H54" s="442"/>
      <c r="I54" s="442"/>
      <c r="J54" s="442"/>
    </row>
    <row r="55" spans="1:10" ht="15" customHeight="1" x14ac:dyDescent="0.25">
      <c r="A55" s="444" t="s">
        <v>215</v>
      </c>
      <c r="B55" s="429"/>
      <c r="C55" s="440" t="s">
        <v>57</v>
      </c>
      <c r="D55" s="427"/>
      <c r="E55" s="444" t="s">
        <v>166</v>
      </c>
      <c r="F55" s="429"/>
      <c r="G55" s="429"/>
      <c r="H55" s="442"/>
      <c r="I55" s="442"/>
      <c r="J55" s="442"/>
    </row>
    <row r="56" spans="1:10" ht="15" customHeight="1" x14ac:dyDescent="0.25">
      <c r="A56" s="444" t="s">
        <v>216</v>
      </c>
      <c r="B56" s="429"/>
      <c r="C56" s="440" t="s">
        <v>58</v>
      </c>
      <c r="D56" s="427"/>
      <c r="E56" s="444" t="s">
        <v>166</v>
      </c>
      <c r="F56" s="429"/>
      <c r="G56" s="429"/>
      <c r="H56" s="442"/>
      <c r="I56" s="442"/>
      <c r="J56" s="442"/>
    </row>
    <row r="57" spans="1:10" ht="15" customHeight="1" x14ac:dyDescent="0.25">
      <c r="A57" s="444" t="s">
        <v>217</v>
      </c>
      <c r="B57" s="429"/>
      <c r="C57" s="445" t="s">
        <v>142</v>
      </c>
      <c r="D57" s="427"/>
      <c r="E57" s="444" t="s">
        <v>166</v>
      </c>
      <c r="F57" s="429"/>
      <c r="G57" s="429"/>
      <c r="H57" s="442"/>
      <c r="I57" s="442"/>
      <c r="J57" s="442"/>
    </row>
    <row r="58" spans="1:10" ht="15" customHeight="1" x14ac:dyDescent="0.25">
      <c r="A58" s="444" t="s">
        <v>218</v>
      </c>
      <c r="B58" s="429"/>
      <c r="C58" s="445" t="s">
        <v>219</v>
      </c>
      <c r="D58" s="427"/>
      <c r="E58" s="444" t="s">
        <v>220</v>
      </c>
      <c r="F58" s="429"/>
      <c r="G58" s="429"/>
      <c r="H58" s="442"/>
      <c r="I58" s="442"/>
      <c r="J58" s="442"/>
    </row>
    <row r="59" spans="1:10" ht="15" customHeight="1" x14ac:dyDescent="0.25">
      <c r="A59" s="443" t="s">
        <v>221</v>
      </c>
      <c r="B59" s="443"/>
      <c r="C59" s="440" t="s">
        <v>57</v>
      </c>
      <c r="D59" s="427"/>
      <c r="E59" s="444" t="s">
        <v>166</v>
      </c>
      <c r="F59" s="429"/>
      <c r="G59" s="429"/>
      <c r="H59" s="442"/>
      <c r="I59" s="442"/>
      <c r="J59" s="442"/>
    </row>
    <row r="60" spans="1:10" ht="15" customHeight="1" x14ac:dyDescent="0.25">
      <c r="A60" s="433"/>
      <c r="B60" s="433"/>
      <c r="C60" s="433"/>
      <c r="D60" s="434"/>
      <c r="E60" s="435"/>
      <c r="F60" s="436"/>
      <c r="G60" s="436"/>
      <c r="H60" s="437"/>
      <c r="I60" s="437"/>
      <c r="J60" s="437"/>
    </row>
  </sheetData>
  <mergeCells count="68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53:J53"/>
    <mergeCell ref="A54:B54"/>
    <mergeCell ref="C54:D54"/>
    <mergeCell ref="E54:G54"/>
    <mergeCell ref="H54:J54"/>
    <mergeCell ref="A39:B39"/>
    <mergeCell ref="D39:E39"/>
    <mergeCell ref="G39:H39"/>
    <mergeCell ref="J39:K39"/>
    <mergeCell ref="M39:N39"/>
    <mergeCell ref="P39:Q39"/>
    <mergeCell ref="A48:B48"/>
    <mergeCell ref="D48:E48"/>
    <mergeCell ref="A55:B55"/>
    <mergeCell ref="C55:D55"/>
    <mergeCell ref="E55:G55"/>
    <mergeCell ref="H55:J55"/>
    <mergeCell ref="A56:B56"/>
    <mergeCell ref="C56:D56"/>
    <mergeCell ref="E56:G56"/>
    <mergeCell ref="H56:J56"/>
    <mergeCell ref="A57:B57"/>
    <mergeCell ref="C57:D57"/>
    <mergeCell ref="E57:G57"/>
    <mergeCell ref="H57:J57"/>
    <mergeCell ref="A58:B58"/>
    <mergeCell ref="C58:D58"/>
    <mergeCell ref="E58:G58"/>
    <mergeCell ref="H58:J58"/>
    <mergeCell ref="A59:B59"/>
    <mergeCell ref="C59:D59"/>
    <mergeCell ref="E59:G59"/>
    <mergeCell ref="H59:J59"/>
    <mergeCell ref="A60:B60"/>
    <mergeCell ref="C60:D60"/>
    <mergeCell ref="E60:G60"/>
    <mergeCell ref="H60:J60"/>
  </mergeCells>
  <pageMargins left="0.7" right="0.7" top="0.75" bottom="0.75" header="0.3" footer="0.3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1AD3-414A-412B-8BD7-E1C572391A69}">
  <sheetPr>
    <outlinePr summaryBelow="0" summaryRight="0"/>
  </sheetPr>
  <dimension ref="A1:V72"/>
  <sheetViews>
    <sheetView showGridLines="0" zoomScaleNormal="100" workbookViewId="0">
      <selection activeCell="H6" sqref="H6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30.4257812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574</v>
      </c>
      <c r="D2" s="130"/>
      <c r="E2" s="131"/>
    </row>
    <row r="3" spans="1:20" x14ac:dyDescent="0.25">
      <c r="A3" s="128" t="s">
        <v>30</v>
      </c>
      <c r="B3" s="129">
        <v>19</v>
      </c>
      <c r="D3" s="130"/>
      <c r="E3" s="131"/>
    </row>
    <row r="4" spans="1:20" x14ac:dyDescent="0.25">
      <c r="A4" s="128" t="s">
        <v>3</v>
      </c>
      <c r="B4" s="132">
        <f>B2+B3</f>
        <v>593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71</v>
      </c>
      <c r="D6" s="134" t="s">
        <v>43</v>
      </c>
      <c r="E6" s="136">
        <v>2</v>
      </c>
      <c r="G6" s="128" t="s">
        <v>44</v>
      </c>
      <c r="H6" s="136">
        <f>B6+E6</f>
        <v>73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12.310286677908937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84</v>
      </c>
      <c r="D10" s="128" t="s">
        <v>29</v>
      </c>
      <c r="E10" s="128">
        <v>50</v>
      </c>
      <c r="G10" s="128" t="s">
        <v>29</v>
      </c>
      <c r="H10" s="128">
        <v>15</v>
      </c>
      <c r="J10" s="128" t="s">
        <v>29</v>
      </c>
      <c r="K10" s="128">
        <v>1</v>
      </c>
      <c r="M10" s="128" t="s">
        <v>29</v>
      </c>
      <c r="N10" s="128">
        <v>1</v>
      </c>
      <c r="P10" s="128" t="s">
        <v>29</v>
      </c>
      <c r="Q10" s="128">
        <v>12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E11+H11+K11+N11+Q11+T11</f>
        <v>4</v>
      </c>
      <c r="D11" s="128" t="s">
        <v>30</v>
      </c>
      <c r="E11" s="174">
        <v>0</v>
      </c>
      <c r="G11" s="128" t="s">
        <v>30</v>
      </c>
      <c r="H11" s="174">
        <v>4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88</v>
      </c>
      <c r="D12" s="140" t="s">
        <v>125</v>
      </c>
      <c r="E12" s="140">
        <f>E10+E11</f>
        <v>50</v>
      </c>
      <c r="G12" s="140" t="s">
        <v>125</v>
      </c>
      <c r="H12" s="140">
        <f>H10+H11</f>
        <v>19</v>
      </c>
      <c r="J12" s="140" t="s">
        <v>125</v>
      </c>
      <c r="K12" s="140">
        <f>K10+K11</f>
        <v>1</v>
      </c>
      <c r="M12" s="140" t="s">
        <v>125</v>
      </c>
      <c r="N12" s="140">
        <f>N10+N11</f>
        <v>1</v>
      </c>
      <c r="P12" s="140" t="s">
        <v>125</v>
      </c>
      <c r="Q12" s="140">
        <f>Q10+Q11</f>
        <v>12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15</v>
      </c>
      <c r="D13" s="128" t="s">
        <v>136</v>
      </c>
      <c r="E13" s="141">
        <v>10</v>
      </c>
      <c r="G13" s="128" t="s">
        <v>136</v>
      </c>
      <c r="H13" s="141">
        <v>1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4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17.045454545454543</v>
      </c>
      <c r="D14" s="128" t="s">
        <v>5</v>
      </c>
      <c r="E14" s="143">
        <f>E13/E12*100</f>
        <v>20</v>
      </c>
      <c r="G14" s="128" t="s">
        <v>5</v>
      </c>
      <c r="H14" s="143">
        <f>H13/H12*100</f>
        <v>5.2631578947368416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33.333333333333329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44</v>
      </c>
      <c r="D18" s="154" t="s">
        <v>29</v>
      </c>
      <c r="E18" s="154">
        <v>26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7</v>
      </c>
      <c r="S18" s="154" t="s">
        <v>29</v>
      </c>
      <c r="T18" s="154">
        <v>2</v>
      </c>
    </row>
    <row r="19" spans="1:20" x14ac:dyDescent="0.25">
      <c r="A19" s="140" t="s">
        <v>125</v>
      </c>
      <c r="B19" s="155">
        <f>B18</f>
        <v>44</v>
      </c>
      <c r="D19" s="140" t="s">
        <v>125</v>
      </c>
      <c r="E19" s="156">
        <f>E18</f>
        <v>26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7</v>
      </c>
      <c r="S19" s="140" t="s">
        <v>125</v>
      </c>
      <c r="T19" s="156">
        <f>T18</f>
        <v>2</v>
      </c>
    </row>
    <row r="20" spans="1:20" x14ac:dyDescent="0.25">
      <c r="A20" s="128" t="s">
        <v>72</v>
      </c>
      <c r="B20" s="141">
        <f>E20+H20+K20+N20+Q20+T20</f>
        <v>3</v>
      </c>
      <c r="D20" s="128" t="s">
        <v>73</v>
      </c>
      <c r="E20" s="141">
        <v>2</v>
      </c>
      <c r="G20" s="128" t="s">
        <v>74</v>
      </c>
      <c r="H20" s="140">
        <v>1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6.8181818181818175</v>
      </c>
      <c r="D21" s="128" t="s">
        <v>5</v>
      </c>
      <c r="E21" s="158">
        <f>E20/E19*100</f>
        <v>7.6923076923076925</v>
      </c>
      <c r="F21" s="133"/>
      <c r="G21" s="128" t="s">
        <v>5</v>
      </c>
      <c r="H21" s="145">
        <f>H20/H19*100</f>
        <v>16.666666666666664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132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18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13.636363636363635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251</v>
      </c>
      <c r="D28" s="128" t="s">
        <v>28</v>
      </c>
      <c r="E28" s="128">
        <v>161</v>
      </c>
      <c r="G28" s="128" t="s">
        <v>28</v>
      </c>
      <c r="H28" s="128">
        <v>40</v>
      </c>
      <c r="J28" s="128" t="s">
        <v>28</v>
      </c>
      <c r="K28" s="128">
        <v>5</v>
      </c>
      <c r="M28" s="128" t="s">
        <v>28</v>
      </c>
      <c r="N28" s="128">
        <v>11</v>
      </c>
      <c r="P28" s="128" t="s">
        <v>28</v>
      </c>
      <c r="Q28" s="128">
        <v>25</v>
      </c>
      <c r="S28" s="128" t="s">
        <v>28</v>
      </c>
      <c r="T28" s="128">
        <v>9</v>
      </c>
    </row>
    <row r="29" spans="1:20" x14ac:dyDescent="0.25">
      <c r="A29" s="128" t="s">
        <v>30</v>
      </c>
      <c r="B29" s="174">
        <f>E29+H29</f>
        <v>13</v>
      </c>
      <c r="D29" s="128" t="s">
        <v>30</v>
      </c>
      <c r="E29" s="174">
        <v>0</v>
      </c>
      <c r="G29" s="128" t="s">
        <v>30</v>
      </c>
      <c r="H29" s="174">
        <v>13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264</v>
      </c>
      <c r="D30" s="163" t="s">
        <v>125</v>
      </c>
      <c r="E30" s="163">
        <f>E28+E29</f>
        <v>161</v>
      </c>
      <c r="G30" s="163" t="s">
        <v>125</v>
      </c>
      <c r="H30" s="163">
        <f>H28+H29</f>
        <v>53</v>
      </c>
      <c r="J30" s="163" t="s">
        <v>125</v>
      </c>
      <c r="K30" s="163">
        <f>K28+K29</f>
        <v>5</v>
      </c>
      <c r="M30" s="163" t="s">
        <v>125</v>
      </c>
      <c r="N30" s="163">
        <f>N28+N29</f>
        <v>11</v>
      </c>
      <c r="P30" s="163" t="s">
        <v>125</v>
      </c>
      <c r="Q30" s="163">
        <f>Q28+Q29</f>
        <v>25</v>
      </c>
      <c r="S30" s="163" t="s">
        <v>125</v>
      </c>
      <c r="T30" s="163">
        <f>T28+T29</f>
        <v>9</v>
      </c>
    </row>
    <row r="31" spans="1:20" x14ac:dyDescent="0.25">
      <c r="A31" s="184" t="s">
        <v>4</v>
      </c>
      <c r="B31" s="164">
        <f>E31+H31+K31+N31+Q31+T31</f>
        <v>46</v>
      </c>
      <c r="D31" s="128" t="s">
        <v>4</v>
      </c>
      <c r="E31" s="165">
        <v>31</v>
      </c>
      <c r="G31" s="128" t="s">
        <v>4</v>
      </c>
      <c r="H31" s="164">
        <v>12</v>
      </c>
      <c r="J31" s="128" t="s">
        <v>4</v>
      </c>
      <c r="K31" s="166">
        <v>0</v>
      </c>
      <c r="M31" s="128" t="s">
        <v>4</v>
      </c>
      <c r="N31" s="167">
        <v>1</v>
      </c>
      <c r="P31" s="128" t="s">
        <v>4</v>
      </c>
      <c r="Q31" s="167">
        <v>1</v>
      </c>
      <c r="S31" s="184" t="s">
        <v>4</v>
      </c>
      <c r="T31" s="167">
        <v>1</v>
      </c>
    </row>
    <row r="32" spans="1:20" x14ac:dyDescent="0.25">
      <c r="A32" s="128" t="s">
        <v>5</v>
      </c>
      <c r="B32" s="162">
        <f>B31/B30*100</f>
        <v>17.424242424242426</v>
      </c>
      <c r="D32" s="128" t="s">
        <v>5</v>
      </c>
      <c r="E32" s="162">
        <f>E31/E30*100</f>
        <v>19.254658385093169</v>
      </c>
      <c r="G32" s="128" t="s">
        <v>5</v>
      </c>
      <c r="H32" s="162">
        <f>H31/H30*100</f>
        <v>22.641509433962266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9.0909090909090917</v>
      </c>
      <c r="P32" s="128" t="s">
        <v>5</v>
      </c>
      <c r="Q32" s="162">
        <f>Q31/Q30*100</f>
        <v>4</v>
      </c>
      <c r="S32" s="128" t="s">
        <v>5</v>
      </c>
      <c r="T32" s="168">
        <f>T31/T30</f>
        <v>0.1111111111111111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2</v>
      </c>
      <c r="D36" s="128" t="s">
        <v>136</v>
      </c>
      <c r="E36" s="167">
        <v>1</v>
      </c>
      <c r="G36" s="128" t="s">
        <v>4</v>
      </c>
      <c r="H36" s="167">
        <v>1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5.8823529411764701</v>
      </c>
      <c r="D37" s="128" t="s">
        <v>5</v>
      </c>
      <c r="E37" s="158">
        <f>E36/E35*100</f>
        <v>5</v>
      </c>
      <c r="G37" s="128" t="s">
        <v>5</v>
      </c>
      <c r="H37" s="162">
        <f>H36/H35*100</f>
        <v>20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49</v>
      </c>
      <c r="D40" s="163" t="s">
        <v>28</v>
      </c>
      <c r="E40" s="163">
        <v>24</v>
      </c>
      <c r="G40" s="163" t="s">
        <v>28</v>
      </c>
      <c r="H40" s="163">
        <v>8</v>
      </c>
      <c r="J40" s="163" t="s">
        <v>28</v>
      </c>
      <c r="K40" s="163">
        <v>2</v>
      </c>
      <c r="M40" s="163" t="s">
        <v>28</v>
      </c>
      <c r="N40" s="163">
        <v>3</v>
      </c>
      <c r="P40" s="163" t="s">
        <v>28</v>
      </c>
      <c r="Q40" s="163">
        <v>8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3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6.1224489795918364</v>
      </c>
      <c r="D42" s="128" t="s">
        <v>5</v>
      </c>
      <c r="E42" s="158">
        <f>E41/E40*100</f>
        <v>12.5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83</v>
      </c>
      <c r="D44" s="154" t="s">
        <v>123</v>
      </c>
      <c r="E44" s="154">
        <f>B30+B44</f>
        <v>347</v>
      </c>
    </row>
    <row r="45" spans="1:22" ht="15" customHeight="1" x14ac:dyDescent="0.25">
      <c r="A45" s="154" t="s">
        <v>44</v>
      </c>
      <c r="B45" s="170">
        <f>B36+B41</f>
        <v>5</v>
      </c>
      <c r="D45" s="154" t="s">
        <v>44</v>
      </c>
      <c r="E45" s="170">
        <f>B45+B31</f>
        <v>51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6.024096385542169</v>
      </c>
      <c r="D46" s="171" t="s">
        <v>11</v>
      </c>
      <c r="E46" s="158">
        <f>E45/E44*100</f>
        <v>14.697406340057636</v>
      </c>
    </row>
    <row r="48" spans="1:22" ht="15" customHeight="1" x14ac:dyDescent="0.25">
      <c r="A48" s="315" t="s">
        <v>227</v>
      </c>
      <c r="B48" s="316"/>
      <c r="D48" s="315" t="s">
        <v>237</v>
      </c>
      <c r="E48" s="316"/>
    </row>
    <row r="49" spans="1:10" ht="15" customHeight="1" x14ac:dyDescent="0.25">
      <c r="A49" s="163" t="s">
        <v>28</v>
      </c>
      <c r="B49" s="163">
        <v>34</v>
      </c>
      <c r="D49" s="163" t="s">
        <v>28</v>
      </c>
      <c r="E49" s="163">
        <v>15</v>
      </c>
    </row>
    <row r="50" spans="1:10" ht="13.5" customHeight="1" x14ac:dyDescent="0.25">
      <c r="A50" s="187" t="s">
        <v>228</v>
      </c>
      <c r="B50" s="167">
        <v>1</v>
      </c>
      <c r="D50" s="187" t="s">
        <v>238</v>
      </c>
      <c r="E50" s="167">
        <v>1</v>
      </c>
    </row>
    <row r="51" spans="1:10" ht="15" customHeight="1" x14ac:dyDescent="0.25">
      <c r="A51" s="128" t="s">
        <v>5</v>
      </c>
      <c r="B51" s="158">
        <f>B50/B49*100</f>
        <v>2.9411764705882351</v>
      </c>
      <c r="D51" s="128" t="s">
        <v>5</v>
      </c>
      <c r="E51" s="158">
        <f>E50/E49*100</f>
        <v>6.666666666666667</v>
      </c>
    </row>
    <row r="53" spans="1:10" x14ac:dyDescent="0.25">
      <c r="A53" s="446" t="s">
        <v>208</v>
      </c>
      <c r="B53" s="447"/>
      <c r="C53" s="447"/>
      <c r="D53" s="447"/>
      <c r="E53" s="447"/>
      <c r="F53" s="447"/>
      <c r="G53" s="447"/>
      <c r="H53" s="447"/>
      <c r="I53" s="447"/>
      <c r="J53" s="447"/>
    </row>
    <row r="54" spans="1:10" ht="15" customHeight="1" x14ac:dyDescent="0.25">
      <c r="A54" s="448" t="s">
        <v>222</v>
      </c>
      <c r="B54" s="429"/>
      <c r="C54" s="449" t="s">
        <v>219</v>
      </c>
      <c r="D54" s="427"/>
      <c r="E54" s="444" t="s">
        <v>166</v>
      </c>
      <c r="F54" s="429"/>
      <c r="G54" s="429"/>
      <c r="H54" s="442"/>
      <c r="I54" s="442"/>
      <c r="J54" s="442"/>
    </row>
    <row r="55" spans="1:10" ht="15" customHeight="1" x14ac:dyDescent="0.25">
      <c r="A55" s="448" t="s">
        <v>223</v>
      </c>
      <c r="B55" s="429"/>
      <c r="C55" s="449" t="s">
        <v>57</v>
      </c>
      <c r="D55" s="427"/>
      <c r="E55" s="444" t="s">
        <v>166</v>
      </c>
      <c r="F55" s="429"/>
      <c r="G55" s="429"/>
      <c r="H55" s="442"/>
      <c r="I55" s="442"/>
      <c r="J55" s="442"/>
    </row>
    <row r="56" spans="1:10" ht="15" customHeight="1" x14ac:dyDescent="0.25">
      <c r="A56" s="448" t="s">
        <v>224</v>
      </c>
      <c r="B56" s="429"/>
      <c r="C56" s="449" t="s">
        <v>58</v>
      </c>
      <c r="D56" s="427"/>
      <c r="E56" s="444" t="s">
        <v>166</v>
      </c>
      <c r="F56" s="429"/>
      <c r="G56" s="429"/>
      <c r="H56" s="442"/>
      <c r="I56" s="442"/>
      <c r="J56" s="442"/>
    </row>
    <row r="57" spans="1:10" ht="15" customHeight="1" x14ac:dyDescent="0.25">
      <c r="A57" s="448" t="s">
        <v>225</v>
      </c>
      <c r="B57" s="429"/>
      <c r="C57" s="449" t="s">
        <v>226</v>
      </c>
      <c r="D57" s="427"/>
      <c r="E57" s="444" t="s">
        <v>166</v>
      </c>
      <c r="F57" s="429"/>
      <c r="G57" s="429"/>
      <c r="H57" s="442"/>
      <c r="I57" s="442"/>
      <c r="J57" s="442"/>
    </row>
    <row r="58" spans="1:10" ht="15" customHeight="1" x14ac:dyDescent="0.25">
      <c r="A58" s="444"/>
      <c r="B58" s="429"/>
      <c r="C58" s="445"/>
      <c r="D58" s="427"/>
      <c r="E58" s="444"/>
      <c r="F58" s="429"/>
      <c r="G58" s="429"/>
      <c r="H58" s="442"/>
      <c r="I58" s="442"/>
      <c r="J58" s="442"/>
    </row>
    <row r="59" spans="1:10" ht="15" customHeight="1" x14ac:dyDescent="0.25">
      <c r="A59" s="443"/>
      <c r="B59" s="443"/>
      <c r="C59" s="440"/>
      <c r="D59" s="427"/>
      <c r="E59" s="444"/>
      <c r="F59" s="429"/>
      <c r="G59" s="429"/>
      <c r="H59" s="442"/>
      <c r="I59" s="442"/>
      <c r="J59" s="442"/>
    </row>
    <row r="60" spans="1:10" ht="15" customHeight="1" x14ac:dyDescent="0.25">
      <c r="A60" s="433"/>
      <c r="B60" s="433"/>
      <c r="C60" s="433"/>
      <c r="D60" s="434"/>
      <c r="E60" s="435"/>
      <c r="F60" s="436"/>
      <c r="G60" s="436"/>
      <c r="H60" s="437"/>
      <c r="I60" s="437"/>
      <c r="J60" s="437"/>
    </row>
    <row r="72" spans="4:4" ht="15" customHeight="1" x14ac:dyDescent="0.25">
      <c r="D72" s="127">
        <f>44/201</f>
        <v>0.21890547263681592</v>
      </c>
    </row>
  </sheetData>
  <mergeCells count="68">
    <mergeCell ref="A59:B59"/>
    <mergeCell ref="C59:D59"/>
    <mergeCell ref="E59:G59"/>
    <mergeCell ref="H59:J59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A55:B55"/>
    <mergeCell ref="C55:D55"/>
    <mergeCell ref="E55:G55"/>
    <mergeCell ref="H55:J55"/>
    <mergeCell ref="A56:B56"/>
    <mergeCell ref="C56:D56"/>
    <mergeCell ref="E56:G56"/>
    <mergeCell ref="H56:J56"/>
    <mergeCell ref="S39:T39"/>
    <mergeCell ref="A53:J53"/>
    <mergeCell ref="A54:B54"/>
    <mergeCell ref="C54:D54"/>
    <mergeCell ref="E54:G54"/>
    <mergeCell ref="H54:J54"/>
    <mergeCell ref="A39:B39"/>
    <mergeCell ref="D39:E39"/>
    <mergeCell ref="G39:H39"/>
    <mergeCell ref="J39:K39"/>
    <mergeCell ref="M39:N39"/>
    <mergeCell ref="P39:Q39"/>
    <mergeCell ref="A48:B48"/>
    <mergeCell ref="D48:E48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A169-3475-425E-B245-C10D25F81F62}">
  <sheetPr>
    <outlinePr summaryBelow="0" summaryRight="0"/>
  </sheetPr>
  <dimension ref="A1:V73"/>
  <sheetViews>
    <sheetView showGridLines="0" zoomScaleNormal="100" workbookViewId="0">
      <selection activeCell="H6" sqref="H6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30.4257812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604</v>
      </c>
      <c r="D2" s="130"/>
      <c r="E2" s="131"/>
    </row>
    <row r="3" spans="1:20" x14ac:dyDescent="0.25">
      <c r="A3" s="128" t="s">
        <v>30</v>
      </c>
      <c r="B3" s="129">
        <v>17</v>
      </c>
      <c r="D3" s="130"/>
      <c r="E3" s="131"/>
    </row>
    <row r="4" spans="1:20" x14ac:dyDescent="0.25">
      <c r="A4" s="128" t="s">
        <v>3</v>
      </c>
      <c r="B4" s="132">
        <f>B2+B3</f>
        <v>621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65</v>
      </c>
      <c r="D6" s="134" t="s">
        <v>43</v>
      </c>
      <c r="E6" s="136">
        <v>2</v>
      </c>
      <c r="G6" s="128" t="s">
        <v>44</v>
      </c>
      <c r="H6" s="136">
        <f>B6+E6</f>
        <v>67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10.789049919484702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87</v>
      </c>
      <c r="D10" s="128" t="s">
        <v>29</v>
      </c>
      <c r="E10" s="128">
        <v>56</v>
      </c>
      <c r="G10" s="128" t="s">
        <v>29</v>
      </c>
      <c r="H10" s="128">
        <v>14</v>
      </c>
      <c r="J10" s="128" t="s">
        <v>29</v>
      </c>
      <c r="K10" s="128">
        <v>1</v>
      </c>
      <c r="M10" s="128" t="s">
        <v>29</v>
      </c>
      <c r="N10" s="128">
        <v>1</v>
      </c>
      <c r="P10" s="128" t="s">
        <v>29</v>
      </c>
      <c r="Q10" s="128">
        <v>10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f>E11+H11+K11+N11+Q11+T11</f>
        <v>3</v>
      </c>
      <c r="D11" s="128" t="s">
        <v>30</v>
      </c>
      <c r="E11" s="174">
        <v>0</v>
      </c>
      <c r="G11" s="128" t="s">
        <v>30</v>
      </c>
      <c r="H11" s="174">
        <v>3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90</v>
      </c>
      <c r="D12" s="140" t="s">
        <v>125</v>
      </c>
      <c r="E12" s="140">
        <f>E10+E11</f>
        <v>56</v>
      </c>
      <c r="G12" s="140" t="s">
        <v>125</v>
      </c>
      <c r="H12" s="140">
        <f>H10+H11</f>
        <v>17</v>
      </c>
      <c r="J12" s="140" t="s">
        <v>125</v>
      </c>
      <c r="K12" s="140">
        <f>K10+K11</f>
        <v>1</v>
      </c>
      <c r="M12" s="140" t="s">
        <v>125</v>
      </c>
      <c r="N12" s="140">
        <f>N10+N11</f>
        <v>1</v>
      </c>
      <c r="P12" s="140" t="s">
        <v>125</v>
      </c>
      <c r="Q12" s="140">
        <f>Q10+Q11</f>
        <v>10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E13+H13+K13+N13+Q13+T13</f>
        <v>9</v>
      </c>
      <c r="D13" s="128" t="s">
        <v>136</v>
      </c>
      <c r="E13" s="141">
        <v>8</v>
      </c>
      <c r="G13" s="128" t="s">
        <v>136</v>
      </c>
      <c r="H13" s="141">
        <v>0</v>
      </c>
      <c r="J13" s="128" t="s">
        <v>4</v>
      </c>
      <c r="K13" s="141">
        <v>0</v>
      </c>
      <c r="M13" s="128" t="s">
        <v>136</v>
      </c>
      <c r="N13" s="141">
        <v>1</v>
      </c>
      <c r="P13" s="128" t="s">
        <v>136</v>
      </c>
      <c r="Q13" s="141">
        <v>0</v>
      </c>
      <c r="S13" s="128" t="s">
        <v>4</v>
      </c>
      <c r="T13" s="142">
        <v>0</v>
      </c>
    </row>
    <row r="14" spans="1:20" x14ac:dyDescent="0.25">
      <c r="A14" s="128" t="s">
        <v>5</v>
      </c>
      <c r="B14" s="143">
        <f>B13/B12*100</f>
        <v>10</v>
      </c>
      <c r="D14" s="128" t="s">
        <v>5</v>
      </c>
      <c r="E14" s="143">
        <f>E13/E12*100</f>
        <v>14.285714285714285</v>
      </c>
      <c r="G14" s="128" t="s">
        <v>5</v>
      </c>
      <c r="H14" s="143">
        <f>H13/H12*100</f>
        <v>0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100</v>
      </c>
      <c r="P14" s="128" t="s">
        <v>5</v>
      </c>
      <c r="Q14" s="144">
        <f>Q13/Q12*100</f>
        <v>0</v>
      </c>
      <c r="S14" s="128" t="s">
        <v>5</v>
      </c>
      <c r="T14" s="144">
        <f>T13/T12*100</f>
        <v>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42</v>
      </c>
      <c r="D18" s="154" t="s">
        <v>29</v>
      </c>
      <c r="E18" s="154">
        <v>23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8</v>
      </c>
      <c r="S18" s="154" t="s">
        <v>29</v>
      </c>
      <c r="T18" s="154">
        <v>2</v>
      </c>
    </row>
    <row r="19" spans="1:20" x14ac:dyDescent="0.25">
      <c r="A19" s="140" t="s">
        <v>125</v>
      </c>
      <c r="B19" s="155">
        <f>B18</f>
        <v>42</v>
      </c>
      <c r="D19" s="140" t="s">
        <v>125</v>
      </c>
      <c r="E19" s="156">
        <f>E18</f>
        <v>23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8</v>
      </c>
      <c r="S19" s="140" t="s">
        <v>125</v>
      </c>
      <c r="T19" s="156">
        <f>T18</f>
        <v>2</v>
      </c>
    </row>
    <row r="20" spans="1:20" x14ac:dyDescent="0.25">
      <c r="A20" s="128" t="s">
        <v>72</v>
      </c>
      <c r="B20" s="141">
        <f>E20+H20+K20+N20+Q20+T20</f>
        <v>2</v>
      </c>
      <c r="D20" s="128" t="s">
        <v>73</v>
      </c>
      <c r="E20" s="141">
        <v>1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1</v>
      </c>
    </row>
    <row r="21" spans="1:20" x14ac:dyDescent="0.25">
      <c r="A21" s="157" t="s">
        <v>5</v>
      </c>
      <c r="B21" s="145">
        <f>B20/B19*100</f>
        <v>4.7619047619047619</v>
      </c>
      <c r="D21" s="128" t="s">
        <v>5</v>
      </c>
      <c r="E21" s="158">
        <f>E20/E19*100</f>
        <v>4.3478260869565215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50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132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11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8.3333333333333321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271</v>
      </c>
      <c r="D28" s="128" t="s">
        <v>28</v>
      </c>
      <c r="E28" s="128">
        <v>164</v>
      </c>
      <c r="G28" s="128" t="s">
        <v>28</v>
      </c>
      <c r="H28" s="128">
        <v>51</v>
      </c>
      <c r="J28" s="128" t="s">
        <v>28</v>
      </c>
      <c r="K28" s="128">
        <v>5</v>
      </c>
      <c r="M28" s="128" t="s">
        <v>28</v>
      </c>
      <c r="N28" s="128">
        <v>12</v>
      </c>
      <c r="P28" s="128" t="s">
        <v>28</v>
      </c>
      <c r="Q28" s="128">
        <v>29</v>
      </c>
      <c r="S28" s="128" t="s">
        <v>28</v>
      </c>
      <c r="T28" s="128">
        <v>10</v>
      </c>
    </row>
    <row r="29" spans="1:20" x14ac:dyDescent="0.25">
      <c r="A29" s="128" t="s">
        <v>30</v>
      </c>
      <c r="B29" s="174">
        <f>E29+H29</f>
        <v>12</v>
      </c>
      <c r="D29" s="128" t="s">
        <v>30</v>
      </c>
      <c r="E29" s="174">
        <v>0</v>
      </c>
      <c r="G29" s="128" t="s">
        <v>30</v>
      </c>
      <c r="H29" s="174">
        <v>12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283</v>
      </c>
      <c r="D30" s="163" t="s">
        <v>125</v>
      </c>
      <c r="E30" s="163">
        <f>E28+E29</f>
        <v>164</v>
      </c>
      <c r="G30" s="163" t="s">
        <v>125</v>
      </c>
      <c r="H30" s="163">
        <f>H28+H29</f>
        <v>63</v>
      </c>
      <c r="J30" s="163" t="s">
        <v>125</v>
      </c>
      <c r="K30" s="163">
        <f>K28+K29</f>
        <v>5</v>
      </c>
      <c r="M30" s="163" t="s">
        <v>125</v>
      </c>
      <c r="N30" s="163">
        <f>N28+N29</f>
        <v>12</v>
      </c>
      <c r="P30" s="163" t="s">
        <v>125</v>
      </c>
      <c r="Q30" s="163">
        <f>Q28+Q29</f>
        <v>29</v>
      </c>
      <c r="S30" s="163" t="s">
        <v>125</v>
      </c>
      <c r="T30" s="163">
        <f>T28+T29</f>
        <v>10</v>
      </c>
    </row>
    <row r="31" spans="1:20" x14ac:dyDescent="0.25">
      <c r="A31" s="184" t="s">
        <v>4</v>
      </c>
      <c r="B31" s="164">
        <f>E31+H31+K31+N31+Q31+T31</f>
        <v>51</v>
      </c>
      <c r="D31" s="128" t="s">
        <v>4</v>
      </c>
      <c r="E31" s="165">
        <v>34</v>
      </c>
      <c r="G31" s="128" t="s">
        <v>4</v>
      </c>
      <c r="H31" s="164">
        <v>10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5</v>
      </c>
      <c r="S31" s="184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18.021201413427562</v>
      </c>
      <c r="D32" s="128" t="s">
        <v>5</v>
      </c>
      <c r="E32" s="162">
        <f>E31/E30*100</f>
        <v>20.73170731707317</v>
      </c>
      <c r="G32" s="128" t="s">
        <v>5</v>
      </c>
      <c r="H32" s="162">
        <f>H31/H30*100</f>
        <v>15.873015873015872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17.241379310344829</v>
      </c>
      <c r="S32" s="128" t="s">
        <v>5</v>
      </c>
      <c r="T32" s="168">
        <f>T31/T30</f>
        <v>0.2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34</v>
      </c>
      <c r="D35" s="163" t="s">
        <v>28</v>
      </c>
      <c r="E35" s="163">
        <v>20</v>
      </c>
      <c r="G35" s="163" t="s">
        <v>28</v>
      </c>
      <c r="H35" s="163">
        <v>5</v>
      </c>
      <c r="J35" s="163" t="s">
        <v>28</v>
      </c>
      <c r="K35" s="163">
        <v>1</v>
      </c>
      <c r="M35" s="163" t="s">
        <v>28</v>
      </c>
      <c r="N35" s="163">
        <v>1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49</v>
      </c>
      <c r="D40" s="163" t="s">
        <v>28</v>
      </c>
      <c r="E40" s="163">
        <v>25</v>
      </c>
      <c r="G40" s="163" t="s">
        <v>28</v>
      </c>
      <c r="H40" s="163">
        <v>7</v>
      </c>
      <c r="J40" s="163" t="s">
        <v>28</v>
      </c>
      <c r="K40" s="163">
        <v>2</v>
      </c>
      <c r="M40" s="163" t="s">
        <v>28</v>
      </c>
      <c r="N40" s="163">
        <v>3</v>
      </c>
      <c r="P40" s="163" t="s">
        <v>28</v>
      </c>
      <c r="Q40" s="163">
        <v>8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0</v>
      </c>
      <c r="D41" s="128" t="s">
        <v>4</v>
      </c>
      <c r="E41" s="167">
        <v>0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0</v>
      </c>
      <c r="D42" s="128" t="s">
        <v>5</v>
      </c>
      <c r="E42" s="158">
        <f>E41/E40*100</f>
        <v>0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83</v>
      </c>
      <c r="D44" s="154" t="s">
        <v>123</v>
      </c>
      <c r="E44" s="154">
        <f>B30+B44</f>
        <v>366</v>
      </c>
    </row>
    <row r="45" spans="1:22" ht="15" customHeight="1" x14ac:dyDescent="0.25">
      <c r="A45" s="154" t="s">
        <v>44</v>
      </c>
      <c r="B45" s="170">
        <f>B36+B41</f>
        <v>0</v>
      </c>
      <c r="D45" s="154" t="s">
        <v>44</v>
      </c>
      <c r="E45" s="170">
        <f>B45+B31</f>
        <v>51</v>
      </c>
      <c r="G45" s="147"/>
      <c r="I45" s="147"/>
    </row>
    <row r="46" spans="1:22" ht="15" customHeight="1" x14ac:dyDescent="0.25">
      <c r="A46" s="161" t="s">
        <v>132</v>
      </c>
      <c r="B46" s="158">
        <f>B45/B44*100</f>
        <v>0</v>
      </c>
      <c r="D46" s="171" t="s">
        <v>11</v>
      </c>
      <c r="E46" s="158">
        <f>E45/E44*100</f>
        <v>13.934426229508196</v>
      </c>
    </row>
    <row r="48" spans="1:22" ht="15" customHeight="1" x14ac:dyDescent="0.25">
      <c r="A48" s="315" t="s">
        <v>227</v>
      </c>
      <c r="B48" s="316"/>
      <c r="D48" s="315" t="s">
        <v>237</v>
      </c>
      <c r="E48" s="316"/>
    </row>
    <row r="49" spans="1:10" ht="15" customHeight="1" x14ac:dyDescent="0.25">
      <c r="A49" s="163" t="s">
        <v>28</v>
      </c>
      <c r="B49" s="163">
        <v>36</v>
      </c>
      <c r="D49" s="163" t="s">
        <v>28</v>
      </c>
      <c r="E49" s="163">
        <v>18</v>
      </c>
    </row>
    <row r="50" spans="1:10" ht="15" customHeight="1" x14ac:dyDescent="0.25">
      <c r="A50" s="185" t="s">
        <v>228</v>
      </c>
      <c r="B50" s="167">
        <v>4</v>
      </c>
      <c r="D50" s="187" t="s">
        <v>238</v>
      </c>
      <c r="E50" s="167">
        <v>1</v>
      </c>
    </row>
    <row r="51" spans="1:10" ht="13.5" customHeight="1" x14ac:dyDescent="0.25">
      <c r="A51" s="128" t="s">
        <v>5</v>
      </c>
      <c r="B51" s="158">
        <f>B50/B49*100</f>
        <v>11.111111111111111</v>
      </c>
      <c r="D51" s="128" t="s">
        <v>5</v>
      </c>
      <c r="E51" s="158">
        <f>E50/E49*100</f>
        <v>5.5555555555555554</v>
      </c>
    </row>
    <row r="54" spans="1:10" ht="15" customHeight="1" x14ac:dyDescent="0.25">
      <c r="A54" s="404" t="s">
        <v>208</v>
      </c>
      <c r="B54" s="315"/>
      <c r="C54" s="315"/>
      <c r="D54" s="315"/>
      <c r="E54" s="315"/>
      <c r="F54" s="315"/>
      <c r="G54" s="315"/>
      <c r="H54" s="315"/>
      <c r="I54" s="315"/>
      <c r="J54" s="315"/>
    </row>
    <row r="55" spans="1:10" x14ac:dyDescent="0.25">
      <c r="A55" s="448" t="s">
        <v>229</v>
      </c>
      <c r="B55" s="429"/>
      <c r="C55" s="450" t="s">
        <v>231</v>
      </c>
      <c r="D55" s="427"/>
      <c r="E55" s="186" t="s">
        <v>234</v>
      </c>
      <c r="F55" s="178"/>
      <c r="G55" s="178"/>
      <c r="H55" s="442"/>
      <c r="I55" s="442"/>
      <c r="J55" s="442"/>
    </row>
    <row r="56" spans="1:10" x14ac:dyDescent="0.25">
      <c r="A56" s="451" t="s">
        <v>230</v>
      </c>
      <c r="B56" s="429"/>
      <c r="C56" s="450" t="s">
        <v>231</v>
      </c>
      <c r="D56" s="427"/>
      <c r="E56" s="452" t="s">
        <v>166</v>
      </c>
      <c r="F56" s="453"/>
      <c r="G56" s="454"/>
      <c r="H56" s="442"/>
      <c r="I56" s="442"/>
      <c r="J56" s="442"/>
    </row>
    <row r="57" spans="1:10" x14ac:dyDescent="0.25">
      <c r="A57" s="451" t="s">
        <v>232</v>
      </c>
      <c r="B57" s="429"/>
      <c r="C57" s="450" t="s">
        <v>231</v>
      </c>
      <c r="D57" s="427"/>
      <c r="E57" s="452" t="s">
        <v>166</v>
      </c>
      <c r="F57" s="453"/>
      <c r="G57" s="454"/>
      <c r="H57" s="442"/>
      <c r="I57" s="442"/>
      <c r="J57" s="442"/>
    </row>
    <row r="58" spans="1:10" x14ac:dyDescent="0.25">
      <c r="A58" s="451" t="s">
        <v>233</v>
      </c>
      <c r="B58" s="429"/>
      <c r="C58" s="450" t="s">
        <v>231</v>
      </c>
      <c r="D58" s="427"/>
      <c r="E58" s="452" t="s">
        <v>166</v>
      </c>
      <c r="F58" s="453"/>
      <c r="G58" s="454"/>
      <c r="H58" s="442"/>
      <c r="I58" s="442"/>
      <c r="J58" s="442"/>
    </row>
    <row r="59" spans="1:10" ht="15" customHeight="1" x14ac:dyDescent="0.25">
      <c r="A59" s="451" t="s">
        <v>235</v>
      </c>
      <c r="B59" s="429"/>
      <c r="C59" s="455" t="s">
        <v>57</v>
      </c>
      <c r="D59" s="427"/>
      <c r="E59" s="451" t="s">
        <v>236</v>
      </c>
      <c r="F59" s="429"/>
      <c r="G59" s="429"/>
      <c r="H59" s="442"/>
      <c r="I59" s="442"/>
      <c r="J59" s="442"/>
    </row>
    <row r="60" spans="1:10" ht="15" customHeight="1" x14ac:dyDescent="0.25">
      <c r="A60" s="443"/>
      <c r="B60" s="443"/>
      <c r="C60" s="440"/>
      <c r="D60" s="427"/>
      <c r="E60" s="444"/>
      <c r="F60" s="429"/>
      <c r="G60" s="429"/>
      <c r="H60" s="442"/>
      <c r="I60" s="442"/>
      <c r="J60" s="442"/>
    </row>
    <row r="61" spans="1:10" ht="15" customHeight="1" x14ac:dyDescent="0.25">
      <c r="A61" s="433"/>
      <c r="B61" s="433"/>
      <c r="C61" s="433"/>
      <c r="D61" s="434"/>
      <c r="E61" s="435"/>
      <c r="F61" s="436"/>
      <c r="G61" s="436"/>
      <c r="H61" s="437"/>
      <c r="I61" s="437"/>
      <c r="J61" s="437"/>
    </row>
    <row r="73" spans="4:4" ht="15" customHeight="1" x14ac:dyDescent="0.25">
      <c r="D73" s="127">
        <f>47/214</f>
        <v>0.21962616822429906</v>
      </c>
    </row>
  </sheetData>
  <mergeCells count="67">
    <mergeCell ref="A60:B60"/>
    <mergeCell ref="C60:D60"/>
    <mergeCell ref="E60:G60"/>
    <mergeCell ref="H60:J60"/>
    <mergeCell ref="A61:B61"/>
    <mergeCell ref="C61:D61"/>
    <mergeCell ref="E61:G61"/>
    <mergeCell ref="H61:J61"/>
    <mergeCell ref="A58:B58"/>
    <mergeCell ref="C58:D58"/>
    <mergeCell ref="E58:G58"/>
    <mergeCell ref="H58:J58"/>
    <mergeCell ref="A59:B59"/>
    <mergeCell ref="C59:D59"/>
    <mergeCell ref="E59:G59"/>
    <mergeCell ref="H59:J59"/>
    <mergeCell ref="A56:B56"/>
    <mergeCell ref="C56:D56"/>
    <mergeCell ref="E56:G56"/>
    <mergeCell ref="H56:J56"/>
    <mergeCell ref="A57:B57"/>
    <mergeCell ref="C57:D57"/>
    <mergeCell ref="E57:G57"/>
    <mergeCell ref="H57:J57"/>
    <mergeCell ref="S39:T39"/>
    <mergeCell ref="A54:J54"/>
    <mergeCell ref="A55:B55"/>
    <mergeCell ref="C55:D55"/>
    <mergeCell ref="H55:J55"/>
    <mergeCell ref="A39:B39"/>
    <mergeCell ref="D39:E39"/>
    <mergeCell ref="G39:H39"/>
    <mergeCell ref="J39:K39"/>
    <mergeCell ref="M39:N39"/>
    <mergeCell ref="P39:Q39"/>
    <mergeCell ref="A48:B48"/>
    <mergeCell ref="D48:E48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FE4A-6A31-410E-9497-2A1BFBACF87A}">
  <sheetPr>
    <outlinePr summaryBelow="0" summaryRight="0"/>
  </sheetPr>
  <dimension ref="A1:V73"/>
  <sheetViews>
    <sheetView showGridLines="0" zoomScaleNormal="100" workbookViewId="0">
      <selection activeCell="G50" sqref="G50"/>
    </sheetView>
  </sheetViews>
  <sheetFormatPr baseColWidth="10" defaultColWidth="14.42578125" defaultRowHeight="15" customHeight="1" x14ac:dyDescent="0.25"/>
  <cols>
    <col min="1" max="1" width="26" style="127" customWidth="1"/>
    <col min="2" max="2" width="6.85546875" style="127" customWidth="1"/>
    <col min="3" max="3" width="5.140625" style="127" customWidth="1"/>
    <col min="4" max="4" width="30.4257812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7.28515625" style="127" customWidth="1"/>
    <col min="12" max="12" width="5.28515625" style="127" customWidth="1"/>
    <col min="13" max="13" width="25" style="127" customWidth="1"/>
    <col min="14" max="14" width="8.42578125" style="127" customWidth="1"/>
    <col min="15" max="15" width="6" style="127" customWidth="1"/>
    <col min="16" max="16" width="21.140625" style="127" customWidth="1"/>
    <col min="17" max="17" width="6.85546875" style="127" customWidth="1"/>
    <col min="18" max="18" width="5.140625" style="127" customWidth="1"/>
    <col min="19" max="19" width="19.5703125" style="127" customWidth="1"/>
    <col min="20" max="20" width="6.855468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539</v>
      </c>
      <c r="D2" s="130"/>
      <c r="E2" s="131"/>
    </row>
    <row r="3" spans="1:20" x14ac:dyDescent="0.25">
      <c r="A3" s="128" t="s">
        <v>30</v>
      </c>
      <c r="B3" s="189">
        <v>12</v>
      </c>
      <c r="D3" s="130"/>
      <c r="E3" s="131"/>
    </row>
    <row r="4" spans="1:20" x14ac:dyDescent="0.25">
      <c r="A4" s="128" t="s">
        <v>3</v>
      </c>
      <c r="B4" s="132">
        <f>B2+B3</f>
        <v>551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85</v>
      </c>
      <c r="D6" s="188" t="s">
        <v>43</v>
      </c>
      <c r="E6" s="136">
        <v>1</v>
      </c>
      <c r="G6" s="128" t="s">
        <v>44</v>
      </c>
      <c r="H6" s="136">
        <f>B6+E6</f>
        <v>86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15.607985480943739</v>
      </c>
    </row>
    <row r="8" spans="1:20" x14ac:dyDescent="0.25">
      <c r="B8" s="131"/>
    </row>
    <row r="9" spans="1:20" x14ac:dyDescent="0.25">
      <c r="A9" s="317" t="s">
        <v>65</v>
      </c>
      <c r="B9" s="318"/>
      <c r="D9" s="315" t="s">
        <v>24</v>
      </c>
      <c r="E9" s="316"/>
      <c r="G9" s="315" t="s">
        <v>25</v>
      </c>
      <c r="H9" s="316"/>
      <c r="J9" s="315" t="s">
        <v>113</v>
      </c>
      <c r="K9" s="316"/>
      <c r="M9" s="315" t="s">
        <v>27</v>
      </c>
      <c r="N9" s="316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f>E10+H10+K10+N10+Q10+T10</f>
        <v>80</v>
      </c>
      <c r="D10" s="128" t="s">
        <v>29</v>
      </c>
      <c r="E10" s="128">
        <v>46</v>
      </c>
      <c r="G10" s="128" t="s">
        <v>29</v>
      </c>
      <c r="H10" s="128">
        <v>17</v>
      </c>
      <c r="J10" s="128" t="s">
        <v>29</v>
      </c>
      <c r="K10" s="128">
        <v>1</v>
      </c>
      <c r="M10" s="128" t="s">
        <v>29</v>
      </c>
      <c r="N10" s="128">
        <v>1</v>
      </c>
      <c r="P10" s="128" t="s">
        <v>29</v>
      </c>
      <c r="Q10" s="128">
        <v>9</v>
      </c>
      <c r="S10" s="128" t="s">
        <v>29</v>
      </c>
      <c r="T10" s="128">
        <v>6</v>
      </c>
    </row>
    <row r="11" spans="1:20" x14ac:dyDescent="0.25">
      <c r="A11" s="128" t="s">
        <v>30</v>
      </c>
      <c r="B11" s="174">
        <f>E11+H11+K11+N11+Q11+T11</f>
        <v>2</v>
      </c>
      <c r="D11" s="128" t="s">
        <v>30</v>
      </c>
      <c r="E11" s="174">
        <v>0</v>
      </c>
      <c r="G11" s="128" t="s">
        <v>30</v>
      </c>
      <c r="H11" s="174">
        <v>2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82</v>
      </c>
      <c r="D12" s="140" t="s">
        <v>125</v>
      </c>
      <c r="E12" s="140">
        <f>E10+E11</f>
        <v>46</v>
      </c>
      <c r="G12" s="140" t="s">
        <v>125</v>
      </c>
      <c r="H12" s="140">
        <f>H10+H11</f>
        <v>19</v>
      </c>
      <c r="J12" s="140" t="s">
        <v>125</v>
      </c>
      <c r="K12" s="140">
        <f>K10+K11</f>
        <v>1</v>
      </c>
      <c r="M12" s="140" t="s">
        <v>125</v>
      </c>
      <c r="N12" s="140">
        <f>N10+N11</f>
        <v>1</v>
      </c>
      <c r="P12" s="140" t="s">
        <v>125</v>
      </c>
      <c r="Q12" s="140">
        <f>Q10+Q11</f>
        <v>9</v>
      </c>
      <c r="S12" s="140" t="s">
        <v>125</v>
      </c>
      <c r="T12" s="140">
        <f>T10+T11</f>
        <v>6</v>
      </c>
    </row>
    <row r="13" spans="1:20" x14ac:dyDescent="0.25">
      <c r="A13" s="128" t="s">
        <v>66</v>
      </c>
      <c r="B13" s="141">
        <f>E13+H13+K13+N13+Q13+T13</f>
        <v>15</v>
      </c>
      <c r="D13" s="128" t="s">
        <v>136</v>
      </c>
      <c r="E13" s="141">
        <v>8</v>
      </c>
      <c r="G13" s="128" t="s">
        <v>136</v>
      </c>
      <c r="H13" s="141">
        <v>3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3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18.292682926829269</v>
      </c>
      <c r="D14" s="128" t="s">
        <v>5</v>
      </c>
      <c r="E14" s="143">
        <f>E13/E12*100</f>
        <v>17.391304347826086</v>
      </c>
      <c r="G14" s="128" t="s">
        <v>5</v>
      </c>
      <c r="H14" s="143">
        <f>H13/H12*100</f>
        <v>15.789473684210526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4">
        <f>Q13/Q12*100</f>
        <v>33.333333333333329</v>
      </c>
      <c r="S14" s="128" t="s">
        <v>5</v>
      </c>
      <c r="T14" s="144">
        <f>T13/T12*100</f>
        <v>16.666666666666664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5" t="s">
        <v>64</v>
      </c>
      <c r="N17" s="316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f>E18+H18+K18+N18+Q18+T18</f>
        <v>46</v>
      </c>
      <c r="D18" s="154" t="s">
        <v>29</v>
      </c>
      <c r="E18" s="154">
        <v>27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8</v>
      </c>
      <c r="S18" s="154" t="s">
        <v>29</v>
      </c>
      <c r="T18" s="154">
        <v>2</v>
      </c>
    </row>
    <row r="19" spans="1:20" x14ac:dyDescent="0.25">
      <c r="A19" s="140" t="s">
        <v>125</v>
      </c>
      <c r="B19" s="155">
        <f>B18</f>
        <v>46</v>
      </c>
      <c r="D19" s="140" t="s">
        <v>125</v>
      </c>
      <c r="E19" s="156">
        <f>E18</f>
        <v>27</v>
      </c>
      <c r="G19" s="140" t="s">
        <v>125</v>
      </c>
      <c r="H19" s="156">
        <f>H18</f>
        <v>6</v>
      </c>
      <c r="J19" s="140" t="s">
        <v>125</v>
      </c>
      <c r="K19" s="156">
        <f>K18</f>
        <v>1</v>
      </c>
      <c r="M19" s="140" t="s">
        <v>125</v>
      </c>
      <c r="N19" s="156">
        <f>N18</f>
        <v>2</v>
      </c>
      <c r="P19" s="140" t="s">
        <v>125</v>
      </c>
      <c r="Q19" s="156">
        <f>Q18</f>
        <v>8</v>
      </c>
      <c r="S19" s="140" t="s">
        <v>125</v>
      </c>
      <c r="T19" s="156">
        <f>T18</f>
        <v>2</v>
      </c>
    </row>
    <row r="20" spans="1:20" x14ac:dyDescent="0.25">
      <c r="A20" s="128" t="s">
        <v>72</v>
      </c>
      <c r="B20" s="141">
        <f>E20+H20+K20+N20+Q20+T20</f>
        <v>3</v>
      </c>
      <c r="D20" s="128" t="s">
        <v>73</v>
      </c>
      <c r="E20" s="141">
        <v>2</v>
      </c>
      <c r="G20" s="128" t="s">
        <v>74</v>
      </c>
      <c r="H20" s="140">
        <v>1</v>
      </c>
      <c r="J20" s="128" t="s">
        <v>75</v>
      </c>
      <c r="K20" s="140">
        <v>0</v>
      </c>
      <c r="M20" s="128" t="s">
        <v>76</v>
      </c>
      <c r="N20" s="140">
        <v>0</v>
      </c>
      <c r="P20" s="128" t="s">
        <v>76</v>
      </c>
      <c r="Q20" s="142">
        <v>0</v>
      </c>
      <c r="S20" s="128" t="s">
        <v>133</v>
      </c>
      <c r="T20" s="142">
        <v>0</v>
      </c>
    </row>
    <row r="21" spans="1:20" x14ac:dyDescent="0.25">
      <c r="A21" s="157" t="s">
        <v>5</v>
      </c>
      <c r="B21" s="145">
        <f>B20/B19*100</f>
        <v>6.5217391304347823</v>
      </c>
      <c r="D21" s="128" t="s">
        <v>5</v>
      </c>
      <c r="E21" s="158">
        <f>E20/E19*100</f>
        <v>7.4074074074074066</v>
      </c>
      <c r="F21" s="133"/>
      <c r="G21" s="128" t="s">
        <v>5</v>
      </c>
      <c r="H21" s="145">
        <f>H20/H19*100</f>
        <v>16.666666666666664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0</v>
      </c>
      <c r="P21" s="128" t="s">
        <v>5</v>
      </c>
      <c r="Q21" s="144">
        <f>Q20/Q19*100</f>
        <v>0</v>
      </c>
      <c r="S21" s="128" t="s">
        <v>5</v>
      </c>
      <c r="T21" s="144">
        <f>T20/T19*100</f>
        <v>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128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18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14.0625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f>E28+H28+K28+N28+Q28+T28</f>
        <v>253</v>
      </c>
      <c r="D28" s="128" t="s">
        <v>28</v>
      </c>
      <c r="E28" s="128">
        <v>148</v>
      </c>
      <c r="G28" s="128" t="s">
        <v>28</v>
      </c>
      <c r="H28" s="128">
        <v>50</v>
      </c>
      <c r="J28" s="128" t="s">
        <v>28</v>
      </c>
      <c r="K28" s="128">
        <v>5</v>
      </c>
      <c r="M28" s="128" t="s">
        <v>28</v>
      </c>
      <c r="N28" s="128">
        <v>13</v>
      </c>
      <c r="P28" s="128" t="s">
        <v>28</v>
      </c>
      <c r="Q28" s="128">
        <v>26</v>
      </c>
      <c r="S28" s="128" t="s">
        <v>28</v>
      </c>
      <c r="T28" s="128">
        <v>11</v>
      </c>
    </row>
    <row r="29" spans="1:20" x14ac:dyDescent="0.25">
      <c r="A29" s="128" t="s">
        <v>30</v>
      </c>
      <c r="B29" s="174">
        <f>E29+H29</f>
        <v>9</v>
      </c>
      <c r="D29" s="128" t="s">
        <v>30</v>
      </c>
      <c r="E29" s="174">
        <v>0</v>
      </c>
      <c r="G29" s="128" t="s">
        <v>30</v>
      </c>
      <c r="H29" s="174">
        <v>9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E30+H30+K30+N30+Q30+T30</f>
        <v>262</v>
      </c>
      <c r="D30" s="163" t="s">
        <v>125</v>
      </c>
      <c r="E30" s="163">
        <f>E28+E29</f>
        <v>148</v>
      </c>
      <c r="G30" s="163" t="s">
        <v>125</v>
      </c>
      <c r="H30" s="163">
        <f>H28+H29</f>
        <v>59</v>
      </c>
      <c r="J30" s="163" t="s">
        <v>125</v>
      </c>
      <c r="K30" s="163">
        <f>K28+K29</f>
        <v>5</v>
      </c>
      <c r="M30" s="163" t="s">
        <v>125</v>
      </c>
      <c r="N30" s="163">
        <f>N28+N29</f>
        <v>13</v>
      </c>
      <c r="P30" s="163" t="s">
        <v>125</v>
      </c>
      <c r="Q30" s="163">
        <f>Q28+Q29</f>
        <v>26</v>
      </c>
      <c r="S30" s="163" t="s">
        <v>125</v>
      </c>
      <c r="T30" s="163">
        <f>T28+T29</f>
        <v>11</v>
      </c>
    </row>
    <row r="31" spans="1:20" x14ac:dyDescent="0.25">
      <c r="A31" s="184" t="s">
        <v>4</v>
      </c>
      <c r="B31" s="164">
        <f>E31+H31+K31+N31+Q31+T31</f>
        <v>50</v>
      </c>
      <c r="D31" s="128" t="s">
        <v>4</v>
      </c>
      <c r="E31" s="165">
        <v>32</v>
      </c>
      <c r="G31" s="128" t="s">
        <v>4</v>
      </c>
      <c r="H31" s="164">
        <v>10</v>
      </c>
      <c r="J31" s="128" t="s">
        <v>4</v>
      </c>
      <c r="K31" s="166">
        <v>0</v>
      </c>
      <c r="M31" s="128" t="s">
        <v>4</v>
      </c>
      <c r="N31" s="167">
        <v>1</v>
      </c>
      <c r="P31" s="128" t="s">
        <v>4</v>
      </c>
      <c r="Q31" s="167">
        <v>5</v>
      </c>
      <c r="S31" s="184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19.083969465648856</v>
      </c>
      <c r="D32" s="128" t="s">
        <v>5</v>
      </c>
      <c r="E32" s="162">
        <f>E31/E30*100</f>
        <v>21.621621621621621</v>
      </c>
      <c r="G32" s="128" t="s">
        <v>5</v>
      </c>
      <c r="H32" s="162">
        <f>H31/H30*100</f>
        <v>16.949152542372879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7.6923076923076925</v>
      </c>
      <c r="P32" s="128" t="s">
        <v>5</v>
      </c>
      <c r="Q32" s="162">
        <f>Q31/Q30*100</f>
        <v>19.230769230769234</v>
      </c>
      <c r="S32" s="128" t="s">
        <v>5</v>
      </c>
      <c r="T32" s="168">
        <f>T31/T30</f>
        <v>0.18181818181818182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f>E35+H35+K35+N35+Q35+T35</f>
        <v>38</v>
      </c>
      <c r="D35" s="163" t="s">
        <v>28</v>
      </c>
      <c r="E35" s="163">
        <v>22</v>
      </c>
      <c r="G35" s="163" t="s">
        <v>28</v>
      </c>
      <c r="H35" s="163">
        <v>5</v>
      </c>
      <c r="J35" s="163" t="s">
        <v>28</v>
      </c>
      <c r="K35" s="163">
        <v>2</v>
      </c>
      <c r="M35" s="163" t="s">
        <v>28</v>
      </c>
      <c r="N35" s="163">
        <v>2</v>
      </c>
      <c r="P35" s="163" t="s">
        <v>28</v>
      </c>
      <c r="Q35" s="163">
        <v>5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f>E36+H36+K36+N36+Q36+T36</f>
        <v>2</v>
      </c>
      <c r="D36" s="128" t="s">
        <v>136</v>
      </c>
      <c r="E36" s="167">
        <v>2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5.2631578947368416</v>
      </c>
      <c r="D37" s="128" t="s">
        <v>5</v>
      </c>
      <c r="E37" s="158">
        <f>E36/E35*100</f>
        <v>9.0909090909090917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f>E40+H40+K40+N40+Q40+T40</f>
        <v>50</v>
      </c>
      <c r="D40" s="163" t="s">
        <v>28</v>
      </c>
      <c r="E40" s="163">
        <v>26</v>
      </c>
      <c r="G40" s="163" t="s">
        <v>28</v>
      </c>
      <c r="H40" s="163">
        <v>7</v>
      </c>
      <c r="J40" s="163" t="s">
        <v>28</v>
      </c>
      <c r="K40" s="163">
        <v>2</v>
      </c>
      <c r="M40" s="163" t="s">
        <v>28</v>
      </c>
      <c r="N40" s="163">
        <v>2</v>
      </c>
      <c r="P40" s="163" t="s">
        <v>28</v>
      </c>
      <c r="Q40" s="163">
        <v>9</v>
      </c>
      <c r="S40" s="163" t="s">
        <v>28</v>
      </c>
      <c r="T40" s="163">
        <v>4</v>
      </c>
      <c r="V40" s="175"/>
    </row>
    <row r="41" spans="1:22" x14ac:dyDescent="0.25">
      <c r="A41" s="128" t="s">
        <v>121</v>
      </c>
      <c r="B41" s="167">
        <f>E41+H41+K41+N41+Q41+T41</f>
        <v>7</v>
      </c>
      <c r="D41" s="128" t="s">
        <v>4</v>
      </c>
      <c r="E41" s="167">
        <v>6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1</v>
      </c>
      <c r="S41" s="128" t="s">
        <v>4</v>
      </c>
      <c r="T41" s="166">
        <v>0</v>
      </c>
    </row>
    <row r="42" spans="1:22" ht="15" customHeight="1" x14ac:dyDescent="0.25">
      <c r="A42" s="128" t="s">
        <v>5</v>
      </c>
      <c r="B42" s="158">
        <f>B41/B40*100</f>
        <v>14.000000000000002</v>
      </c>
      <c r="D42" s="128" t="s">
        <v>5</v>
      </c>
      <c r="E42" s="158">
        <f>E41/E40*100</f>
        <v>23.076923076923077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11.111111111111111</v>
      </c>
      <c r="S42" s="128" t="s">
        <v>5</v>
      </c>
      <c r="T42" s="162">
        <f>T41/T40*100</f>
        <v>0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B35+B40</f>
        <v>88</v>
      </c>
      <c r="G44" s="154" t="s">
        <v>123</v>
      </c>
      <c r="H44" s="154">
        <f>B30+B44</f>
        <v>350</v>
      </c>
    </row>
    <row r="45" spans="1:22" ht="15" customHeight="1" x14ac:dyDescent="0.25">
      <c r="A45" s="154" t="s">
        <v>44</v>
      </c>
      <c r="B45" s="170">
        <f>B36+B41</f>
        <v>9</v>
      </c>
      <c r="G45" s="154" t="s">
        <v>44</v>
      </c>
      <c r="H45" s="170">
        <f>B45+B31</f>
        <v>59</v>
      </c>
      <c r="I45" s="147"/>
    </row>
    <row r="46" spans="1:22" ht="15" customHeight="1" x14ac:dyDescent="0.25">
      <c r="A46" s="161" t="s">
        <v>132</v>
      </c>
      <c r="B46" s="158">
        <f>B45/B44*100</f>
        <v>10.227272727272728</v>
      </c>
      <c r="G46" s="171" t="s">
        <v>11</v>
      </c>
      <c r="H46" s="158">
        <f>H45/H44*100</f>
        <v>16.857142857142858</v>
      </c>
    </row>
    <row r="48" spans="1:22" ht="15" customHeight="1" x14ac:dyDescent="0.25">
      <c r="A48" s="315" t="s">
        <v>58</v>
      </c>
      <c r="B48" s="316"/>
      <c r="D48" s="315" t="s">
        <v>239</v>
      </c>
      <c r="E48" s="316"/>
    </row>
    <row r="49" spans="1:10" ht="15" customHeight="1" x14ac:dyDescent="0.25">
      <c r="A49" s="163" t="s">
        <v>28</v>
      </c>
      <c r="B49" s="163">
        <v>33</v>
      </c>
      <c r="D49" s="163" t="s">
        <v>28</v>
      </c>
      <c r="E49" s="163">
        <v>17</v>
      </c>
    </row>
    <row r="50" spans="1:10" ht="15" customHeight="1" x14ac:dyDescent="0.25">
      <c r="A50" s="185" t="s">
        <v>228</v>
      </c>
      <c r="B50" s="167">
        <v>4</v>
      </c>
      <c r="D50" s="187" t="s">
        <v>238</v>
      </c>
      <c r="E50" s="167">
        <v>1</v>
      </c>
    </row>
    <row r="51" spans="1:10" ht="13.5" customHeight="1" x14ac:dyDescent="0.25">
      <c r="A51" s="128" t="s">
        <v>5</v>
      </c>
      <c r="B51" s="158">
        <f>B50/B49*100</f>
        <v>12.121212121212121</v>
      </c>
      <c r="D51" s="128" t="s">
        <v>5</v>
      </c>
      <c r="E51" s="158">
        <f>E50/E49*100</f>
        <v>5.8823529411764701</v>
      </c>
    </row>
    <row r="54" spans="1:10" ht="15" customHeight="1" x14ac:dyDescent="0.25">
      <c r="A54" s="404" t="s">
        <v>208</v>
      </c>
      <c r="B54" s="315"/>
      <c r="C54" s="315"/>
      <c r="D54" s="315"/>
      <c r="E54" s="315"/>
      <c r="F54" s="315"/>
      <c r="G54" s="315"/>
      <c r="H54" s="315"/>
      <c r="I54" s="315"/>
      <c r="J54" s="315"/>
    </row>
    <row r="55" spans="1:10" x14ac:dyDescent="0.25">
      <c r="A55" s="448"/>
      <c r="B55" s="429"/>
      <c r="C55" s="450"/>
      <c r="D55" s="427"/>
      <c r="E55" s="456"/>
      <c r="F55" s="457"/>
      <c r="G55" s="458"/>
      <c r="H55" s="442"/>
      <c r="I55" s="442"/>
      <c r="J55" s="442"/>
    </row>
    <row r="56" spans="1:10" x14ac:dyDescent="0.25">
      <c r="A56" s="451"/>
      <c r="B56" s="429"/>
      <c r="C56" s="450"/>
      <c r="D56" s="427"/>
      <c r="E56" s="452"/>
      <c r="F56" s="453"/>
      <c r="G56" s="454"/>
      <c r="H56" s="442"/>
      <c r="I56" s="442"/>
      <c r="J56" s="442"/>
    </row>
    <row r="57" spans="1:10" x14ac:dyDescent="0.25">
      <c r="A57" s="451"/>
      <c r="B57" s="429"/>
      <c r="C57" s="450"/>
      <c r="D57" s="427"/>
      <c r="E57" s="452"/>
      <c r="F57" s="453"/>
      <c r="G57" s="454"/>
      <c r="H57" s="442"/>
      <c r="I57" s="442"/>
      <c r="J57" s="442"/>
    </row>
    <row r="58" spans="1:10" x14ac:dyDescent="0.25">
      <c r="A58" s="451"/>
      <c r="B58" s="429"/>
      <c r="C58" s="450"/>
      <c r="D58" s="427"/>
      <c r="E58" s="452"/>
      <c r="F58" s="453"/>
      <c r="G58" s="454"/>
      <c r="H58" s="442"/>
      <c r="I58" s="442"/>
      <c r="J58" s="442"/>
    </row>
    <row r="59" spans="1:10" ht="15" customHeight="1" x14ac:dyDescent="0.25">
      <c r="A59" s="451"/>
      <c r="B59" s="429"/>
      <c r="C59" s="455"/>
      <c r="D59" s="427"/>
      <c r="E59" s="451"/>
      <c r="F59" s="429"/>
      <c r="G59" s="429"/>
      <c r="H59" s="442"/>
      <c r="I59" s="442"/>
      <c r="J59" s="442"/>
    </row>
    <row r="60" spans="1:10" ht="15" customHeight="1" x14ac:dyDescent="0.25">
      <c r="A60" s="443"/>
      <c r="B60" s="443"/>
      <c r="C60" s="440"/>
      <c r="D60" s="427"/>
      <c r="E60" s="444"/>
      <c r="F60" s="429"/>
      <c r="G60" s="429"/>
      <c r="H60" s="442"/>
      <c r="I60" s="442"/>
      <c r="J60" s="442"/>
    </row>
    <row r="61" spans="1:10" ht="15" customHeight="1" x14ac:dyDescent="0.25">
      <c r="A61" s="433"/>
      <c r="B61" s="433"/>
      <c r="C61" s="433"/>
      <c r="D61" s="434"/>
      <c r="E61" s="435"/>
      <c r="F61" s="436"/>
      <c r="G61" s="436"/>
      <c r="H61" s="437"/>
      <c r="I61" s="437"/>
      <c r="J61" s="437"/>
    </row>
    <row r="73" spans="4:4" ht="15" customHeight="1" x14ac:dyDescent="0.25">
      <c r="D73" s="127">
        <f>47/214</f>
        <v>0.21962616822429906</v>
      </c>
    </row>
  </sheetData>
  <mergeCells count="68">
    <mergeCell ref="A60:B60"/>
    <mergeCell ref="C60:D60"/>
    <mergeCell ref="E60:G60"/>
    <mergeCell ref="H60:J60"/>
    <mergeCell ref="A61:B61"/>
    <mergeCell ref="C61:D61"/>
    <mergeCell ref="E61:G61"/>
    <mergeCell ref="H61:J61"/>
    <mergeCell ref="A58:B58"/>
    <mergeCell ref="C58:D58"/>
    <mergeCell ref="E58:G58"/>
    <mergeCell ref="H58:J58"/>
    <mergeCell ref="A59:B59"/>
    <mergeCell ref="C59:D59"/>
    <mergeCell ref="E59:G59"/>
    <mergeCell ref="H59:J59"/>
    <mergeCell ref="A56:B56"/>
    <mergeCell ref="C56:D56"/>
    <mergeCell ref="E56:G56"/>
    <mergeCell ref="H56:J56"/>
    <mergeCell ref="A57:B57"/>
    <mergeCell ref="C57:D57"/>
    <mergeCell ref="E57:G57"/>
    <mergeCell ref="H57:J57"/>
    <mergeCell ref="S39:T39"/>
    <mergeCell ref="A48:B48"/>
    <mergeCell ref="D48:E48"/>
    <mergeCell ref="A54:J54"/>
    <mergeCell ref="A55:B55"/>
    <mergeCell ref="C55:D55"/>
    <mergeCell ref="H55:J55"/>
    <mergeCell ref="A39:B39"/>
    <mergeCell ref="D39:E39"/>
    <mergeCell ref="G39:H39"/>
    <mergeCell ref="J39:K39"/>
    <mergeCell ref="M39:N39"/>
    <mergeCell ref="P39:Q39"/>
    <mergeCell ref="E55:G55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pageSetup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319F-9DAB-49B0-B31F-78B3C4E14644}">
  <sheetPr>
    <outlinePr summaryBelow="0" summaryRight="0"/>
  </sheetPr>
  <dimension ref="A1:V73"/>
  <sheetViews>
    <sheetView showGridLines="0" topLeftCell="A3" zoomScaleNormal="100" workbookViewId="0">
      <selection activeCell="B16" sqref="B16"/>
    </sheetView>
  </sheetViews>
  <sheetFormatPr baseColWidth="10" defaultColWidth="14.42578125" defaultRowHeight="15" customHeight="1" x14ac:dyDescent="0.25"/>
  <cols>
    <col min="1" max="1" width="26" style="127" customWidth="1"/>
    <col min="2" max="2" width="12.5703125" style="127" customWidth="1"/>
    <col min="3" max="3" width="5.140625" style="127" customWidth="1"/>
    <col min="4" max="4" width="30.42578125" style="127" customWidth="1"/>
    <col min="5" max="5" width="7.42578125" style="127" customWidth="1"/>
    <col min="6" max="6" width="6.5703125" style="127" customWidth="1"/>
    <col min="7" max="7" width="24.7109375" style="127" customWidth="1"/>
    <col min="8" max="8" width="6.5703125" style="127" customWidth="1"/>
    <col min="9" max="9" width="4.42578125" style="127" customWidth="1"/>
    <col min="10" max="10" width="20.85546875" style="127" customWidth="1"/>
    <col min="11" max="11" width="10.5703125" style="127" customWidth="1"/>
    <col min="12" max="12" width="3" style="127" customWidth="1"/>
    <col min="13" max="13" width="25" style="127" customWidth="1"/>
    <col min="14" max="14" width="11.7109375" style="127" customWidth="1"/>
    <col min="15" max="15" width="6" style="127" customWidth="1"/>
    <col min="16" max="16" width="21.140625" style="127" customWidth="1"/>
    <col min="17" max="17" width="9.28515625" style="127" customWidth="1"/>
    <col min="18" max="18" width="5.140625" style="127" customWidth="1"/>
    <col min="19" max="19" width="19.5703125" style="127" customWidth="1"/>
    <col min="20" max="20" width="17.7109375" style="127" customWidth="1"/>
    <col min="21" max="16384" width="14.42578125" style="127"/>
  </cols>
  <sheetData>
    <row r="1" spans="1:20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</row>
    <row r="2" spans="1:20" x14ac:dyDescent="0.25">
      <c r="A2" s="128" t="s">
        <v>29</v>
      </c>
      <c r="B2" s="129">
        <v>569</v>
      </c>
      <c r="D2" s="130"/>
      <c r="E2" s="131"/>
    </row>
    <row r="3" spans="1:20" x14ac:dyDescent="0.25">
      <c r="A3" s="128" t="s">
        <v>30</v>
      </c>
      <c r="B3" s="189">
        <v>9</v>
      </c>
      <c r="D3" s="130"/>
      <c r="E3" s="131"/>
    </row>
    <row r="4" spans="1:20" x14ac:dyDescent="0.25">
      <c r="A4" s="128" t="s">
        <v>3</v>
      </c>
      <c r="B4" s="132">
        <f>B2+B3</f>
        <v>578</v>
      </c>
      <c r="D4" s="130"/>
      <c r="E4" s="131"/>
    </row>
    <row r="5" spans="1:20" x14ac:dyDescent="0.25">
      <c r="B5" s="131"/>
      <c r="D5" s="133"/>
    </row>
    <row r="6" spans="1:20" x14ac:dyDescent="0.25">
      <c r="A6" s="134" t="s">
        <v>42</v>
      </c>
      <c r="B6" s="135">
        <v>66</v>
      </c>
      <c r="D6" s="188" t="s">
        <v>43</v>
      </c>
      <c r="E6" s="136">
        <v>1</v>
      </c>
      <c r="G6" s="128" t="s">
        <v>44</v>
      </c>
      <c r="H6" s="136">
        <f>B6+E6</f>
        <v>67</v>
      </c>
    </row>
    <row r="7" spans="1:20" x14ac:dyDescent="0.25">
      <c r="A7" s="130"/>
      <c r="B7" s="137"/>
      <c r="D7" s="130"/>
      <c r="E7" s="137"/>
      <c r="G7" s="128" t="s">
        <v>5</v>
      </c>
      <c r="H7" s="138">
        <f>H6/B4*100</f>
        <v>11.591695501730104</v>
      </c>
    </row>
    <row r="8" spans="1:20" x14ac:dyDescent="0.25">
      <c r="B8" s="131"/>
    </row>
    <row r="9" spans="1:20" x14ac:dyDescent="0.25">
      <c r="A9" s="317" t="s">
        <v>65</v>
      </c>
      <c r="B9" s="318"/>
      <c r="D9" s="313" t="s">
        <v>24</v>
      </c>
      <c r="E9" s="314"/>
      <c r="G9" s="313" t="s">
        <v>25</v>
      </c>
      <c r="H9" s="314"/>
      <c r="J9" s="313" t="s">
        <v>113</v>
      </c>
      <c r="K9" s="314"/>
      <c r="M9" s="313" t="s">
        <v>27</v>
      </c>
      <c r="N9" s="314"/>
      <c r="P9" s="315" t="s">
        <v>114</v>
      </c>
      <c r="Q9" s="316"/>
      <c r="S9" s="315" t="s">
        <v>115</v>
      </c>
      <c r="T9" s="316"/>
    </row>
    <row r="10" spans="1:20" x14ac:dyDescent="0.25">
      <c r="A10" s="128" t="s">
        <v>28</v>
      </c>
      <c r="B10" s="128">
        <v>76</v>
      </c>
      <c r="D10" s="190" t="s">
        <v>29</v>
      </c>
      <c r="E10" s="190">
        <v>44</v>
      </c>
      <c r="G10" s="190" t="s">
        <v>29</v>
      </c>
      <c r="H10" s="190">
        <v>15</v>
      </c>
      <c r="J10" s="190" t="s">
        <v>29</v>
      </c>
      <c r="K10" s="190">
        <v>2</v>
      </c>
      <c r="M10" s="190" t="s">
        <v>29</v>
      </c>
      <c r="N10" s="190">
        <v>2</v>
      </c>
      <c r="P10" s="128" t="s">
        <v>29</v>
      </c>
      <c r="Q10" s="128">
        <v>8</v>
      </c>
      <c r="S10" s="128" t="s">
        <v>29</v>
      </c>
      <c r="T10" s="128">
        <v>5</v>
      </c>
    </row>
    <row r="11" spans="1:20" x14ac:dyDescent="0.25">
      <c r="A11" s="128" t="s">
        <v>30</v>
      </c>
      <c r="B11" s="174">
        <v>1</v>
      </c>
      <c r="D11" s="128" t="s">
        <v>30</v>
      </c>
      <c r="E11" s="174">
        <v>0</v>
      </c>
      <c r="G11" s="128" t="s">
        <v>30</v>
      </c>
      <c r="H11" s="174">
        <v>2</v>
      </c>
      <c r="J11" s="128" t="s">
        <v>30</v>
      </c>
      <c r="K11" s="128">
        <v>0</v>
      </c>
      <c r="M11" s="128" t="s">
        <v>30</v>
      </c>
      <c r="N11" s="128">
        <v>0</v>
      </c>
      <c r="P11" s="128" t="s">
        <v>30</v>
      </c>
      <c r="Q11" s="128">
        <v>0</v>
      </c>
      <c r="S11" s="128" t="s">
        <v>30</v>
      </c>
      <c r="T11" s="128">
        <v>0</v>
      </c>
    </row>
    <row r="12" spans="1:20" ht="16.5" customHeight="1" x14ac:dyDescent="0.25">
      <c r="A12" s="140" t="s">
        <v>125</v>
      </c>
      <c r="B12" s="140">
        <f>B10+B11</f>
        <v>77</v>
      </c>
      <c r="D12" s="140" t="s">
        <v>125</v>
      </c>
      <c r="E12" s="140">
        <f>E10+E11</f>
        <v>44</v>
      </c>
      <c r="G12" s="140" t="s">
        <v>125</v>
      </c>
      <c r="H12" s="140">
        <f>SUM(H10+H11)</f>
        <v>17</v>
      </c>
      <c r="J12" s="140" t="s">
        <v>125</v>
      </c>
      <c r="K12" s="140">
        <v>2</v>
      </c>
      <c r="M12" s="140" t="s">
        <v>125</v>
      </c>
      <c r="N12" s="140">
        <f>N10+N11</f>
        <v>2</v>
      </c>
      <c r="P12" s="140" t="s">
        <v>125</v>
      </c>
      <c r="Q12" s="140">
        <v>9</v>
      </c>
      <c r="S12" s="140" t="s">
        <v>125</v>
      </c>
      <c r="T12" s="140">
        <f>T10+T11</f>
        <v>5</v>
      </c>
    </row>
    <row r="13" spans="1:20" x14ac:dyDescent="0.25">
      <c r="A13" s="128" t="s">
        <v>66</v>
      </c>
      <c r="B13" s="141">
        <f>SUM(E13+H13+K13+N13+Q13+T13)</f>
        <v>8</v>
      </c>
      <c r="D13" s="128" t="s">
        <v>136</v>
      </c>
      <c r="E13" s="141">
        <v>6</v>
      </c>
      <c r="G13" s="128" t="s">
        <v>136</v>
      </c>
      <c r="H13" s="141">
        <v>1</v>
      </c>
      <c r="J13" s="128" t="s">
        <v>4</v>
      </c>
      <c r="K13" s="141">
        <v>0</v>
      </c>
      <c r="M13" s="128" t="s">
        <v>136</v>
      </c>
      <c r="N13" s="141">
        <v>0</v>
      </c>
      <c r="P13" s="128" t="s">
        <v>136</v>
      </c>
      <c r="Q13" s="141">
        <v>0</v>
      </c>
      <c r="S13" s="128" t="s">
        <v>4</v>
      </c>
      <c r="T13" s="142">
        <v>1</v>
      </c>
    </row>
    <row r="14" spans="1:20" x14ac:dyDescent="0.25">
      <c r="A14" s="128" t="s">
        <v>5</v>
      </c>
      <c r="B14" s="143">
        <f>B13/B12*100</f>
        <v>10.38961038961039</v>
      </c>
      <c r="D14" s="128" t="s">
        <v>5</v>
      </c>
      <c r="E14" s="143">
        <f>E13/E12*100</f>
        <v>13.636363636363635</v>
      </c>
      <c r="G14" s="128" t="s">
        <v>5</v>
      </c>
      <c r="H14" s="143">
        <f>H13/H12*100</f>
        <v>5.8823529411764701</v>
      </c>
      <c r="J14" s="128" t="s">
        <v>5</v>
      </c>
      <c r="K14" s="144">
        <f>K13/K12*100</f>
        <v>0</v>
      </c>
      <c r="M14" s="128" t="s">
        <v>5</v>
      </c>
      <c r="N14" s="145">
        <f>N13/N12*100</f>
        <v>0</v>
      </c>
      <c r="P14" s="128" t="s">
        <v>5</v>
      </c>
      <c r="Q14" s="145">
        <f>Q13/Q12*100</f>
        <v>0</v>
      </c>
      <c r="S14" s="128" t="s">
        <v>5</v>
      </c>
      <c r="T14" s="144">
        <f>T13/T12*100</f>
        <v>20</v>
      </c>
    </row>
    <row r="15" spans="1:20" x14ac:dyDescent="0.25">
      <c r="A15" s="130"/>
      <c r="B15" s="146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</row>
    <row r="16" spans="1:20" x14ac:dyDescent="0.25">
      <c r="E16" s="147"/>
      <c r="F16" s="147"/>
      <c r="G16" s="147"/>
      <c r="H16" s="147"/>
      <c r="I16" s="147"/>
      <c r="J16" s="147"/>
      <c r="K16" s="147"/>
      <c r="L16" s="147"/>
      <c r="M16" s="151"/>
    </row>
    <row r="17" spans="1:20" x14ac:dyDescent="0.25">
      <c r="A17" s="317" t="s">
        <v>71</v>
      </c>
      <c r="B17" s="318"/>
      <c r="D17" s="317" t="s">
        <v>61</v>
      </c>
      <c r="E17" s="318"/>
      <c r="G17" s="317" t="s">
        <v>62</v>
      </c>
      <c r="H17" s="318"/>
      <c r="J17" s="317" t="s">
        <v>92</v>
      </c>
      <c r="K17" s="318"/>
      <c r="M17" s="313" t="s">
        <v>64</v>
      </c>
      <c r="N17" s="314"/>
      <c r="P17" s="315" t="s">
        <v>90</v>
      </c>
      <c r="Q17" s="316"/>
      <c r="S17" s="317" t="s">
        <v>91</v>
      </c>
      <c r="T17" s="318"/>
    </row>
    <row r="18" spans="1:20" x14ac:dyDescent="0.25">
      <c r="A18" s="152" t="s">
        <v>29</v>
      </c>
      <c r="B18" s="153">
        <v>46</v>
      </c>
      <c r="D18" s="154" t="s">
        <v>29</v>
      </c>
      <c r="E18" s="154">
        <v>28</v>
      </c>
      <c r="G18" s="154" t="s">
        <v>29</v>
      </c>
      <c r="H18" s="60">
        <v>6</v>
      </c>
      <c r="J18" s="154" t="s">
        <v>29</v>
      </c>
      <c r="K18" s="154">
        <v>1</v>
      </c>
      <c r="M18" s="154" t="s">
        <v>29</v>
      </c>
      <c r="N18" s="154">
        <v>2</v>
      </c>
      <c r="P18" s="154" t="s">
        <v>29</v>
      </c>
      <c r="Q18" s="154">
        <v>7</v>
      </c>
      <c r="S18" s="154" t="s">
        <v>29</v>
      </c>
      <c r="T18" s="154">
        <v>2</v>
      </c>
    </row>
    <row r="19" spans="1:20" x14ac:dyDescent="0.25">
      <c r="A19" s="140" t="s">
        <v>125</v>
      </c>
      <c r="B19" s="155">
        <f>B18</f>
        <v>46</v>
      </c>
      <c r="D19" s="140" t="s">
        <v>125</v>
      </c>
      <c r="E19" s="156">
        <f>E18</f>
        <v>28</v>
      </c>
      <c r="G19" s="140" t="s">
        <v>125</v>
      </c>
      <c r="H19" s="156">
        <f>H18</f>
        <v>6</v>
      </c>
      <c r="J19" s="140" t="s">
        <v>125</v>
      </c>
      <c r="K19" s="156">
        <v>1</v>
      </c>
      <c r="M19" s="140" t="s">
        <v>125</v>
      </c>
      <c r="N19" s="156">
        <v>2</v>
      </c>
      <c r="P19" s="140" t="s">
        <v>125</v>
      </c>
      <c r="Q19" s="156">
        <v>7</v>
      </c>
      <c r="S19" s="140" t="s">
        <v>125</v>
      </c>
      <c r="T19" s="156">
        <f>T18</f>
        <v>2</v>
      </c>
    </row>
    <row r="20" spans="1:20" x14ac:dyDescent="0.25">
      <c r="A20" s="128" t="s">
        <v>72</v>
      </c>
      <c r="B20" s="141">
        <v>4</v>
      </c>
      <c r="D20" s="128" t="s">
        <v>73</v>
      </c>
      <c r="E20" s="141">
        <v>2</v>
      </c>
      <c r="G20" s="128" t="s">
        <v>74</v>
      </c>
      <c r="H20" s="140">
        <v>0</v>
      </c>
      <c r="J20" s="128" t="s">
        <v>75</v>
      </c>
      <c r="K20" s="140">
        <v>0</v>
      </c>
      <c r="M20" s="128" t="s">
        <v>76</v>
      </c>
      <c r="N20" s="140">
        <v>1</v>
      </c>
      <c r="P20" s="128" t="s">
        <v>76</v>
      </c>
      <c r="Q20" s="142">
        <v>1</v>
      </c>
      <c r="S20" s="128" t="s">
        <v>133</v>
      </c>
      <c r="T20" s="142">
        <v>1</v>
      </c>
    </row>
    <row r="21" spans="1:20" x14ac:dyDescent="0.25">
      <c r="A21" s="157" t="s">
        <v>5</v>
      </c>
      <c r="B21" s="145">
        <f>B20/B19*100</f>
        <v>8.695652173913043</v>
      </c>
      <c r="D21" s="128" t="s">
        <v>5</v>
      </c>
      <c r="E21" s="158">
        <f>E20/E19*100</f>
        <v>7.1428571428571423</v>
      </c>
      <c r="F21" s="133"/>
      <c r="G21" s="128" t="s">
        <v>5</v>
      </c>
      <c r="H21" s="145">
        <f>H20/H19*100</f>
        <v>0</v>
      </c>
      <c r="J21" s="128" t="s">
        <v>5</v>
      </c>
      <c r="K21" s="145">
        <f>K20/K19*100</f>
        <v>0</v>
      </c>
      <c r="M21" s="128" t="s">
        <v>5</v>
      </c>
      <c r="N21" s="145">
        <f>N20/N19*100</f>
        <v>50</v>
      </c>
      <c r="P21" s="128" t="s">
        <v>5</v>
      </c>
      <c r="Q21" s="144">
        <f>Q20/Q19*100</f>
        <v>14.285714285714285</v>
      </c>
      <c r="S21" s="128" t="s">
        <v>5</v>
      </c>
      <c r="T21" s="144">
        <f>T20/T19*100</f>
        <v>50</v>
      </c>
    </row>
    <row r="22" spans="1:20" x14ac:dyDescent="0.25">
      <c r="A22" s="148"/>
      <c r="B22" s="159"/>
      <c r="C22" s="147"/>
      <c r="D22" s="148"/>
      <c r="E22" s="159"/>
      <c r="F22" s="160"/>
      <c r="G22" s="130"/>
      <c r="H22" s="150"/>
      <c r="J22" s="130"/>
      <c r="K22" s="150"/>
      <c r="M22" s="130"/>
      <c r="N22" s="150"/>
    </row>
    <row r="23" spans="1:20" x14ac:dyDescent="0.25">
      <c r="A23" s="154" t="s">
        <v>126</v>
      </c>
      <c r="B23" s="154">
        <f>B12+B19</f>
        <v>123</v>
      </c>
      <c r="C23" s="147"/>
      <c r="D23" s="148"/>
      <c r="E23" s="159"/>
      <c r="F23" s="160"/>
      <c r="G23" s="130"/>
      <c r="H23" s="150"/>
      <c r="J23" s="130"/>
      <c r="K23" s="150"/>
      <c r="M23" s="130"/>
      <c r="N23" s="150"/>
    </row>
    <row r="24" spans="1:20" x14ac:dyDescent="0.25">
      <c r="A24" s="154" t="s">
        <v>44</v>
      </c>
      <c r="B24" s="156">
        <f>B13+B20</f>
        <v>12</v>
      </c>
      <c r="C24" s="147"/>
      <c r="D24" s="148"/>
      <c r="E24" s="159"/>
      <c r="F24" s="160"/>
      <c r="G24" s="130"/>
      <c r="H24" s="150"/>
      <c r="J24" s="130"/>
      <c r="K24" s="150"/>
      <c r="M24" s="130"/>
      <c r="N24" s="150"/>
    </row>
    <row r="25" spans="1:20" x14ac:dyDescent="0.25">
      <c r="A25" s="161" t="s">
        <v>83</v>
      </c>
      <c r="B25" s="162">
        <f>B24/B23*100</f>
        <v>9.7560975609756095</v>
      </c>
      <c r="C25" s="147"/>
      <c r="D25" s="148"/>
      <c r="E25" s="159"/>
      <c r="F25" s="160"/>
      <c r="G25" s="130"/>
      <c r="H25" s="150"/>
      <c r="J25" s="130"/>
      <c r="K25" s="150"/>
      <c r="M25" s="130"/>
      <c r="N25" s="150"/>
    </row>
    <row r="26" spans="1:20" x14ac:dyDescent="0.25">
      <c r="K26" s="147"/>
      <c r="M26" s="151"/>
    </row>
    <row r="27" spans="1:20" x14ac:dyDescent="0.25">
      <c r="A27" s="315" t="s">
        <v>137</v>
      </c>
      <c r="B27" s="316"/>
      <c r="D27" s="384" t="s">
        <v>104</v>
      </c>
      <c r="E27" s="384"/>
      <c r="G27" s="315" t="s">
        <v>105</v>
      </c>
      <c r="H27" s="316"/>
      <c r="J27" s="315" t="s">
        <v>106</v>
      </c>
      <c r="K27" s="316"/>
      <c r="M27" s="315" t="s">
        <v>36</v>
      </c>
      <c r="N27" s="316"/>
      <c r="P27" s="315" t="s">
        <v>93</v>
      </c>
      <c r="Q27" s="316"/>
      <c r="S27" s="315" t="s">
        <v>94</v>
      </c>
      <c r="T27" s="316"/>
    </row>
    <row r="28" spans="1:20" x14ac:dyDescent="0.25">
      <c r="A28" s="128" t="s">
        <v>28</v>
      </c>
      <c r="B28" s="128">
        <v>247</v>
      </c>
      <c r="D28" s="128" t="s">
        <v>28</v>
      </c>
      <c r="E28" s="128">
        <v>147</v>
      </c>
      <c r="G28" s="128" t="s">
        <v>28</v>
      </c>
      <c r="H28" s="128">
        <v>53</v>
      </c>
      <c r="J28" s="128" t="s">
        <v>28</v>
      </c>
      <c r="K28" s="128">
        <v>5</v>
      </c>
      <c r="M28" s="128" t="s">
        <v>28</v>
      </c>
      <c r="N28" s="128">
        <v>11</v>
      </c>
      <c r="P28" s="128" t="s">
        <v>28</v>
      </c>
      <c r="Q28" s="128">
        <v>19</v>
      </c>
      <c r="S28" s="128" t="s">
        <v>28</v>
      </c>
      <c r="T28" s="128">
        <v>12</v>
      </c>
    </row>
    <row r="29" spans="1:20" x14ac:dyDescent="0.25">
      <c r="A29" s="128" t="s">
        <v>30</v>
      </c>
      <c r="B29" s="174">
        <v>6</v>
      </c>
      <c r="D29" s="128" t="s">
        <v>30</v>
      </c>
      <c r="E29" s="174">
        <v>0</v>
      </c>
      <c r="G29" s="128" t="s">
        <v>30</v>
      </c>
      <c r="H29" s="174">
        <v>6</v>
      </c>
      <c r="J29" s="128" t="s">
        <v>30</v>
      </c>
      <c r="K29" s="128">
        <v>0</v>
      </c>
      <c r="M29" s="128" t="s">
        <v>30</v>
      </c>
      <c r="N29" s="128">
        <v>0</v>
      </c>
      <c r="P29" s="128" t="s">
        <v>30</v>
      </c>
      <c r="Q29" s="128">
        <v>0</v>
      </c>
      <c r="S29" s="128" t="s">
        <v>30</v>
      </c>
      <c r="T29" s="128">
        <v>0</v>
      </c>
    </row>
    <row r="30" spans="1:20" x14ac:dyDescent="0.25">
      <c r="A30" s="163" t="s">
        <v>125</v>
      </c>
      <c r="B30" s="163">
        <f>SUM(B28+B29)</f>
        <v>253</v>
      </c>
      <c r="D30" s="163" t="s">
        <v>125</v>
      </c>
      <c r="E30" s="163">
        <f>E28+E29</f>
        <v>147</v>
      </c>
      <c r="G30" s="163" t="s">
        <v>125</v>
      </c>
      <c r="H30" s="163">
        <f>H28+H29</f>
        <v>59</v>
      </c>
      <c r="J30" s="163" t="s">
        <v>125</v>
      </c>
      <c r="K30" s="163">
        <f>K28+K29</f>
        <v>5</v>
      </c>
      <c r="M30" s="163" t="s">
        <v>125</v>
      </c>
      <c r="N30" s="163">
        <v>11</v>
      </c>
      <c r="P30" s="163" t="s">
        <v>125</v>
      </c>
      <c r="Q30" s="163">
        <f>Q28+Q29</f>
        <v>19</v>
      </c>
      <c r="S30" s="163" t="s">
        <v>125</v>
      </c>
      <c r="T30" s="163">
        <f>T28+T29</f>
        <v>12</v>
      </c>
    </row>
    <row r="31" spans="1:20" x14ac:dyDescent="0.25">
      <c r="A31" s="184" t="s">
        <v>4</v>
      </c>
      <c r="B31" s="164">
        <v>41</v>
      </c>
      <c r="D31" s="128" t="s">
        <v>4</v>
      </c>
      <c r="E31" s="165">
        <v>24</v>
      </c>
      <c r="G31" s="128" t="s">
        <v>4</v>
      </c>
      <c r="H31" s="164">
        <v>14</v>
      </c>
      <c r="J31" s="128" t="s">
        <v>4</v>
      </c>
      <c r="K31" s="166">
        <v>0</v>
      </c>
      <c r="M31" s="128" t="s">
        <v>4</v>
      </c>
      <c r="N31" s="167">
        <v>0</v>
      </c>
      <c r="P31" s="128" t="s">
        <v>4</v>
      </c>
      <c r="Q31" s="167">
        <v>2</v>
      </c>
      <c r="S31" s="184" t="s">
        <v>4</v>
      </c>
      <c r="T31" s="167">
        <v>2</v>
      </c>
    </row>
    <row r="32" spans="1:20" x14ac:dyDescent="0.25">
      <c r="A32" s="128" t="s">
        <v>5</v>
      </c>
      <c r="B32" s="162">
        <f>B31/B30*100</f>
        <v>16.205533596837945</v>
      </c>
      <c r="D32" s="128" t="s">
        <v>5</v>
      </c>
      <c r="E32" s="162">
        <f>E31/E30*100</f>
        <v>16.326530612244898</v>
      </c>
      <c r="G32" s="128" t="s">
        <v>5</v>
      </c>
      <c r="H32" s="162">
        <f>H31/H30*100</f>
        <v>23.728813559322035</v>
      </c>
      <c r="J32" s="128" t="s">
        <v>5</v>
      </c>
      <c r="K32" s="162">
        <f>K31/K30*100%</f>
        <v>0</v>
      </c>
      <c r="M32" s="128" t="s">
        <v>5</v>
      </c>
      <c r="N32" s="162">
        <f>N31/N30*100</f>
        <v>0</v>
      </c>
      <c r="P32" s="128" t="s">
        <v>5</v>
      </c>
      <c r="Q32" s="162">
        <f>Q31/Q30*100</f>
        <v>10.526315789473683</v>
      </c>
      <c r="S32" s="128" t="s">
        <v>5</v>
      </c>
      <c r="T32" s="168">
        <f>T31/T30</f>
        <v>0.16666666666666666</v>
      </c>
    </row>
    <row r="33" spans="1:22" ht="15" customHeight="1" x14ac:dyDescent="0.25">
      <c r="N33" s="130"/>
    </row>
    <row r="34" spans="1:22" x14ac:dyDescent="0.25">
      <c r="A34" s="315" t="s">
        <v>77</v>
      </c>
      <c r="B34" s="316"/>
      <c r="D34" s="384" t="s">
        <v>48</v>
      </c>
      <c r="E34" s="384"/>
      <c r="F34" s="147"/>
      <c r="G34" s="315" t="s">
        <v>49</v>
      </c>
      <c r="H34" s="316"/>
      <c r="J34" s="315" t="s">
        <v>108</v>
      </c>
      <c r="K34" s="316"/>
      <c r="M34" s="315" t="s">
        <v>51</v>
      </c>
      <c r="N34" s="316"/>
      <c r="P34" s="315" t="s">
        <v>98</v>
      </c>
      <c r="Q34" s="316"/>
      <c r="S34" s="315" t="s">
        <v>97</v>
      </c>
      <c r="T34" s="316"/>
    </row>
    <row r="35" spans="1:22" x14ac:dyDescent="0.25">
      <c r="A35" s="163" t="s">
        <v>28</v>
      </c>
      <c r="B35" s="163">
        <v>37</v>
      </c>
      <c r="D35" s="163" t="s">
        <v>28</v>
      </c>
      <c r="E35" s="163">
        <v>21</v>
      </c>
      <c r="G35" s="163" t="s">
        <v>28</v>
      </c>
      <c r="H35" s="163">
        <v>7</v>
      </c>
      <c r="J35" s="163" t="s">
        <v>28</v>
      </c>
      <c r="K35" s="163">
        <v>1</v>
      </c>
      <c r="M35" s="163" t="s">
        <v>28</v>
      </c>
      <c r="N35" s="163">
        <v>2</v>
      </c>
      <c r="P35" s="163" t="s">
        <v>28</v>
      </c>
      <c r="Q35" s="163">
        <v>4</v>
      </c>
      <c r="S35" s="163" t="s">
        <v>28</v>
      </c>
      <c r="T35" s="163">
        <v>2</v>
      </c>
    </row>
    <row r="36" spans="1:22" x14ac:dyDescent="0.25">
      <c r="A36" s="128" t="s">
        <v>78</v>
      </c>
      <c r="B36" s="169">
        <v>0</v>
      </c>
      <c r="D36" s="128" t="s">
        <v>136</v>
      </c>
      <c r="E36" s="167">
        <v>0</v>
      </c>
      <c r="G36" s="128" t="s">
        <v>4</v>
      </c>
      <c r="H36" s="167">
        <v>0</v>
      </c>
      <c r="J36" s="128" t="s">
        <v>4</v>
      </c>
      <c r="K36" s="166">
        <v>0</v>
      </c>
      <c r="M36" s="128" t="s">
        <v>4</v>
      </c>
      <c r="N36" s="166">
        <v>0</v>
      </c>
      <c r="P36" s="128" t="s">
        <v>4</v>
      </c>
      <c r="Q36" s="166">
        <v>0</v>
      </c>
      <c r="S36" s="128" t="s">
        <v>4</v>
      </c>
      <c r="T36" s="166">
        <v>0</v>
      </c>
    </row>
    <row r="37" spans="1:22" ht="15" customHeight="1" x14ac:dyDescent="0.25">
      <c r="A37" s="128" t="s">
        <v>5</v>
      </c>
      <c r="B37" s="158">
        <f>B36/B35*100</f>
        <v>0</v>
      </c>
      <c r="D37" s="128" t="s">
        <v>5</v>
      </c>
      <c r="E37" s="158">
        <f>E36/E35*100</f>
        <v>0</v>
      </c>
      <c r="G37" s="128" t="s">
        <v>5</v>
      </c>
      <c r="H37" s="162">
        <f>H36/H35*100</f>
        <v>0</v>
      </c>
      <c r="J37" s="128" t="s">
        <v>5</v>
      </c>
      <c r="K37" s="162">
        <f>K36/K35*100</f>
        <v>0</v>
      </c>
      <c r="M37" s="128" t="s">
        <v>5</v>
      </c>
      <c r="N37" s="162">
        <f>N36/N35*100</f>
        <v>0</v>
      </c>
      <c r="P37" s="128" t="s">
        <v>5</v>
      </c>
      <c r="Q37" s="162">
        <f>Q36/Q35*100</f>
        <v>0</v>
      </c>
      <c r="S37" s="128" t="s">
        <v>5</v>
      </c>
      <c r="T37" s="162">
        <f>T36/T35*100</f>
        <v>0</v>
      </c>
    </row>
    <row r="39" spans="1:22" x14ac:dyDescent="0.25">
      <c r="A39" s="315" t="s">
        <v>116</v>
      </c>
      <c r="B39" s="316"/>
      <c r="D39" s="384" t="s">
        <v>117</v>
      </c>
      <c r="E39" s="384"/>
      <c r="G39" s="315" t="s">
        <v>118</v>
      </c>
      <c r="H39" s="316"/>
      <c r="J39" s="315" t="s">
        <v>119</v>
      </c>
      <c r="K39" s="316"/>
      <c r="M39" s="315" t="s">
        <v>120</v>
      </c>
      <c r="N39" s="316"/>
      <c r="P39" s="315" t="s">
        <v>127</v>
      </c>
      <c r="Q39" s="316"/>
      <c r="S39" s="315" t="s">
        <v>128</v>
      </c>
      <c r="T39" s="316"/>
    </row>
    <row r="40" spans="1:22" x14ac:dyDescent="0.25">
      <c r="A40" s="163" t="s">
        <v>28</v>
      </c>
      <c r="B40" s="163">
        <v>47</v>
      </c>
      <c r="D40" s="163" t="s">
        <v>28</v>
      </c>
      <c r="E40" s="163">
        <v>21</v>
      </c>
      <c r="G40" s="163" t="s">
        <v>28</v>
      </c>
      <c r="H40" s="163">
        <v>9</v>
      </c>
      <c r="J40" s="163" t="s">
        <v>28</v>
      </c>
      <c r="K40" s="163">
        <v>2</v>
      </c>
      <c r="M40" s="163" t="s">
        <v>28</v>
      </c>
      <c r="N40" s="163">
        <v>3</v>
      </c>
      <c r="P40" s="163" t="s">
        <v>28</v>
      </c>
      <c r="Q40" s="163">
        <v>9</v>
      </c>
      <c r="S40" s="163" t="s">
        <v>28</v>
      </c>
      <c r="T40" s="163">
        <v>3</v>
      </c>
      <c r="V40" s="175"/>
    </row>
    <row r="41" spans="1:22" x14ac:dyDescent="0.25">
      <c r="A41" s="128" t="s">
        <v>121</v>
      </c>
      <c r="B41" s="167">
        <f>E41+H41+K41+N41+Q41+T41</f>
        <v>3</v>
      </c>
      <c r="D41" s="128" t="s">
        <v>4</v>
      </c>
      <c r="E41" s="167">
        <v>2</v>
      </c>
      <c r="G41" s="128" t="s">
        <v>4</v>
      </c>
      <c r="H41" s="167">
        <v>0</v>
      </c>
      <c r="J41" s="128" t="s">
        <v>4</v>
      </c>
      <c r="K41" s="166">
        <v>0</v>
      </c>
      <c r="M41" s="128" t="s">
        <v>4</v>
      </c>
      <c r="N41" s="166">
        <v>0</v>
      </c>
      <c r="P41" s="128" t="s">
        <v>4</v>
      </c>
      <c r="Q41" s="166">
        <v>0</v>
      </c>
      <c r="S41" s="128" t="s">
        <v>4</v>
      </c>
      <c r="T41" s="166">
        <v>1</v>
      </c>
    </row>
    <row r="42" spans="1:22" ht="15" customHeight="1" x14ac:dyDescent="0.25">
      <c r="A42" s="128" t="s">
        <v>5</v>
      </c>
      <c r="B42" s="158">
        <f>B41/B40*100</f>
        <v>6.3829787234042552</v>
      </c>
      <c r="D42" s="128" t="s">
        <v>5</v>
      </c>
      <c r="E42" s="158">
        <f>E41/E40*100</f>
        <v>9.5238095238095237</v>
      </c>
      <c r="G42" s="128" t="s">
        <v>5</v>
      </c>
      <c r="H42" s="162">
        <f>H41/H40*100</f>
        <v>0</v>
      </c>
      <c r="J42" s="128" t="s">
        <v>5</v>
      </c>
      <c r="K42" s="162">
        <f>K41/K40*100</f>
        <v>0</v>
      </c>
      <c r="M42" s="128" t="s">
        <v>5</v>
      </c>
      <c r="N42" s="162">
        <f>N41/N40*100</f>
        <v>0</v>
      </c>
      <c r="P42" s="128" t="s">
        <v>5</v>
      </c>
      <c r="Q42" s="162">
        <f>Q41/Q40*100</f>
        <v>0</v>
      </c>
      <c r="S42" s="128" t="s">
        <v>5</v>
      </c>
      <c r="T42" s="162">
        <f>T41/T40*100</f>
        <v>33.333333333333329</v>
      </c>
    </row>
    <row r="43" spans="1:22" ht="15" customHeight="1" x14ac:dyDescent="0.25">
      <c r="Q43" s="147"/>
    </row>
    <row r="44" spans="1:22" ht="15" customHeight="1" x14ac:dyDescent="0.25">
      <c r="A44" s="154" t="s">
        <v>124</v>
      </c>
      <c r="B44" s="154">
        <f>SUM(B35+B40)</f>
        <v>84</v>
      </c>
      <c r="G44" s="154" t="s">
        <v>123</v>
      </c>
      <c r="H44" s="154">
        <f>SUM(B28+B44)</f>
        <v>331</v>
      </c>
    </row>
    <row r="45" spans="1:22" ht="15" customHeight="1" x14ac:dyDescent="0.25">
      <c r="A45" s="154" t="s">
        <v>44</v>
      </c>
      <c r="B45" s="170">
        <f>B36+B41</f>
        <v>3</v>
      </c>
      <c r="G45" s="154" t="s">
        <v>44</v>
      </c>
      <c r="H45" s="170">
        <f>SUM(B31+B45)</f>
        <v>44</v>
      </c>
      <c r="I45" s="147"/>
    </row>
    <row r="46" spans="1:22" ht="15" customHeight="1" x14ac:dyDescent="0.25">
      <c r="A46" s="161" t="s">
        <v>132</v>
      </c>
      <c r="B46" s="158">
        <f>B45/B44*100</f>
        <v>3.5714285714285712</v>
      </c>
      <c r="G46" s="171" t="s">
        <v>11</v>
      </c>
      <c r="H46" s="158">
        <f>H45/H44*100</f>
        <v>13.293051359516618</v>
      </c>
    </row>
    <row r="48" spans="1:22" ht="15" customHeight="1" x14ac:dyDescent="0.25">
      <c r="A48" s="315" t="s">
        <v>58</v>
      </c>
      <c r="B48" s="316"/>
      <c r="D48" s="315" t="s">
        <v>239</v>
      </c>
      <c r="E48" s="316"/>
    </row>
    <row r="49" spans="1:10" ht="15" customHeight="1" x14ac:dyDescent="0.25">
      <c r="A49" s="163" t="s">
        <v>28</v>
      </c>
      <c r="B49" s="163">
        <v>35</v>
      </c>
      <c r="D49" s="163" t="s">
        <v>28</v>
      </c>
      <c r="E49" s="163">
        <v>14</v>
      </c>
    </row>
    <row r="50" spans="1:10" ht="15" customHeight="1" x14ac:dyDescent="0.25">
      <c r="A50" s="185" t="s">
        <v>228</v>
      </c>
      <c r="B50" s="167">
        <v>3</v>
      </c>
      <c r="D50" s="187" t="s">
        <v>238</v>
      </c>
      <c r="E50" s="167">
        <v>1</v>
      </c>
    </row>
    <row r="51" spans="1:10" ht="13.5" customHeight="1" x14ac:dyDescent="0.25">
      <c r="A51" s="128" t="s">
        <v>5</v>
      </c>
      <c r="B51" s="158">
        <f>B50/B49*100</f>
        <v>8.5714285714285712</v>
      </c>
      <c r="D51" s="128" t="s">
        <v>5</v>
      </c>
      <c r="E51" s="158">
        <f>E50/E49*100</f>
        <v>7.1428571428571423</v>
      </c>
    </row>
    <row r="54" spans="1:10" ht="15" customHeight="1" x14ac:dyDescent="0.25">
      <c r="A54" s="404" t="s">
        <v>208</v>
      </c>
      <c r="B54" s="315"/>
      <c r="C54" s="315"/>
      <c r="D54" s="315"/>
      <c r="E54" s="315"/>
      <c r="F54" s="315"/>
      <c r="G54" s="315"/>
      <c r="H54" s="315"/>
      <c r="I54" s="315"/>
      <c r="J54" s="315"/>
    </row>
    <row r="55" spans="1:10" x14ac:dyDescent="0.25">
      <c r="A55" s="448" t="s">
        <v>240</v>
      </c>
      <c r="B55" s="429"/>
      <c r="C55" s="450" t="s">
        <v>45</v>
      </c>
      <c r="D55" s="427"/>
      <c r="E55" s="466" t="s">
        <v>244</v>
      </c>
      <c r="F55" s="466"/>
      <c r="G55" s="466"/>
      <c r="H55" s="442"/>
      <c r="I55" s="442"/>
      <c r="J55" s="442"/>
    </row>
    <row r="56" spans="1:10" x14ac:dyDescent="0.25">
      <c r="A56" s="451" t="s">
        <v>241</v>
      </c>
      <c r="B56" s="429"/>
      <c r="C56" s="450" t="s">
        <v>103</v>
      </c>
      <c r="D56" s="427"/>
      <c r="E56" s="465" t="s">
        <v>166</v>
      </c>
      <c r="F56" s="465"/>
      <c r="G56" s="465"/>
      <c r="H56" s="442"/>
      <c r="I56" s="442"/>
      <c r="J56" s="442"/>
    </row>
    <row r="57" spans="1:10" x14ac:dyDescent="0.25">
      <c r="A57" s="451" t="s">
        <v>242</v>
      </c>
      <c r="B57" s="429"/>
      <c r="C57" s="450" t="s">
        <v>243</v>
      </c>
      <c r="D57" s="427"/>
      <c r="E57" s="465" t="s">
        <v>166</v>
      </c>
      <c r="F57" s="465"/>
      <c r="G57" s="465"/>
      <c r="H57" s="442"/>
      <c r="I57" s="442"/>
      <c r="J57" s="442"/>
    </row>
    <row r="58" spans="1:10" x14ac:dyDescent="0.25">
      <c r="A58" s="461"/>
      <c r="B58" s="436"/>
      <c r="C58" s="462"/>
      <c r="D58" s="434"/>
      <c r="E58" s="463"/>
      <c r="F58" s="463"/>
      <c r="G58" s="463"/>
      <c r="H58" s="437"/>
      <c r="I58" s="437"/>
      <c r="J58" s="437"/>
    </row>
    <row r="59" spans="1:10" ht="15" customHeight="1" x14ac:dyDescent="0.25">
      <c r="A59" s="461"/>
      <c r="B59" s="436"/>
      <c r="C59" s="464"/>
      <c r="D59" s="434"/>
      <c r="E59" s="461"/>
      <c r="F59" s="436"/>
      <c r="G59" s="436"/>
      <c r="H59" s="437"/>
      <c r="I59" s="437"/>
      <c r="J59" s="437"/>
    </row>
    <row r="60" spans="1:10" ht="15" customHeight="1" x14ac:dyDescent="0.25">
      <c r="A60" s="432"/>
      <c r="B60" s="432"/>
      <c r="C60" s="459"/>
      <c r="D60" s="434"/>
      <c r="E60" s="460"/>
      <c r="F60" s="436"/>
      <c r="G60" s="436"/>
      <c r="H60" s="437"/>
      <c r="I60" s="437"/>
      <c r="J60" s="437"/>
    </row>
    <row r="61" spans="1:10" ht="15" customHeight="1" x14ac:dyDescent="0.25">
      <c r="A61" s="433"/>
      <c r="B61" s="433"/>
      <c r="C61" s="433"/>
      <c r="D61" s="434"/>
      <c r="E61" s="435"/>
      <c r="F61" s="436"/>
      <c r="G61" s="436"/>
      <c r="H61" s="437"/>
      <c r="I61" s="437"/>
      <c r="J61" s="437"/>
    </row>
    <row r="73" spans="4:4" ht="15" customHeight="1" x14ac:dyDescent="0.25">
      <c r="D73" s="127">
        <f>47/214</f>
        <v>0.21962616822429906</v>
      </c>
    </row>
  </sheetData>
  <mergeCells count="68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48:B48"/>
    <mergeCell ref="D48:E48"/>
    <mergeCell ref="A54:J54"/>
    <mergeCell ref="A55:B55"/>
    <mergeCell ref="C55:D55"/>
    <mergeCell ref="H55:J55"/>
    <mergeCell ref="E55:G55"/>
    <mergeCell ref="A39:B39"/>
    <mergeCell ref="D39:E39"/>
    <mergeCell ref="G39:H39"/>
    <mergeCell ref="J39:K39"/>
    <mergeCell ref="M39:N39"/>
    <mergeCell ref="P39:Q39"/>
    <mergeCell ref="A56:B56"/>
    <mergeCell ref="C56:D56"/>
    <mergeCell ref="E56:G56"/>
    <mergeCell ref="H56:J56"/>
    <mergeCell ref="A57:B57"/>
    <mergeCell ref="C57:D57"/>
    <mergeCell ref="E57:G57"/>
    <mergeCell ref="H57:J57"/>
    <mergeCell ref="A58:B58"/>
    <mergeCell ref="C58:D58"/>
    <mergeCell ref="E58:G58"/>
    <mergeCell ref="H58:J58"/>
    <mergeCell ref="A59:B59"/>
    <mergeCell ref="C59:D59"/>
    <mergeCell ref="E59:G59"/>
    <mergeCell ref="H59:J59"/>
    <mergeCell ref="A60:B60"/>
    <mergeCell ref="C60:D60"/>
    <mergeCell ref="E60:G60"/>
    <mergeCell ref="H60:J60"/>
    <mergeCell ref="A61:B61"/>
    <mergeCell ref="C61:D61"/>
    <mergeCell ref="E61:G61"/>
    <mergeCell ref="H61:J61"/>
  </mergeCells>
  <pageMargins left="0.7" right="0.7" top="0.75" bottom="0.75" header="0.3" footer="0.3"/>
  <pageSetup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2563-B254-414E-8CDB-95B75708C39C}">
  <dimension ref="A1:V64"/>
  <sheetViews>
    <sheetView topLeftCell="A3" workbookViewId="0">
      <selection activeCell="B28" sqref="B28"/>
    </sheetView>
  </sheetViews>
  <sheetFormatPr baseColWidth="10" defaultRowHeight="15" x14ac:dyDescent="0.25"/>
  <cols>
    <col min="1" max="1" width="28" customWidth="1"/>
    <col min="3" max="3" width="21.42578125" customWidth="1"/>
    <col min="4" max="4" width="24.7109375" customWidth="1"/>
    <col min="5" max="5" width="15" customWidth="1"/>
    <col min="7" max="7" width="26.7109375" customWidth="1"/>
    <col min="9" max="9" width="16" customWidth="1"/>
    <col min="10" max="10" width="20.85546875" customWidth="1"/>
    <col min="13" max="13" width="23.140625" customWidth="1"/>
    <col min="14" max="14" width="16.5703125" customWidth="1"/>
    <col min="16" max="16" width="23.7109375" customWidth="1"/>
    <col min="19" max="19" width="27.42578125" customWidth="1"/>
    <col min="20" max="20" width="13.7109375" customWidth="1"/>
  </cols>
  <sheetData>
    <row r="1" spans="1:22" ht="21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  <c r="O1" s="127"/>
      <c r="P1" s="127"/>
      <c r="Q1" s="127"/>
      <c r="R1" s="127"/>
      <c r="S1" s="127"/>
      <c r="T1" s="127"/>
      <c r="U1" s="127"/>
      <c r="V1" s="127"/>
    </row>
    <row r="2" spans="1:22" x14ac:dyDescent="0.25">
      <c r="A2" s="128" t="s">
        <v>29</v>
      </c>
      <c r="B2" s="129">
        <v>570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1:22" x14ac:dyDescent="0.25">
      <c r="A3" s="128" t="s">
        <v>30</v>
      </c>
      <c r="B3" s="189">
        <v>9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4" spans="1:22" x14ac:dyDescent="0.25">
      <c r="A4" s="128" t="s">
        <v>3</v>
      </c>
      <c r="B4" s="132">
        <f>SUM(B2+B3)</f>
        <v>579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</row>
    <row r="5" spans="1:22" x14ac:dyDescent="0.25">
      <c r="A5" s="127"/>
      <c r="B5" s="131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" x14ac:dyDescent="0.25">
      <c r="A6" s="134" t="s">
        <v>42</v>
      </c>
      <c r="B6" s="135">
        <v>64</v>
      </c>
      <c r="C6" s="127"/>
      <c r="D6" s="188" t="s">
        <v>43</v>
      </c>
      <c r="E6" s="136">
        <v>4</v>
      </c>
      <c r="F6" s="127"/>
      <c r="G6" s="128" t="s">
        <v>44</v>
      </c>
      <c r="H6" s="136">
        <f>B6+E6</f>
        <v>68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</row>
    <row r="7" spans="1:22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11.744386873920552</v>
      </c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</row>
    <row r="8" spans="1:22" x14ac:dyDescent="0.25">
      <c r="A8" s="127"/>
      <c r="B8" s="131"/>
      <c r="C8" s="127"/>
      <c r="D8" s="130"/>
      <c r="E8" s="130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</row>
    <row r="9" spans="1:22" x14ac:dyDescent="0.25">
      <c r="A9" s="317" t="s">
        <v>65</v>
      </c>
      <c r="B9" s="318"/>
      <c r="C9" s="127"/>
      <c r="D9" s="313" t="s">
        <v>24</v>
      </c>
      <c r="E9" s="314"/>
      <c r="F9" s="127"/>
      <c r="G9" s="313" t="s">
        <v>25</v>
      </c>
      <c r="H9" s="314"/>
      <c r="I9" s="127"/>
      <c r="J9" s="313" t="s">
        <v>113</v>
      </c>
      <c r="K9" s="314"/>
      <c r="L9" s="127"/>
      <c r="M9" s="313" t="s">
        <v>27</v>
      </c>
      <c r="N9" s="314"/>
      <c r="O9" s="127"/>
      <c r="P9" s="313" t="s">
        <v>114</v>
      </c>
      <c r="Q9" s="314"/>
      <c r="R9" s="127"/>
      <c r="S9" s="315" t="s">
        <v>115</v>
      </c>
      <c r="T9" s="316"/>
      <c r="U9" s="127"/>
      <c r="V9" s="127"/>
    </row>
    <row r="10" spans="1:22" x14ac:dyDescent="0.25">
      <c r="A10" s="128" t="s">
        <v>28</v>
      </c>
      <c r="B10" s="128">
        <v>85</v>
      </c>
      <c r="C10" s="127"/>
      <c r="D10" s="190" t="s">
        <v>29</v>
      </c>
      <c r="E10" s="190">
        <v>49</v>
      </c>
      <c r="F10" s="127"/>
      <c r="G10" s="190" t="s">
        <v>29</v>
      </c>
      <c r="H10" s="190">
        <v>20</v>
      </c>
      <c r="I10" s="127"/>
      <c r="J10" s="190" t="s">
        <v>29</v>
      </c>
      <c r="K10" s="190">
        <v>1</v>
      </c>
      <c r="L10" s="127"/>
      <c r="M10" s="190" t="s">
        <v>29</v>
      </c>
      <c r="N10" s="190">
        <v>1</v>
      </c>
      <c r="O10" s="127"/>
      <c r="P10" s="190" t="s">
        <v>29</v>
      </c>
      <c r="Q10" s="190">
        <v>10</v>
      </c>
      <c r="R10" s="127"/>
      <c r="S10" s="128" t="s">
        <v>29</v>
      </c>
      <c r="T10" s="128">
        <v>5</v>
      </c>
      <c r="U10" s="127"/>
      <c r="V10" s="127"/>
    </row>
    <row r="11" spans="1:22" x14ac:dyDescent="0.25">
      <c r="A11" s="128" t="s">
        <v>30</v>
      </c>
      <c r="B11" s="128">
        <v>1</v>
      </c>
      <c r="C11" s="127"/>
      <c r="D11" s="128" t="s">
        <v>30</v>
      </c>
      <c r="E11" s="174">
        <v>0</v>
      </c>
      <c r="F11" s="127"/>
      <c r="G11" s="128" t="s">
        <v>30</v>
      </c>
      <c r="H11" s="128">
        <v>1</v>
      </c>
      <c r="I11" s="127"/>
      <c r="J11" s="128" t="s">
        <v>30</v>
      </c>
      <c r="K11" s="128">
        <v>0</v>
      </c>
      <c r="L11" s="127"/>
      <c r="M11" s="128" t="s">
        <v>30</v>
      </c>
      <c r="N11" s="128">
        <v>0</v>
      </c>
      <c r="O11" s="127"/>
      <c r="P11" s="128" t="s">
        <v>30</v>
      </c>
      <c r="Q11" s="128">
        <v>0</v>
      </c>
      <c r="R11" s="127"/>
      <c r="S11" s="128" t="s">
        <v>30</v>
      </c>
      <c r="T11" s="128">
        <v>0</v>
      </c>
      <c r="U11" s="127"/>
      <c r="V11" s="127"/>
    </row>
    <row r="12" spans="1:22" x14ac:dyDescent="0.25">
      <c r="A12" s="140" t="s">
        <v>125</v>
      </c>
      <c r="B12" s="140">
        <f>B10+B11</f>
        <v>86</v>
      </c>
      <c r="C12" s="127"/>
      <c r="D12" s="140" t="s">
        <v>125</v>
      </c>
      <c r="E12" s="140">
        <f>E10+E11</f>
        <v>49</v>
      </c>
      <c r="F12" s="127"/>
      <c r="G12" s="140" t="s">
        <v>125</v>
      </c>
      <c r="H12" s="140">
        <f>SUM(H10+H11)</f>
        <v>21</v>
      </c>
      <c r="I12" s="127"/>
      <c r="J12" s="140" t="s">
        <v>125</v>
      </c>
      <c r="K12" s="140">
        <f>SUM(K10+K11)</f>
        <v>1</v>
      </c>
      <c r="L12" s="127"/>
      <c r="M12" s="140" t="s">
        <v>125</v>
      </c>
      <c r="N12" s="140">
        <f>N10+N11</f>
        <v>1</v>
      </c>
      <c r="O12" s="127"/>
      <c r="P12" s="140" t="s">
        <v>125</v>
      </c>
      <c r="Q12" s="140">
        <f>SUM(Q10+Q11)</f>
        <v>10</v>
      </c>
      <c r="R12" s="127"/>
      <c r="S12" s="140" t="s">
        <v>125</v>
      </c>
      <c r="T12" s="140">
        <f>T10+T11</f>
        <v>5</v>
      </c>
      <c r="U12" s="127"/>
      <c r="V12" s="127"/>
    </row>
    <row r="13" spans="1:22" x14ac:dyDescent="0.25">
      <c r="A13" s="128" t="s">
        <v>66</v>
      </c>
      <c r="B13" s="141">
        <f>SUM(E13+H13+K13+N13+Q13+T13)</f>
        <v>20</v>
      </c>
      <c r="D13" s="128" t="s">
        <v>136</v>
      </c>
      <c r="E13" s="141">
        <v>12</v>
      </c>
      <c r="F13" s="127"/>
      <c r="G13" s="128" t="s">
        <v>136</v>
      </c>
      <c r="H13" s="141">
        <v>4</v>
      </c>
      <c r="I13" s="127"/>
      <c r="J13" s="128" t="s">
        <v>4</v>
      </c>
      <c r="K13" s="141">
        <v>0</v>
      </c>
      <c r="L13" s="127"/>
      <c r="M13" s="128" t="s">
        <v>136</v>
      </c>
      <c r="N13" s="141">
        <v>1</v>
      </c>
      <c r="O13" s="127"/>
      <c r="P13" s="128" t="s">
        <v>136</v>
      </c>
      <c r="Q13" s="141">
        <v>2</v>
      </c>
      <c r="R13" s="127"/>
      <c r="S13" s="128" t="s">
        <v>4</v>
      </c>
      <c r="T13" s="142">
        <v>1</v>
      </c>
      <c r="U13" s="127"/>
      <c r="V13" s="127"/>
    </row>
    <row r="14" spans="1:22" x14ac:dyDescent="0.25">
      <c r="A14" s="128" t="s">
        <v>5</v>
      </c>
      <c r="B14" s="143">
        <f>B13/B12*100</f>
        <v>23.255813953488371</v>
      </c>
      <c r="C14" s="127"/>
      <c r="D14" s="128" t="s">
        <v>5</v>
      </c>
      <c r="E14" s="143">
        <f>E13/E12*100</f>
        <v>24.489795918367346</v>
      </c>
      <c r="F14" s="127"/>
      <c r="G14" s="128" t="s">
        <v>5</v>
      </c>
      <c r="H14" s="143">
        <f>H13/H12*100</f>
        <v>19.047619047619047</v>
      </c>
      <c r="I14" s="127"/>
      <c r="J14" s="128" t="s">
        <v>5</v>
      </c>
      <c r="K14" s="144">
        <f>K13/K12*100</f>
        <v>0</v>
      </c>
      <c r="L14" s="127"/>
      <c r="M14" s="128" t="s">
        <v>5</v>
      </c>
      <c r="N14" s="145">
        <f>N13/N12*100</f>
        <v>100</v>
      </c>
      <c r="O14" s="127"/>
      <c r="P14" s="128" t="s">
        <v>5</v>
      </c>
      <c r="Q14" s="145">
        <f>Q13/Q12*100</f>
        <v>20</v>
      </c>
      <c r="R14" s="127"/>
      <c r="S14" s="128" t="s">
        <v>5</v>
      </c>
      <c r="T14" s="144">
        <f>T13/T12*100</f>
        <v>20</v>
      </c>
      <c r="U14" s="127"/>
      <c r="V14" s="127"/>
    </row>
    <row r="15" spans="1:22" x14ac:dyDescent="0.25">
      <c r="A15" s="130"/>
      <c r="B15" s="130"/>
      <c r="C15" s="127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  <c r="O15" s="127"/>
      <c r="P15" s="127"/>
      <c r="Q15" s="127"/>
      <c r="R15" s="127"/>
      <c r="S15" s="127"/>
      <c r="T15" s="127"/>
      <c r="U15" s="127"/>
      <c r="V15" s="127"/>
    </row>
    <row r="16" spans="1:22" x14ac:dyDescent="0.25">
      <c r="A16" s="127"/>
      <c r="B16" s="127"/>
      <c r="C16" s="127"/>
      <c r="D16" s="127"/>
      <c r="E16" s="130"/>
      <c r="F16" s="130"/>
      <c r="G16" s="147"/>
      <c r="H16" s="147"/>
      <c r="I16" s="147"/>
      <c r="J16" s="147"/>
      <c r="K16" s="147"/>
      <c r="L16" s="147"/>
      <c r="M16" s="151"/>
      <c r="N16" s="127"/>
      <c r="O16" s="127"/>
      <c r="P16" s="127"/>
      <c r="Q16" s="127"/>
      <c r="R16" s="127"/>
      <c r="S16" s="127"/>
      <c r="T16" s="127"/>
      <c r="U16" s="127"/>
      <c r="V16" s="127"/>
    </row>
    <row r="17" spans="1:22" x14ac:dyDescent="0.25">
      <c r="A17" s="317" t="s">
        <v>71</v>
      </c>
      <c r="B17" s="318"/>
      <c r="C17" s="127"/>
      <c r="D17" s="317" t="s">
        <v>61</v>
      </c>
      <c r="E17" s="318"/>
      <c r="F17" s="127"/>
      <c r="G17" s="317" t="s">
        <v>62</v>
      </c>
      <c r="H17" s="318"/>
      <c r="I17" s="127"/>
      <c r="J17" s="317" t="s">
        <v>92</v>
      </c>
      <c r="K17" s="318"/>
      <c r="L17" s="127"/>
      <c r="M17" s="313" t="s">
        <v>64</v>
      </c>
      <c r="N17" s="314"/>
      <c r="O17" s="127"/>
      <c r="P17" s="315" t="s">
        <v>90</v>
      </c>
      <c r="Q17" s="316"/>
      <c r="R17" s="127"/>
      <c r="S17" s="313" t="s">
        <v>91</v>
      </c>
      <c r="T17" s="314"/>
      <c r="U17" s="127"/>
      <c r="V17" s="127"/>
    </row>
    <row r="18" spans="1:22" x14ac:dyDescent="0.25">
      <c r="A18" s="152" t="s">
        <v>29</v>
      </c>
      <c r="B18" s="153">
        <f>SUM(E18+H18+K18+N18+Q18+T18)</f>
        <v>46</v>
      </c>
      <c r="C18" s="127"/>
      <c r="D18" s="154" t="s">
        <v>29</v>
      </c>
      <c r="E18" s="154">
        <v>27</v>
      </c>
      <c r="F18" s="127"/>
      <c r="G18" s="154" t="s">
        <v>29</v>
      </c>
      <c r="H18" s="60">
        <v>7</v>
      </c>
      <c r="I18" s="127"/>
      <c r="J18" s="154" t="s">
        <v>29</v>
      </c>
      <c r="K18" s="154">
        <v>1</v>
      </c>
      <c r="L18" s="127"/>
      <c r="M18" s="154" t="s">
        <v>29</v>
      </c>
      <c r="N18" s="154">
        <v>2</v>
      </c>
      <c r="O18" s="127"/>
      <c r="P18" s="154" t="s">
        <v>29</v>
      </c>
      <c r="Q18" s="154">
        <v>7</v>
      </c>
      <c r="R18" s="127"/>
      <c r="S18" s="154" t="s">
        <v>29</v>
      </c>
      <c r="T18" s="60">
        <v>2</v>
      </c>
      <c r="U18" s="127"/>
      <c r="V18" s="127"/>
    </row>
    <row r="19" spans="1:22" x14ac:dyDescent="0.25">
      <c r="A19" s="140" t="s">
        <v>125</v>
      </c>
      <c r="B19" s="155">
        <v>46</v>
      </c>
      <c r="C19" s="127"/>
      <c r="D19" s="140" t="s">
        <v>125</v>
      </c>
      <c r="E19" s="156">
        <v>25</v>
      </c>
      <c r="F19" s="127"/>
      <c r="G19" s="140" t="s">
        <v>125</v>
      </c>
      <c r="H19" s="156">
        <v>7</v>
      </c>
      <c r="I19" s="127"/>
      <c r="J19" s="140" t="s">
        <v>125</v>
      </c>
      <c r="K19" s="156">
        <v>1</v>
      </c>
      <c r="L19" s="127"/>
      <c r="M19" s="140" t="s">
        <v>125</v>
      </c>
      <c r="N19" s="156">
        <v>2</v>
      </c>
      <c r="O19" s="127"/>
      <c r="P19" s="140" t="s">
        <v>125</v>
      </c>
      <c r="Q19" s="156">
        <v>7</v>
      </c>
      <c r="R19" s="127"/>
      <c r="S19" s="155" t="s">
        <v>125</v>
      </c>
      <c r="T19" s="154">
        <v>2</v>
      </c>
      <c r="U19" s="127"/>
      <c r="V19" s="127"/>
    </row>
    <row r="20" spans="1:22" x14ac:dyDescent="0.25">
      <c r="A20" s="128" t="s">
        <v>72</v>
      </c>
      <c r="B20" s="141">
        <v>3</v>
      </c>
      <c r="C20" s="127"/>
      <c r="D20" s="128" t="s">
        <v>73</v>
      </c>
      <c r="E20" s="141">
        <v>1</v>
      </c>
      <c r="F20" s="127"/>
      <c r="G20" s="128" t="s">
        <v>74</v>
      </c>
      <c r="H20" s="140">
        <v>1</v>
      </c>
      <c r="I20" s="127"/>
      <c r="J20" s="128" t="s">
        <v>75</v>
      </c>
      <c r="K20" s="140">
        <v>0</v>
      </c>
      <c r="L20" s="127"/>
      <c r="M20" s="128" t="s">
        <v>76</v>
      </c>
      <c r="N20" s="140">
        <v>0</v>
      </c>
      <c r="O20" s="127"/>
      <c r="P20" s="191" t="s">
        <v>245</v>
      </c>
      <c r="Q20" s="142">
        <v>1</v>
      </c>
      <c r="R20" s="127"/>
      <c r="S20" s="193" t="s">
        <v>133</v>
      </c>
      <c r="T20" s="194">
        <v>0</v>
      </c>
      <c r="U20" s="127"/>
      <c r="V20" s="127"/>
    </row>
    <row r="21" spans="1:22" x14ac:dyDescent="0.25">
      <c r="A21" s="157" t="s">
        <v>5</v>
      </c>
      <c r="B21" s="145">
        <f>B20/B19*100</f>
        <v>6.5217391304347823</v>
      </c>
      <c r="C21" s="127"/>
      <c r="D21" s="128" t="s">
        <v>5</v>
      </c>
      <c r="E21" s="158">
        <f>E20/E19*100</f>
        <v>4</v>
      </c>
      <c r="F21" s="133"/>
      <c r="G21" s="128" t="s">
        <v>5</v>
      </c>
      <c r="H21" s="145">
        <f>H20/H19*100</f>
        <v>14.285714285714285</v>
      </c>
      <c r="I21" s="127"/>
      <c r="J21" s="128" t="s">
        <v>5</v>
      </c>
      <c r="K21" s="145">
        <f>K20/K19*100</f>
        <v>0</v>
      </c>
      <c r="L21" s="127"/>
      <c r="M21" s="128" t="s">
        <v>5</v>
      </c>
      <c r="N21" s="145">
        <f>N20/N19*100</f>
        <v>0</v>
      </c>
      <c r="O21" s="127"/>
      <c r="P21" s="128" t="s">
        <v>5</v>
      </c>
      <c r="Q21" s="144">
        <f>Q20/Q19*100</f>
        <v>14.285714285714285</v>
      </c>
      <c r="R21" s="127"/>
      <c r="S21" s="190" t="s">
        <v>5</v>
      </c>
      <c r="T21" s="192">
        <f>T20/T19*100</f>
        <v>0</v>
      </c>
      <c r="U21" s="127"/>
      <c r="V21" s="127"/>
    </row>
    <row r="22" spans="1:22" x14ac:dyDescent="0.25">
      <c r="A22" s="148"/>
      <c r="B22" s="159"/>
      <c r="C22" s="127"/>
      <c r="D22" s="148"/>
      <c r="E22" s="159"/>
      <c r="F22" s="160"/>
      <c r="G22" s="130"/>
      <c r="H22" s="150"/>
      <c r="I22" s="127"/>
      <c r="J22" s="130"/>
      <c r="K22" s="150"/>
      <c r="L22" s="127"/>
      <c r="M22" s="130"/>
      <c r="N22" s="150"/>
      <c r="O22" s="127"/>
      <c r="P22" s="127"/>
      <c r="Q22" s="127"/>
      <c r="R22" s="127"/>
      <c r="S22" s="127"/>
      <c r="T22" s="127"/>
      <c r="U22" s="127"/>
      <c r="V22" s="127"/>
    </row>
    <row r="23" spans="1:22" x14ac:dyDescent="0.25">
      <c r="A23" s="154" t="s">
        <v>126</v>
      </c>
      <c r="B23" s="154">
        <f>B12+B19</f>
        <v>132</v>
      </c>
      <c r="C23" s="127"/>
      <c r="D23" s="127"/>
      <c r="E23" s="127"/>
      <c r="F23" s="127"/>
      <c r="G23" s="127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  <c r="U23" s="127"/>
      <c r="V23" s="127"/>
    </row>
    <row r="24" spans="1:22" x14ac:dyDescent="0.25">
      <c r="A24" s="154" t="s">
        <v>44</v>
      </c>
      <c r="B24" s="156">
        <v>23</v>
      </c>
      <c r="C24" s="127"/>
      <c r="D24" s="148"/>
      <c r="E24" s="148"/>
      <c r="F24" s="160"/>
      <c r="G24" s="130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  <c r="U24" s="127"/>
      <c r="V24" s="127"/>
    </row>
    <row r="25" spans="1:22" x14ac:dyDescent="0.25">
      <c r="A25" s="161" t="s">
        <v>83</v>
      </c>
      <c r="B25" s="162">
        <f>B24/B23*100</f>
        <v>17.424242424242426</v>
      </c>
      <c r="C25" s="127"/>
      <c r="D25" s="148"/>
      <c r="E25" s="148"/>
      <c r="F25" s="160"/>
      <c r="G25" s="130"/>
      <c r="H25" s="196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  <c r="U25" s="127"/>
      <c r="V25" s="127"/>
    </row>
    <row r="26" spans="1:22" x14ac:dyDescent="0.25">
      <c r="A26" s="127"/>
      <c r="B26" s="127"/>
      <c r="C26" s="127"/>
      <c r="D26" s="148"/>
      <c r="E26" s="148"/>
      <c r="F26" s="127"/>
      <c r="G26" s="127"/>
      <c r="H26" s="127"/>
      <c r="I26" s="127"/>
      <c r="J26" s="127"/>
      <c r="K26" s="147"/>
      <c r="L26" s="127"/>
      <c r="M26" s="151"/>
      <c r="N26" s="127"/>
      <c r="O26" s="127"/>
      <c r="P26" s="127"/>
      <c r="Q26" s="127"/>
      <c r="R26" s="127"/>
      <c r="S26" s="127"/>
      <c r="T26" s="127"/>
      <c r="U26" s="127"/>
      <c r="V26" s="127"/>
    </row>
    <row r="27" spans="1:22" x14ac:dyDescent="0.25">
      <c r="A27" s="315" t="s">
        <v>137</v>
      </c>
      <c r="B27" s="316"/>
      <c r="C27" s="127"/>
      <c r="D27" s="384" t="s">
        <v>104</v>
      </c>
      <c r="E27" s="384"/>
      <c r="F27" s="127"/>
      <c r="G27" s="315" t="s">
        <v>105</v>
      </c>
      <c r="H27" s="316"/>
      <c r="I27" s="127"/>
      <c r="J27" s="315" t="s">
        <v>106</v>
      </c>
      <c r="K27" s="316"/>
      <c r="L27" s="127"/>
      <c r="M27" s="315" t="s">
        <v>36</v>
      </c>
      <c r="N27" s="316"/>
      <c r="O27" s="127"/>
      <c r="P27" s="315" t="s">
        <v>93</v>
      </c>
      <c r="Q27" s="316"/>
      <c r="R27" s="127"/>
      <c r="S27" s="315" t="s">
        <v>94</v>
      </c>
      <c r="T27" s="316"/>
      <c r="U27" s="127"/>
      <c r="V27" s="127"/>
    </row>
    <row r="28" spans="1:22" x14ac:dyDescent="0.25">
      <c r="A28" s="128" t="s">
        <v>28</v>
      </c>
      <c r="B28" s="128">
        <f>SUM(E28+H28+K28+N28+Q28+T28)</f>
        <v>243</v>
      </c>
      <c r="C28" s="127"/>
      <c r="D28" s="128" t="s">
        <v>28</v>
      </c>
      <c r="E28" s="128">
        <v>141</v>
      </c>
      <c r="F28" s="127"/>
      <c r="G28" s="128" t="s">
        <v>28</v>
      </c>
      <c r="H28" s="128">
        <v>52</v>
      </c>
      <c r="I28" s="127"/>
      <c r="J28" s="128" t="s">
        <v>28</v>
      </c>
      <c r="K28" s="128">
        <v>5</v>
      </c>
      <c r="L28" s="127"/>
      <c r="M28" s="128" t="s">
        <v>28</v>
      </c>
      <c r="N28" s="128">
        <v>11</v>
      </c>
      <c r="O28" s="127"/>
      <c r="P28" s="128" t="s">
        <v>28</v>
      </c>
      <c r="Q28" s="128">
        <v>23</v>
      </c>
      <c r="R28" s="127"/>
      <c r="S28" s="128" t="s">
        <v>28</v>
      </c>
      <c r="T28" s="128">
        <v>11</v>
      </c>
      <c r="U28" s="127"/>
      <c r="V28" s="127"/>
    </row>
    <row r="29" spans="1:22" x14ac:dyDescent="0.25">
      <c r="A29" s="128" t="s">
        <v>30</v>
      </c>
      <c r="B29" s="174">
        <v>7</v>
      </c>
      <c r="C29" s="127"/>
      <c r="D29" s="128" t="s">
        <v>30</v>
      </c>
      <c r="E29" s="174">
        <v>0</v>
      </c>
      <c r="F29" s="127"/>
      <c r="G29" s="128" t="s">
        <v>30</v>
      </c>
      <c r="H29" s="174">
        <v>3</v>
      </c>
      <c r="I29" s="127"/>
      <c r="J29" s="128" t="s">
        <v>30</v>
      </c>
      <c r="K29" s="128">
        <v>0</v>
      </c>
      <c r="L29" s="127"/>
      <c r="M29" s="128" t="s">
        <v>30</v>
      </c>
      <c r="N29" s="128">
        <v>0</v>
      </c>
      <c r="O29" s="127"/>
      <c r="P29" s="128" t="s">
        <v>30</v>
      </c>
      <c r="Q29" s="128">
        <v>0</v>
      </c>
      <c r="R29" s="127"/>
      <c r="S29" s="128" t="s">
        <v>30</v>
      </c>
      <c r="T29" s="128">
        <v>0</v>
      </c>
      <c r="U29" s="127"/>
      <c r="V29" s="127"/>
    </row>
    <row r="30" spans="1:22" x14ac:dyDescent="0.25">
      <c r="A30" s="163" t="s">
        <v>125</v>
      </c>
      <c r="B30" s="163">
        <f>SUM(B28+B29)</f>
        <v>250</v>
      </c>
      <c r="C30" s="127"/>
      <c r="D30" s="163" t="s">
        <v>125</v>
      </c>
      <c r="E30" s="163">
        <f>SUM(E28+E29)</f>
        <v>141</v>
      </c>
      <c r="F30" s="127"/>
      <c r="G30" s="163" t="s">
        <v>125</v>
      </c>
      <c r="H30" s="163">
        <f>SUM(H28+H29)</f>
        <v>55</v>
      </c>
      <c r="I30" s="127"/>
      <c r="J30" s="163" t="s">
        <v>125</v>
      </c>
      <c r="K30" s="163">
        <v>5</v>
      </c>
      <c r="L30" s="127"/>
      <c r="M30" s="163" t="s">
        <v>125</v>
      </c>
      <c r="N30" s="163">
        <v>11</v>
      </c>
      <c r="O30" s="127"/>
      <c r="P30" s="163" t="s">
        <v>125</v>
      </c>
      <c r="Q30" s="163">
        <v>19</v>
      </c>
      <c r="R30" s="127"/>
      <c r="S30" s="163" t="s">
        <v>125</v>
      </c>
      <c r="T30" s="163">
        <f>T28+T29</f>
        <v>11</v>
      </c>
      <c r="U30" s="127"/>
      <c r="V30" s="127"/>
    </row>
    <row r="31" spans="1:22" x14ac:dyDescent="0.25">
      <c r="A31" s="184" t="s">
        <v>4</v>
      </c>
      <c r="B31" s="164">
        <v>37</v>
      </c>
      <c r="C31" s="127"/>
      <c r="D31" s="128" t="s">
        <v>4</v>
      </c>
      <c r="E31" s="165">
        <v>23</v>
      </c>
      <c r="F31" s="127"/>
      <c r="G31" s="128" t="s">
        <v>4</v>
      </c>
      <c r="H31" s="164">
        <v>9</v>
      </c>
      <c r="I31" s="127"/>
      <c r="J31" s="128" t="s">
        <v>4</v>
      </c>
      <c r="K31" s="166">
        <v>0</v>
      </c>
      <c r="L31" s="127"/>
      <c r="M31" s="128" t="s">
        <v>4</v>
      </c>
      <c r="N31" s="167">
        <v>0</v>
      </c>
      <c r="O31" s="127"/>
      <c r="P31" s="128" t="s">
        <v>4</v>
      </c>
      <c r="Q31" s="167">
        <v>0</v>
      </c>
      <c r="R31" s="127"/>
      <c r="S31" s="184" t="s">
        <v>4</v>
      </c>
      <c r="T31" s="167">
        <v>2</v>
      </c>
      <c r="U31" s="127"/>
      <c r="V31" s="127"/>
    </row>
    <row r="32" spans="1:22" x14ac:dyDescent="0.25">
      <c r="A32" s="128" t="s">
        <v>5</v>
      </c>
      <c r="B32" s="162">
        <f>B31/B30*100</f>
        <v>14.799999999999999</v>
      </c>
      <c r="C32" s="127"/>
      <c r="D32" s="128" t="s">
        <v>5</v>
      </c>
      <c r="E32" s="162">
        <f>E31/E30*100</f>
        <v>16.312056737588655</v>
      </c>
      <c r="F32" s="127"/>
      <c r="G32" s="128" t="s">
        <v>5</v>
      </c>
      <c r="H32" s="162">
        <f>H31/H30*100</f>
        <v>16.363636363636363</v>
      </c>
      <c r="I32" s="127"/>
      <c r="J32" s="128" t="s">
        <v>5</v>
      </c>
      <c r="K32" s="162">
        <f>K31/K30*100%</f>
        <v>0</v>
      </c>
      <c r="L32" s="127"/>
      <c r="M32" s="128" t="s">
        <v>5</v>
      </c>
      <c r="N32" s="162">
        <f>N31/N30*100%</f>
        <v>0</v>
      </c>
      <c r="O32" s="127"/>
      <c r="P32" s="128" t="s">
        <v>5</v>
      </c>
      <c r="Q32" s="162">
        <f>Q31/Q30*100%</f>
        <v>0</v>
      </c>
      <c r="R32" s="127"/>
      <c r="S32" s="128" t="s">
        <v>5</v>
      </c>
      <c r="T32" s="195">
        <f>T31/T30*100</f>
        <v>18.181818181818183</v>
      </c>
      <c r="U32" s="127"/>
      <c r="V32" s="127"/>
    </row>
    <row r="33" spans="1:22" x14ac:dyDescent="0.25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30"/>
      <c r="O33" s="127"/>
      <c r="P33" s="127"/>
      <c r="Q33" s="127"/>
      <c r="R33" s="127"/>
      <c r="S33" s="127"/>
      <c r="T33" s="127"/>
      <c r="U33" s="127"/>
      <c r="V33" s="127"/>
    </row>
    <row r="34" spans="1:22" x14ac:dyDescent="0.25">
      <c r="A34" s="315" t="s">
        <v>77</v>
      </c>
      <c r="B34" s="316"/>
      <c r="C34" s="127"/>
      <c r="D34" s="384" t="s">
        <v>48</v>
      </c>
      <c r="E34" s="384"/>
      <c r="F34" s="147"/>
      <c r="G34" s="315" t="s">
        <v>49</v>
      </c>
      <c r="H34" s="316"/>
      <c r="I34" s="127"/>
      <c r="J34" s="315" t="s">
        <v>108</v>
      </c>
      <c r="K34" s="316"/>
      <c r="L34" s="127"/>
      <c r="M34" s="315" t="s">
        <v>51</v>
      </c>
      <c r="N34" s="316"/>
      <c r="O34" s="127"/>
      <c r="P34" s="315" t="s">
        <v>98</v>
      </c>
      <c r="Q34" s="316"/>
      <c r="R34" s="127"/>
      <c r="S34" s="315" t="s">
        <v>97</v>
      </c>
      <c r="T34" s="316"/>
      <c r="U34" s="127"/>
      <c r="V34" s="127"/>
    </row>
    <row r="35" spans="1:22" x14ac:dyDescent="0.25">
      <c r="A35" s="163" t="s">
        <v>28</v>
      </c>
      <c r="B35" s="163">
        <f>SUM(E35+H35+K35+N35+Q35+T35)</f>
        <v>40</v>
      </c>
      <c r="C35" s="127"/>
      <c r="D35" s="163" t="s">
        <v>28</v>
      </c>
      <c r="E35" s="163">
        <v>22</v>
      </c>
      <c r="F35" s="127"/>
      <c r="G35" s="163" t="s">
        <v>28</v>
      </c>
      <c r="H35" s="163">
        <v>8</v>
      </c>
      <c r="I35" s="127"/>
      <c r="J35" s="163" t="s">
        <v>28</v>
      </c>
      <c r="K35" s="163">
        <v>1</v>
      </c>
      <c r="L35" s="127"/>
      <c r="M35" s="163" t="s">
        <v>28</v>
      </c>
      <c r="N35" s="163">
        <v>2</v>
      </c>
      <c r="O35" s="127"/>
      <c r="P35" s="163" t="s">
        <v>28</v>
      </c>
      <c r="Q35" s="163">
        <v>5</v>
      </c>
      <c r="R35" s="127"/>
      <c r="S35" s="163" t="s">
        <v>28</v>
      </c>
      <c r="T35" s="163">
        <v>2</v>
      </c>
      <c r="U35" s="127"/>
      <c r="V35" s="127"/>
    </row>
    <row r="36" spans="1:22" x14ac:dyDescent="0.25">
      <c r="A36" s="128" t="s">
        <v>78</v>
      </c>
      <c r="B36" s="169">
        <v>0</v>
      </c>
      <c r="C36" s="127"/>
      <c r="D36" s="128" t="s">
        <v>136</v>
      </c>
      <c r="E36" s="167">
        <v>0</v>
      </c>
      <c r="F36" s="127"/>
      <c r="G36" s="128" t="s">
        <v>4</v>
      </c>
      <c r="H36" s="167">
        <v>0</v>
      </c>
      <c r="I36" s="127"/>
      <c r="J36" s="128" t="s">
        <v>4</v>
      </c>
      <c r="K36" s="166">
        <v>0</v>
      </c>
      <c r="L36" s="127"/>
      <c r="M36" s="128" t="s">
        <v>4</v>
      </c>
      <c r="N36" s="166">
        <v>0</v>
      </c>
      <c r="O36" s="127"/>
      <c r="P36" s="128" t="s">
        <v>4</v>
      </c>
      <c r="Q36" s="166">
        <v>0</v>
      </c>
      <c r="R36" s="127"/>
      <c r="S36" s="128" t="s">
        <v>4</v>
      </c>
      <c r="T36" s="166">
        <v>0</v>
      </c>
      <c r="U36" s="127"/>
      <c r="V36" s="127"/>
    </row>
    <row r="37" spans="1:22" x14ac:dyDescent="0.25">
      <c r="A37" s="128" t="s">
        <v>5</v>
      </c>
      <c r="B37" s="158">
        <f>B36/B35*100</f>
        <v>0</v>
      </c>
      <c r="C37" s="127"/>
      <c r="D37" s="128" t="s">
        <v>5</v>
      </c>
      <c r="E37" s="158">
        <f>E36/E35*100</f>
        <v>0</v>
      </c>
      <c r="F37" s="127"/>
      <c r="G37" s="128" t="s">
        <v>5</v>
      </c>
      <c r="H37" s="162">
        <f>H36/H35*100</f>
        <v>0</v>
      </c>
      <c r="I37" s="127"/>
      <c r="J37" s="128" t="s">
        <v>5</v>
      </c>
      <c r="K37" s="162">
        <f>K36/K35*100</f>
        <v>0</v>
      </c>
      <c r="L37" s="127"/>
      <c r="M37" s="128" t="s">
        <v>5</v>
      </c>
      <c r="N37" s="162">
        <f>N36/N35*100</f>
        <v>0</v>
      </c>
      <c r="O37" s="127"/>
      <c r="P37" s="128" t="s">
        <v>5</v>
      </c>
      <c r="Q37" s="162">
        <f>Q36/Q35*100</f>
        <v>0</v>
      </c>
      <c r="R37" s="127"/>
      <c r="S37" s="128" t="s">
        <v>5</v>
      </c>
      <c r="T37" s="162">
        <f>T36/T35*100</f>
        <v>0</v>
      </c>
      <c r="U37" s="127"/>
      <c r="V37" s="127"/>
    </row>
    <row r="38" spans="1:22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</row>
    <row r="39" spans="1:22" x14ac:dyDescent="0.25">
      <c r="A39" s="315" t="s">
        <v>116</v>
      </c>
      <c r="B39" s="316"/>
      <c r="C39" s="127"/>
      <c r="D39" s="384" t="s">
        <v>117</v>
      </c>
      <c r="E39" s="384"/>
      <c r="F39" s="127"/>
      <c r="G39" s="315" t="s">
        <v>118</v>
      </c>
      <c r="H39" s="316"/>
      <c r="I39" s="127"/>
      <c r="J39" s="315" t="s">
        <v>119</v>
      </c>
      <c r="K39" s="316"/>
      <c r="L39" s="127"/>
      <c r="M39" s="315" t="s">
        <v>120</v>
      </c>
      <c r="N39" s="316"/>
      <c r="O39" s="127"/>
      <c r="P39" s="315" t="s">
        <v>127</v>
      </c>
      <c r="Q39" s="316"/>
      <c r="R39" s="127"/>
      <c r="S39" s="315" t="s">
        <v>128</v>
      </c>
      <c r="T39" s="316"/>
      <c r="U39" s="127"/>
      <c r="V39" s="127"/>
    </row>
    <row r="40" spans="1:22" x14ac:dyDescent="0.25">
      <c r="A40" s="163" t="s">
        <v>28</v>
      </c>
      <c r="B40" s="163">
        <f>SUM(E40+H40+K40+N40+Q40+T40)</f>
        <v>44</v>
      </c>
      <c r="C40" s="127"/>
      <c r="D40" s="163" t="s">
        <v>28</v>
      </c>
      <c r="E40" s="163">
        <v>21</v>
      </c>
      <c r="F40" s="127"/>
      <c r="G40" s="163" t="s">
        <v>28</v>
      </c>
      <c r="H40" s="163">
        <v>7</v>
      </c>
      <c r="I40" s="127"/>
      <c r="J40" s="163" t="s">
        <v>28</v>
      </c>
      <c r="K40" s="163">
        <v>2</v>
      </c>
      <c r="L40" s="127"/>
      <c r="M40" s="163" t="s">
        <v>28</v>
      </c>
      <c r="N40" s="163">
        <v>3</v>
      </c>
      <c r="O40" s="127"/>
      <c r="P40" s="163" t="s">
        <v>28</v>
      </c>
      <c r="Q40" s="163">
        <v>9</v>
      </c>
      <c r="R40" s="127"/>
      <c r="S40" s="163" t="s">
        <v>28</v>
      </c>
      <c r="T40" s="163">
        <v>2</v>
      </c>
      <c r="U40" s="127"/>
      <c r="V40" s="175"/>
    </row>
    <row r="41" spans="1:22" x14ac:dyDescent="0.25">
      <c r="A41" s="128" t="s">
        <v>121</v>
      </c>
      <c r="B41" s="167">
        <v>2</v>
      </c>
      <c r="C41" s="127"/>
      <c r="D41" s="128" t="s">
        <v>4</v>
      </c>
      <c r="E41" s="167">
        <v>2</v>
      </c>
      <c r="F41" s="127"/>
      <c r="G41" s="128" t="s">
        <v>4</v>
      </c>
      <c r="H41" s="167">
        <v>0</v>
      </c>
      <c r="I41" s="127"/>
      <c r="J41" s="128" t="s">
        <v>4</v>
      </c>
      <c r="K41" s="166">
        <v>0</v>
      </c>
      <c r="L41" s="127"/>
      <c r="M41" s="128" t="s">
        <v>4</v>
      </c>
      <c r="N41" s="166">
        <v>0</v>
      </c>
      <c r="O41" s="127"/>
      <c r="P41" s="128" t="s">
        <v>4</v>
      </c>
      <c r="Q41" s="166">
        <v>0</v>
      </c>
      <c r="R41" s="127"/>
      <c r="S41" s="128" t="s">
        <v>4</v>
      </c>
      <c r="T41" s="166">
        <v>0</v>
      </c>
      <c r="U41" s="127"/>
      <c r="V41" s="127"/>
    </row>
    <row r="42" spans="1:22" x14ac:dyDescent="0.25">
      <c r="A42" s="128" t="s">
        <v>5</v>
      </c>
      <c r="B42" s="158">
        <f>B41/B40*100</f>
        <v>4.5454545454545459</v>
      </c>
      <c r="C42" s="127"/>
      <c r="D42" s="128" t="s">
        <v>5</v>
      </c>
      <c r="E42" s="158">
        <f>E41/E40*100</f>
        <v>9.5238095238095237</v>
      </c>
      <c r="F42" s="127"/>
      <c r="G42" s="128" t="s">
        <v>5</v>
      </c>
      <c r="H42" s="162">
        <f>H41/H40*100</f>
        <v>0</v>
      </c>
      <c r="I42" s="127"/>
      <c r="J42" s="128" t="s">
        <v>5</v>
      </c>
      <c r="K42" s="162">
        <f>K41/K40*100</f>
        <v>0</v>
      </c>
      <c r="L42" s="127"/>
      <c r="M42" s="128" t="s">
        <v>5</v>
      </c>
      <c r="N42" s="162">
        <f>N41/N40*100</f>
        <v>0</v>
      </c>
      <c r="O42" s="127"/>
      <c r="P42" s="128" t="s">
        <v>5</v>
      </c>
      <c r="Q42" s="162">
        <f>Q41/Q40*100</f>
        <v>0</v>
      </c>
      <c r="R42" s="127"/>
      <c r="S42" s="128" t="s">
        <v>5</v>
      </c>
      <c r="T42" s="162">
        <f>T41/T40*100</f>
        <v>0</v>
      </c>
      <c r="U42" s="127"/>
      <c r="V42" s="127"/>
    </row>
    <row r="43" spans="1:22" x14ac:dyDescent="0.25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47"/>
      <c r="R43" s="127"/>
      <c r="S43" s="127"/>
      <c r="T43" s="127"/>
      <c r="U43" s="127"/>
      <c r="V43" s="127"/>
    </row>
    <row r="44" spans="1:22" x14ac:dyDescent="0.25">
      <c r="A44" s="154" t="s">
        <v>124</v>
      </c>
      <c r="B44" s="154">
        <f>SUM(B35+B40)</f>
        <v>84</v>
      </c>
      <c r="C44" s="127"/>
      <c r="D44" s="127"/>
      <c r="E44" s="127"/>
      <c r="F44" s="127"/>
      <c r="G44" s="154" t="s">
        <v>123</v>
      </c>
      <c r="H44" s="154">
        <f>SUM(B30+B44)</f>
        <v>334</v>
      </c>
      <c r="I44" s="204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</row>
    <row r="45" spans="1:22" x14ac:dyDescent="0.25">
      <c r="A45" s="154" t="s">
        <v>44</v>
      </c>
      <c r="B45" s="170">
        <f>B36+B41</f>
        <v>2</v>
      </c>
      <c r="C45" s="127"/>
      <c r="D45" s="127"/>
      <c r="E45" s="127"/>
      <c r="F45" s="127"/>
      <c r="G45" s="154" t="s">
        <v>44</v>
      </c>
      <c r="H45" s="170">
        <v>39</v>
      </c>
      <c r="I45" s="14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</row>
    <row r="46" spans="1:22" x14ac:dyDescent="0.25">
      <c r="A46" s="161" t="s">
        <v>132</v>
      </c>
      <c r="B46" s="158">
        <f>B45/B44*100</f>
        <v>2.3809523809523809</v>
      </c>
      <c r="C46" s="127"/>
      <c r="D46" s="127"/>
      <c r="E46" s="127"/>
      <c r="F46" s="127"/>
      <c r="G46" s="171" t="s">
        <v>11</v>
      </c>
      <c r="H46" s="158">
        <f>H45/H44*100</f>
        <v>11.676646706586826</v>
      </c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</row>
    <row r="47" spans="1:22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</row>
    <row r="48" spans="1:22" x14ac:dyDescent="0.25">
      <c r="A48" s="315" t="s">
        <v>58</v>
      </c>
      <c r="B48" s="316"/>
      <c r="C48" s="127"/>
      <c r="D48" s="315" t="s">
        <v>239</v>
      </c>
      <c r="E48" s="316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</row>
    <row r="49" spans="1:22" x14ac:dyDescent="0.25">
      <c r="A49" s="163" t="s">
        <v>28</v>
      </c>
      <c r="B49" s="163">
        <v>32</v>
      </c>
      <c r="C49" s="127"/>
      <c r="D49" s="163" t="s">
        <v>28</v>
      </c>
      <c r="E49" s="163">
        <v>16</v>
      </c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</row>
    <row r="50" spans="1:22" x14ac:dyDescent="0.25">
      <c r="A50" s="185" t="s">
        <v>228</v>
      </c>
      <c r="B50" s="167">
        <v>2</v>
      </c>
      <c r="C50" s="127"/>
      <c r="D50" s="187" t="s">
        <v>238</v>
      </c>
      <c r="E50" s="167">
        <v>0</v>
      </c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</row>
    <row r="51" spans="1:22" x14ac:dyDescent="0.25">
      <c r="A51" s="128" t="s">
        <v>5</v>
      </c>
      <c r="B51" s="158">
        <f>B50/B49*100</f>
        <v>6.25</v>
      </c>
      <c r="C51" s="127"/>
      <c r="D51" s="128" t="s">
        <v>5</v>
      </c>
      <c r="E51" s="158">
        <f>E50/E49*100</f>
        <v>0</v>
      </c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</row>
    <row r="52" spans="1:22" x14ac:dyDescent="0.25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</row>
    <row r="53" spans="1:22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</row>
    <row r="54" spans="1:22" x14ac:dyDescent="0.25">
      <c r="A54" s="313" t="s">
        <v>208</v>
      </c>
      <c r="B54" s="313"/>
      <c r="C54" s="313"/>
      <c r="D54" s="313"/>
      <c r="E54" s="313"/>
      <c r="F54" s="313"/>
      <c r="G54" s="313"/>
      <c r="H54" s="313"/>
      <c r="I54" s="313"/>
      <c r="J54" s="313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</row>
    <row r="55" spans="1:22" x14ac:dyDescent="0.25">
      <c r="A55" s="341">
        <v>1000888858</v>
      </c>
      <c r="B55" s="341"/>
      <c r="C55" s="467" t="s">
        <v>250</v>
      </c>
      <c r="D55" s="427"/>
      <c r="E55" s="468" t="s">
        <v>249</v>
      </c>
      <c r="F55" s="468"/>
      <c r="G55" s="468"/>
      <c r="H55" s="469" t="s">
        <v>166</v>
      </c>
      <c r="I55" s="442"/>
      <c r="J55" s="442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</row>
    <row r="56" spans="1:22" x14ac:dyDescent="0.25">
      <c r="A56" s="470">
        <v>1128397288</v>
      </c>
      <c r="B56" s="470"/>
      <c r="C56" s="197" t="s">
        <v>251</v>
      </c>
      <c r="D56" s="198"/>
      <c r="E56" s="471" t="s">
        <v>53</v>
      </c>
      <c r="F56" s="472"/>
      <c r="G56" s="473"/>
      <c r="H56" s="469" t="s">
        <v>166</v>
      </c>
      <c r="I56" s="442"/>
      <c r="J56" s="442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</row>
    <row r="57" spans="1:22" x14ac:dyDescent="0.25">
      <c r="A57" s="470">
        <v>1040739806</v>
      </c>
      <c r="B57" s="470"/>
      <c r="C57" s="197" t="s">
        <v>246</v>
      </c>
      <c r="D57" s="198"/>
      <c r="E57" s="474" t="s">
        <v>247</v>
      </c>
      <c r="F57" s="474"/>
      <c r="G57" s="474"/>
      <c r="H57" s="469" t="s">
        <v>166</v>
      </c>
      <c r="I57" s="442"/>
      <c r="J57" s="442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</row>
    <row r="58" spans="1:22" x14ac:dyDescent="0.25">
      <c r="A58" s="470">
        <v>1068662001</v>
      </c>
      <c r="B58" s="470"/>
      <c r="C58" s="474" t="s">
        <v>248</v>
      </c>
      <c r="D58" s="474"/>
      <c r="E58" s="474" t="s">
        <v>103</v>
      </c>
      <c r="F58" s="474"/>
      <c r="G58" s="474"/>
      <c r="H58" s="469" t="s">
        <v>166</v>
      </c>
      <c r="I58" s="442"/>
      <c r="J58" s="442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</row>
    <row r="59" spans="1:22" x14ac:dyDescent="0.25">
      <c r="A59" s="461"/>
      <c r="B59" s="436"/>
      <c r="C59" s="475"/>
      <c r="D59" s="475"/>
      <c r="E59" s="461"/>
      <c r="F59" s="436"/>
      <c r="G59" s="436"/>
      <c r="H59" s="437"/>
      <c r="I59" s="437"/>
      <c r="J59" s="43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</row>
    <row r="60" spans="1:22" x14ac:dyDescent="0.25">
      <c r="A60" s="432"/>
      <c r="B60" s="432"/>
      <c r="C60" s="459"/>
      <c r="D60" s="434"/>
      <c r="E60" s="460"/>
      <c r="F60" s="436"/>
      <c r="G60" s="436"/>
      <c r="H60" s="437"/>
      <c r="I60" s="437"/>
      <c r="J60" s="43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</row>
    <row r="61" spans="1:22" x14ac:dyDescent="0.25">
      <c r="A61" s="433"/>
      <c r="B61" s="433"/>
      <c r="C61" s="433"/>
      <c r="D61" s="434"/>
      <c r="E61" s="435"/>
      <c r="F61" s="436"/>
      <c r="G61" s="436"/>
      <c r="H61" s="437"/>
      <c r="I61" s="437"/>
      <c r="J61" s="43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</row>
    <row r="62" spans="1:22" x14ac:dyDescent="0.25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</row>
    <row r="63" spans="1:22" x14ac:dyDescent="0.25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</row>
    <row r="64" spans="1:22" x14ac:dyDescent="0.25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</row>
  </sheetData>
  <mergeCells count="66">
    <mergeCell ref="A60:B60"/>
    <mergeCell ref="C60:D60"/>
    <mergeCell ref="E60:G60"/>
    <mergeCell ref="H60:J60"/>
    <mergeCell ref="A61:B61"/>
    <mergeCell ref="C61:D61"/>
    <mergeCell ref="E61:G61"/>
    <mergeCell ref="H61:J61"/>
    <mergeCell ref="A58:B58"/>
    <mergeCell ref="C58:D58"/>
    <mergeCell ref="E58:G58"/>
    <mergeCell ref="H58:J58"/>
    <mergeCell ref="A59:B59"/>
    <mergeCell ref="C59:D59"/>
    <mergeCell ref="E59:G59"/>
    <mergeCell ref="H59:J59"/>
    <mergeCell ref="A56:B56"/>
    <mergeCell ref="E56:G56"/>
    <mergeCell ref="H56:J56"/>
    <mergeCell ref="A57:B57"/>
    <mergeCell ref="E57:G57"/>
    <mergeCell ref="H57:J57"/>
    <mergeCell ref="S39:T39"/>
    <mergeCell ref="A48:B48"/>
    <mergeCell ref="D48:E48"/>
    <mergeCell ref="A54:J54"/>
    <mergeCell ref="A55:B55"/>
    <mergeCell ref="C55:D55"/>
    <mergeCell ref="E55:G55"/>
    <mergeCell ref="H55:J55"/>
    <mergeCell ref="A39:B39"/>
    <mergeCell ref="D39:E39"/>
    <mergeCell ref="G39:H39"/>
    <mergeCell ref="J39:K39"/>
    <mergeCell ref="M39:N39"/>
    <mergeCell ref="P39:Q3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A1:B1"/>
    <mergeCell ref="D1:E1"/>
    <mergeCell ref="A9:B9"/>
    <mergeCell ref="D9:E9"/>
    <mergeCell ref="G9:H9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1BBB-F717-4177-9323-7C16E6328F08}">
  <dimension ref="A1:V58"/>
  <sheetViews>
    <sheetView topLeftCell="A2" zoomScale="70" zoomScaleNormal="70" workbookViewId="0">
      <selection activeCell="B10" sqref="B10"/>
    </sheetView>
  </sheetViews>
  <sheetFormatPr baseColWidth="10" defaultRowHeight="15" x14ac:dyDescent="0.25"/>
  <cols>
    <col min="1" max="1" width="33.140625" customWidth="1"/>
    <col min="2" max="2" width="13.85546875" customWidth="1"/>
    <col min="4" max="4" width="37.85546875" customWidth="1"/>
    <col min="5" max="5" width="17.140625" customWidth="1"/>
    <col min="7" max="7" width="31.85546875" customWidth="1"/>
    <col min="10" max="10" width="23.85546875" customWidth="1"/>
    <col min="11" max="11" width="14.7109375" customWidth="1"/>
    <col min="13" max="13" width="21.7109375" customWidth="1"/>
    <col min="14" max="14" width="22.42578125" customWidth="1"/>
    <col min="16" max="16" width="21.28515625" customWidth="1"/>
    <col min="19" max="19" width="28.5703125" customWidth="1"/>
  </cols>
  <sheetData>
    <row r="1" spans="1:22" ht="33.75" x14ac:dyDescent="0.5">
      <c r="A1" s="317" t="s">
        <v>18</v>
      </c>
      <c r="B1" s="318"/>
      <c r="C1" s="125"/>
      <c r="D1" s="319"/>
      <c r="E1" s="320"/>
      <c r="F1" s="125"/>
      <c r="G1" s="125"/>
      <c r="H1" s="125"/>
      <c r="I1" s="125"/>
      <c r="J1" s="125"/>
      <c r="K1" s="126"/>
      <c r="L1" s="125"/>
      <c r="M1" s="125"/>
      <c r="N1" s="125"/>
      <c r="O1" s="127"/>
      <c r="P1" s="127"/>
      <c r="Q1" s="127"/>
      <c r="R1" s="127"/>
      <c r="S1" s="127"/>
      <c r="T1" s="127"/>
      <c r="U1" s="127"/>
      <c r="V1" s="127"/>
    </row>
    <row r="2" spans="1:22" x14ac:dyDescent="0.25">
      <c r="A2" s="128" t="s">
        <v>29</v>
      </c>
      <c r="B2" s="129">
        <v>570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1:22" x14ac:dyDescent="0.25">
      <c r="A3" s="128" t="s">
        <v>30</v>
      </c>
      <c r="B3" s="189">
        <v>3</v>
      </c>
      <c r="C3" s="127"/>
      <c r="D3" s="127"/>
      <c r="E3" s="127"/>
      <c r="F3" s="127"/>
      <c r="G3" s="199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4" spans="1:22" x14ac:dyDescent="0.25">
      <c r="A4" s="128" t="s">
        <v>3</v>
      </c>
      <c r="B4" s="132">
        <f>B2+B3</f>
        <v>573</v>
      </c>
      <c r="C4" s="127"/>
      <c r="D4" s="127">
        <f>SUM(B12+B19+H44+B49+E49)</f>
        <v>503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</row>
    <row r="5" spans="1:22" x14ac:dyDescent="0.25">
      <c r="A5" s="127"/>
      <c r="B5" s="131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" x14ac:dyDescent="0.25">
      <c r="A6" s="134" t="s">
        <v>42</v>
      </c>
      <c r="B6" s="135">
        <v>71</v>
      </c>
      <c r="C6" s="127"/>
      <c r="D6" s="188" t="s">
        <v>43</v>
      </c>
      <c r="E6" s="136">
        <v>1</v>
      </c>
      <c r="F6" s="127"/>
      <c r="G6" s="128" t="s">
        <v>44</v>
      </c>
      <c r="H6" s="136">
        <f>SUM(B6+E6)</f>
        <v>72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</row>
    <row r="7" spans="1:22" x14ac:dyDescent="0.25">
      <c r="A7" s="130"/>
      <c r="B7" s="137"/>
      <c r="C7" s="127"/>
      <c r="D7" s="130"/>
      <c r="E7" s="130"/>
      <c r="F7" s="127"/>
      <c r="G7" s="128" t="s">
        <v>5</v>
      </c>
      <c r="H7" s="207">
        <f>H6/B4*100</f>
        <v>12.56544502617801</v>
      </c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</row>
    <row r="8" spans="1:22" x14ac:dyDescent="0.25">
      <c r="A8" s="127"/>
      <c r="B8" s="131"/>
      <c r="C8" s="127"/>
      <c r="D8" s="130"/>
      <c r="E8" s="130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</row>
    <row r="9" spans="1:22" x14ac:dyDescent="0.25">
      <c r="A9" s="317" t="s">
        <v>65</v>
      </c>
      <c r="B9" s="318"/>
      <c r="C9" s="127"/>
      <c r="D9" s="313" t="s">
        <v>24</v>
      </c>
      <c r="E9" s="314"/>
      <c r="F9" s="127"/>
      <c r="G9" s="313" t="s">
        <v>25</v>
      </c>
      <c r="H9" s="314"/>
      <c r="I9" s="127"/>
      <c r="J9" s="313" t="s">
        <v>113</v>
      </c>
      <c r="K9" s="314"/>
      <c r="L9" s="127"/>
      <c r="M9" s="313" t="s">
        <v>27</v>
      </c>
      <c r="N9" s="314"/>
      <c r="O9" s="127"/>
      <c r="P9" s="313" t="s">
        <v>114</v>
      </c>
      <c r="Q9" s="314"/>
      <c r="R9" s="127"/>
      <c r="S9" s="315" t="s">
        <v>115</v>
      </c>
      <c r="T9" s="316"/>
      <c r="U9" s="127"/>
      <c r="V9" s="127"/>
    </row>
    <row r="10" spans="1:22" x14ac:dyDescent="0.25">
      <c r="A10" s="128" t="s">
        <v>28</v>
      </c>
      <c r="B10" s="128">
        <f>SUM(E12+H12+K12+N12+Q12+T12)</f>
        <v>85</v>
      </c>
      <c r="C10" s="127"/>
      <c r="D10" s="190" t="s">
        <v>29</v>
      </c>
      <c r="E10" s="190">
        <v>50</v>
      </c>
      <c r="F10" s="127"/>
      <c r="G10" s="190" t="s">
        <v>29</v>
      </c>
      <c r="H10" s="190">
        <v>17</v>
      </c>
      <c r="I10" s="127"/>
      <c r="J10" s="190" t="s">
        <v>29</v>
      </c>
      <c r="K10" s="190">
        <v>1</v>
      </c>
      <c r="L10" s="127"/>
      <c r="M10" s="190" t="s">
        <v>29</v>
      </c>
      <c r="N10" s="190">
        <v>1</v>
      </c>
      <c r="O10" s="127"/>
      <c r="P10" s="190" t="s">
        <v>29</v>
      </c>
      <c r="Q10" s="190">
        <v>10</v>
      </c>
      <c r="R10" s="127"/>
      <c r="S10" s="128" t="s">
        <v>29</v>
      </c>
      <c r="T10" s="128">
        <v>5</v>
      </c>
      <c r="U10" s="127"/>
      <c r="V10" s="127"/>
    </row>
    <row r="11" spans="1:22" x14ac:dyDescent="0.25">
      <c r="A11" s="128" t="s">
        <v>30</v>
      </c>
      <c r="B11" s="128">
        <v>0</v>
      </c>
      <c r="C11" s="127"/>
      <c r="D11" s="128" t="s">
        <v>30</v>
      </c>
      <c r="E11" s="174">
        <v>0</v>
      </c>
      <c r="F11" s="127"/>
      <c r="G11" s="128" t="s">
        <v>30</v>
      </c>
      <c r="H11" s="128">
        <v>1</v>
      </c>
      <c r="I11" s="127"/>
      <c r="J11" s="128" t="s">
        <v>30</v>
      </c>
      <c r="K11" s="128">
        <v>0</v>
      </c>
      <c r="L11" s="127"/>
      <c r="M11" s="128" t="s">
        <v>30</v>
      </c>
      <c r="N11" s="128">
        <v>0</v>
      </c>
      <c r="O11" s="127"/>
      <c r="P11" s="128" t="s">
        <v>30</v>
      </c>
      <c r="Q11" s="128">
        <v>0</v>
      </c>
      <c r="R11" s="127"/>
      <c r="S11" s="128" t="s">
        <v>30</v>
      </c>
      <c r="T11" s="128">
        <v>0</v>
      </c>
      <c r="U11" s="127"/>
      <c r="V11" s="127"/>
    </row>
    <row r="12" spans="1:22" x14ac:dyDescent="0.25">
      <c r="A12" s="140" t="s">
        <v>125</v>
      </c>
      <c r="B12" s="140">
        <f>B10+B11</f>
        <v>85</v>
      </c>
      <c r="C12" s="127"/>
      <c r="D12" s="140" t="s">
        <v>125</v>
      </c>
      <c r="E12" s="140">
        <f>E10+E11</f>
        <v>50</v>
      </c>
      <c r="F12" s="127"/>
      <c r="G12" s="140" t="s">
        <v>125</v>
      </c>
      <c r="H12" s="140">
        <f>SUM(H10+H11)</f>
        <v>18</v>
      </c>
      <c r="I12" s="127"/>
      <c r="J12" s="140" t="s">
        <v>125</v>
      </c>
      <c r="K12" s="140">
        <f>SUM(K10+K11)</f>
        <v>1</v>
      </c>
      <c r="L12" s="127"/>
      <c r="M12" s="140" t="s">
        <v>125</v>
      </c>
      <c r="N12" s="140">
        <f>N10+N11</f>
        <v>1</v>
      </c>
      <c r="O12" s="127"/>
      <c r="P12" s="140" t="s">
        <v>125</v>
      </c>
      <c r="Q12" s="140">
        <f>SUM(Q10+Q11)</f>
        <v>10</v>
      </c>
      <c r="R12" s="127"/>
      <c r="S12" s="140" t="s">
        <v>125</v>
      </c>
      <c r="T12" s="140">
        <f>T10+T11</f>
        <v>5</v>
      </c>
      <c r="U12" s="127"/>
      <c r="V12" s="127"/>
    </row>
    <row r="13" spans="1:22" x14ac:dyDescent="0.25">
      <c r="A13" s="128" t="s">
        <v>66</v>
      </c>
      <c r="B13" s="141">
        <f>SUM(E13+H13+K13+N13+Q13+T13)</f>
        <v>17</v>
      </c>
      <c r="D13" s="128" t="s">
        <v>136</v>
      </c>
      <c r="E13" s="141">
        <v>12</v>
      </c>
      <c r="F13" s="127"/>
      <c r="G13" s="128" t="s">
        <v>136</v>
      </c>
      <c r="H13" s="141">
        <v>3</v>
      </c>
      <c r="I13" s="127"/>
      <c r="J13" s="128" t="s">
        <v>4</v>
      </c>
      <c r="K13" s="141">
        <v>0</v>
      </c>
      <c r="L13" s="127"/>
      <c r="M13" s="128" t="s">
        <v>136</v>
      </c>
      <c r="N13" s="141">
        <v>0</v>
      </c>
      <c r="O13" s="127"/>
      <c r="P13" s="128" t="s">
        <v>136</v>
      </c>
      <c r="Q13" s="141">
        <v>2</v>
      </c>
      <c r="R13" s="127"/>
      <c r="S13" s="128" t="s">
        <v>4</v>
      </c>
      <c r="T13" s="142">
        <v>0</v>
      </c>
      <c r="U13" s="127"/>
      <c r="V13" s="127"/>
    </row>
    <row r="14" spans="1:22" x14ac:dyDescent="0.25">
      <c r="A14" s="128" t="s">
        <v>5</v>
      </c>
      <c r="B14" s="143">
        <f>B13/B12*100</f>
        <v>20</v>
      </c>
      <c r="C14" s="127"/>
      <c r="D14" s="128" t="s">
        <v>5</v>
      </c>
      <c r="E14" s="143">
        <f>E13/E12*100</f>
        <v>24</v>
      </c>
      <c r="F14" s="127"/>
      <c r="G14" s="128" t="s">
        <v>5</v>
      </c>
      <c r="H14" s="143">
        <f>H13/H12*100</f>
        <v>16.666666666666664</v>
      </c>
      <c r="I14" s="127"/>
      <c r="J14" s="128" t="s">
        <v>5</v>
      </c>
      <c r="K14" s="144">
        <f>K13/K12*100</f>
        <v>0</v>
      </c>
      <c r="L14" s="127"/>
      <c r="M14" s="128" t="s">
        <v>5</v>
      </c>
      <c r="N14" s="145">
        <f>N13/N12*100</f>
        <v>0</v>
      </c>
      <c r="O14" s="127"/>
      <c r="P14" s="128" t="s">
        <v>5</v>
      </c>
      <c r="Q14" s="145">
        <f>Q13/Q12*100</f>
        <v>20</v>
      </c>
      <c r="R14" s="127"/>
      <c r="S14" s="128" t="s">
        <v>5</v>
      </c>
      <c r="T14" s="144">
        <f>T13/T12*100</f>
        <v>0</v>
      </c>
      <c r="U14" s="127"/>
      <c r="V14" s="127"/>
    </row>
    <row r="15" spans="1:22" x14ac:dyDescent="0.25">
      <c r="A15" s="130"/>
      <c r="B15" s="130"/>
      <c r="D15" s="130"/>
      <c r="E15" s="146"/>
      <c r="F15" s="147"/>
      <c r="G15" s="148"/>
      <c r="H15" s="146"/>
      <c r="I15" s="147"/>
      <c r="J15" s="148"/>
      <c r="K15" s="149"/>
      <c r="L15" s="147"/>
      <c r="M15" s="130"/>
      <c r="N15" s="150"/>
      <c r="O15" s="127"/>
      <c r="P15" s="127"/>
      <c r="Q15" s="127"/>
      <c r="R15" s="127"/>
      <c r="S15" s="127"/>
      <c r="T15" s="127"/>
      <c r="U15" s="127"/>
      <c r="V15" s="127"/>
    </row>
    <row r="16" spans="1:22" x14ac:dyDescent="0.25">
      <c r="A16" s="127"/>
      <c r="B16" s="127"/>
      <c r="C16" s="127"/>
      <c r="D16" s="127"/>
      <c r="E16" s="130"/>
      <c r="F16" s="130"/>
      <c r="G16" s="147"/>
      <c r="H16" s="147"/>
      <c r="I16" s="147"/>
      <c r="J16" s="147"/>
      <c r="K16" s="147"/>
      <c r="L16" s="147"/>
      <c r="M16" s="151"/>
      <c r="N16" s="127"/>
      <c r="O16" s="127"/>
      <c r="P16" s="127"/>
      <c r="Q16" s="127"/>
      <c r="R16" s="127"/>
      <c r="S16" s="127"/>
      <c r="T16" s="127"/>
      <c r="U16" s="127"/>
      <c r="V16" s="127"/>
    </row>
    <row r="17" spans="1:22" x14ac:dyDescent="0.25">
      <c r="A17" s="317" t="s">
        <v>71</v>
      </c>
      <c r="B17" s="318"/>
      <c r="C17" s="127"/>
      <c r="D17" s="317" t="s">
        <v>61</v>
      </c>
      <c r="E17" s="318"/>
      <c r="F17" s="127"/>
      <c r="G17" s="317" t="s">
        <v>62</v>
      </c>
      <c r="H17" s="318"/>
      <c r="I17" s="127"/>
      <c r="J17" s="317" t="s">
        <v>92</v>
      </c>
      <c r="K17" s="318"/>
      <c r="L17" s="127"/>
      <c r="M17" s="313" t="s">
        <v>64</v>
      </c>
      <c r="N17" s="314"/>
      <c r="O17" s="127"/>
      <c r="P17" s="315" t="s">
        <v>90</v>
      </c>
      <c r="Q17" s="316"/>
      <c r="R17" s="127"/>
      <c r="S17" s="313" t="s">
        <v>91</v>
      </c>
      <c r="T17" s="314"/>
      <c r="U17" s="127"/>
      <c r="V17" s="127"/>
    </row>
    <row r="18" spans="1:22" x14ac:dyDescent="0.25">
      <c r="A18" s="152" t="s">
        <v>29</v>
      </c>
      <c r="B18" s="153">
        <v>42</v>
      </c>
      <c r="C18" s="205">
        <v>43</v>
      </c>
      <c r="D18" s="154" t="s">
        <v>29</v>
      </c>
      <c r="E18" s="154">
        <v>24</v>
      </c>
      <c r="F18" s="127"/>
      <c r="G18" s="154" t="s">
        <v>29</v>
      </c>
      <c r="H18" s="60">
        <v>6</v>
      </c>
      <c r="I18" s="127"/>
      <c r="J18" s="154" t="s">
        <v>29</v>
      </c>
      <c r="K18" s="154">
        <v>1</v>
      </c>
      <c r="L18" s="127"/>
      <c r="M18" s="154" t="s">
        <v>29</v>
      </c>
      <c r="N18" s="154">
        <v>1</v>
      </c>
      <c r="O18" s="127"/>
      <c r="P18" s="154" t="s">
        <v>29</v>
      </c>
      <c r="Q18" s="154">
        <v>5</v>
      </c>
      <c r="R18" s="127"/>
      <c r="S18" s="154" t="s">
        <v>29</v>
      </c>
      <c r="T18" s="60">
        <v>2</v>
      </c>
      <c r="U18" s="127"/>
      <c r="V18" s="127"/>
    </row>
    <row r="19" spans="1:22" x14ac:dyDescent="0.25">
      <c r="A19" s="140" t="s">
        <v>125</v>
      </c>
      <c r="B19" s="155">
        <f>B18</f>
        <v>42</v>
      </c>
      <c r="C19" s="127"/>
      <c r="D19" s="140" t="s">
        <v>125</v>
      </c>
      <c r="E19" s="156">
        <v>24</v>
      </c>
      <c r="F19" s="127"/>
      <c r="G19" s="140" t="s">
        <v>125</v>
      </c>
      <c r="H19" s="156">
        <v>6</v>
      </c>
      <c r="I19" s="127"/>
      <c r="J19" s="140" t="s">
        <v>125</v>
      </c>
      <c r="K19" s="156">
        <v>1</v>
      </c>
      <c r="L19" s="127"/>
      <c r="M19" s="140" t="s">
        <v>125</v>
      </c>
      <c r="N19" s="156">
        <v>1</v>
      </c>
      <c r="O19" s="127"/>
      <c r="P19" s="140" t="s">
        <v>125</v>
      </c>
      <c r="Q19" s="156">
        <v>5</v>
      </c>
      <c r="R19" s="127"/>
      <c r="S19" s="155" t="s">
        <v>125</v>
      </c>
      <c r="T19" s="154">
        <v>2</v>
      </c>
      <c r="U19" s="127"/>
      <c r="V19" s="127"/>
    </row>
    <row r="20" spans="1:22" x14ac:dyDescent="0.25">
      <c r="A20" s="128" t="s">
        <v>72</v>
      </c>
      <c r="B20" s="141">
        <v>3</v>
      </c>
      <c r="C20" s="127"/>
      <c r="D20" s="128" t="s">
        <v>73</v>
      </c>
      <c r="E20" s="141">
        <v>2</v>
      </c>
      <c r="F20" s="127"/>
      <c r="G20" s="128" t="s">
        <v>74</v>
      </c>
      <c r="H20" s="140">
        <v>0</v>
      </c>
      <c r="I20" s="127"/>
      <c r="J20" s="128" t="s">
        <v>75</v>
      </c>
      <c r="K20" s="140">
        <v>0</v>
      </c>
      <c r="L20" s="127"/>
      <c r="M20" s="128" t="s">
        <v>76</v>
      </c>
      <c r="N20" s="140">
        <v>0</v>
      </c>
      <c r="O20" s="127"/>
      <c r="P20" s="191" t="s">
        <v>245</v>
      </c>
      <c r="Q20" s="142">
        <v>1</v>
      </c>
      <c r="R20" s="127"/>
      <c r="S20" s="193" t="s">
        <v>133</v>
      </c>
      <c r="T20" s="194">
        <v>0</v>
      </c>
      <c r="U20" s="127"/>
      <c r="V20" s="127"/>
    </row>
    <row r="21" spans="1:22" x14ac:dyDescent="0.25">
      <c r="A21" s="157" t="s">
        <v>5</v>
      </c>
      <c r="B21" s="145">
        <f>B20/B19*100</f>
        <v>7.1428571428571423</v>
      </c>
      <c r="C21" s="127"/>
      <c r="D21" s="128" t="s">
        <v>5</v>
      </c>
      <c r="E21" s="158">
        <f>E20/E19*100</f>
        <v>8.3333333333333321</v>
      </c>
      <c r="F21" s="133"/>
      <c r="G21" s="128" t="s">
        <v>5</v>
      </c>
      <c r="H21" s="145">
        <f>H20/H19*100</f>
        <v>0</v>
      </c>
      <c r="I21" s="127"/>
      <c r="J21" s="128" t="s">
        <v>5</v>
      </c>
      <c r="K21" s="145">
        <f>K20/K19*100</f>
        <v>0</v>
      </c>
      <c r="L21" s="127"/>
      <c r="M21" s="128" t="s">
        <v>5</v>
      </c>
      <c r="N21" s="145">
        <f>N20/N19*100</f>
        <v>0</v>
      </c>
      <c r="O21" s="127"/>
      <c r="P21" s="128" t="s">
        <v>5</v>
      </c>
      <c r="Q21" s="144">
        <f>Q20/Q19*100</f>
        <v>20</v>
      </c>
      <c r="R21" s="127"/>
      <c r="S21" s="190" t="s">
        <v>5</v>
      </c>
      <c r="T21" s="192">
        <f>T20/T19*100</f>
        <v>0</v>
      </c>
      <c r="U21" s="127"/>
      <c r="V21" s="127"/>
    </row>
    <row r="22" spans="1:22" x14ac:dyDescent="0.25">
      <c r="A22" s="148"/>
      <c r="B22" s="159"/>
      <c r="C22" s="127"/>
      <c r="D22" s="148"/>
      <c r="E22" s="159"/>
      <c r="F22" s="160"/>
      <c r="G22" s="130"/>
      <c r="H22" s="150"/>
      <c r="I22" s="127"/>
      <c r="J22" s="130"/>
      <c r="K22" s="150"/>
      <c r="L22" s="127"/>
      <c r="M22" s="130"/>
      <c r="N22" s="150"/>
      <c r="O22" s="127"/>
      <c r="P22" s="127"/>
      <c r="Q22" s="127"/>
      <c r="R22" s="127"/>
      <c r="S22" s="127"/>
      <c r="T22" s="127"/>
      <c r="U22" s="127"/>
      <c r="V22" s="127"/>
    </row>
    <row r="23" spans="1:22" x14ac:dyDescent="0.25">
      <c r="A23" s="154" t="s">
        <v>126</v>
      </c>
      <c r="B23" s="154">
        <f>B12+B19</f>
        <v>127</v>
      </c>
      <c r="C23" s="127"/>
      <c r="D23" s="127"/>
      <c r="E23" s="127"/>
      <c r="F23" s="127"/>
      <c r="G23" s="127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  <c r="U23" s="127"/>
      <c r="V23" s="127"/>
    </row>
    <row r="24" spans="1:22" x14ac:dyDescent="0.25">
      <c r="A24" s="154" t="s">
        <v>44</v>
      </c>
      <c r="B24" s="156">
        <f>B13+B20</f>
        <v>20</v>
      </c>
      <c r="C24" s="127"/>
      <c r="D24" s="148"/>
      <c r="E24" s="148"/>
      <c r="F24" s="160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  <c r="U24" s="127"/>
      <c r="V24" s="127"/>
    </row>
    <row r="25" spans="1:22" x14ac:dyDescent="0.25">
      <c r="A25" s="161" t="s">
        <v>83</v>
      </c>
      <c r="B25" s="162">
        <f>B24/B23*100</f>
        <v>15.748031496062993</v>
      </c>
      <c r="C25" s="127"/>
      <c r="D25" s="148"/>
      <c r="E25" s="148"/>
      <c r="F25" s="160"/>
      <c r="G25" s="130"/>
      <c r="H25" s="196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  <c r="U25" s="127"/>
      <c r="V25" s="127"/>
    </row>
    <row r="26" spans="1:22" x14ac:dyDescent="0.25">
      <c r="A26" s="127"/>
      <c r="B26" s="127"/>
      <c r="C26" s="127"/>
      <c r="D26" s="148"/>
      <c r="E26" s="148"/>
      <c r="F26" s="127"/>
      <c r="G26" s="127"/>
      <c r="H26" s="127"/>
      <c r="I26" s="127"/>
      <c r="J26" s="127"/>
      <c r="K26" s="147"/>
      <c r="L26" s="127"/>
      <c r="M26" s="151"/>
      <c r="N26" s="127"/>
      <c r="O26" s="127"/>
      <c r="P26" s="127"/>
      <c r="Q26" s="127"/>
      <c r="R26" s="127"/>
      <c r="S26" s="127"/>
      <c r="T26" s="127"/>
      <c r="U26" s="127"/>
      <c r="V26" s="127"/>
    </row>
    <row r="27" spans="1:22" x14ac:dyDescent="0.25">
      <c r="A27" s="315" t="s">
        <v>137</v>
      </c>
      <c r="B27" s="316"/>
      <c r="C27" s="127"/>
      <c r="D27" s="384" t="s">
        <v>104</v>
      </c>
      <c r="E27" s="384"/>
      <c r="F27" s="127"/>
      <c r="G27" s="315" t="s">
        <v>105</v>
      </c>
      <c r="H27" s="316"/>
      <c r="I27" s="127"/>
      <c r="J27" s="315" t="s">
        <v>106</v>
      </c>
      <c r="K27" s="316"/>
      <c r="L27" s="127"/>
      <c r="M27" s="315" t="s">
        <v>36</v>
      </c>
      <c r="N27" s="316"/>
      <c r="O27" s="127"/>
      <c r="P27" s="315" t="s">
        <v>93</v>
      </c>
      <c r="Q27" s="316"/>
      <c r="R27" s="127"/>
      <c r="S27" s="315" t="s">
        <v>94</v>
      </c>
      <c r="T27" s="316"/>
      <c r="U27" s="127"/>
      <c r="V27" s="127"/>
    </row>
    <row r="28" spans="1:22" x14ac:dyDescent="0.25">
      <c r="A28" s="128" t="s">
        <v>28</v>
      </c>
      <c r="B28" s="128">
        <v>247</v>
      </c>
      <c r="C28" s="127"/>
      <c r="D28" s="128" t="s">
        <v>28</v>
      </c>
      <c r="E28" s="128">
        <v>147</v>
      </c>
      <c r="F28" s="127"/>
      <c r="G28" s="128" t="s">
        <v>28</v>
      </c>
      <c r="H28" s="128">
        <v>55</v>
      </c>
      <c r="I28" s="127"/>
      <c r="J28" s="128" t="s">
        <v>28</v>
      </c>
      <c r="K28" s="128">
        <v>5</v>
      </c>
      <c r="L28" s="127"/>
      <c r="M28" s="128" t="s">
        <v>28</v>
      </c>
      <c r="N28" s="128">
        <v>11</v>
      </c>
      <c r="O28" s="127"/>
      <c r="P28" s="128" t="s">
        <v>28</v>
      </c>
      <c r="Q28" s="128">
        <v>21</v>
      </c>
      <c r="R28" s="127"/>
      <c r="S28" s="128" t="s">
        <v>28</v>
      </c>
      <c r="T28" s="128">
        <v>9</v>
      </c>
      <c r="U28" s="127"/>
      <c r="V28" s="127"/>
    </row>
    <row r="29" spans="1:22" x14ac:dyDescent="0.25">
      <c r="A29" s="128" t="s">
        <v>30</v>
      </c>
      <c r="B29" s="174">
        <v>3</v>
      </c>
      <c r="C29" s="127"/>
      <c r="D29" s="128" t="s">
        <v>30</v>
      </c>
      <c r="E29" s="174">
        <v>0</v>
      </c>
      <c r="F29" s="127"/>
      <c r="G29" s="128" t="s">
        <v>30</v>
      </c>
      <c r="H29" s="174">
        <v>3</v>
      </c>
      <c r="I29" s="127"/>
      <c r="J29" s="128" t="s">
        <v>30</v>
      </c>
      <c r="K29" s="128">
        <v>0</v>
      </c>
      <c r="L29" s="127"/>
      <c r="M29" s="128" t="s">
        <v>30</v>
      </c>
      <c r="N29" s="128">
        <v>0</v>
      </c>
      <c r="O29" s="127"/>
      <c r="P29" s="128" t="s">
        <v>30</v>
      </c>
      <c r="Q29" s="128">
        <v>0</v>
      </c>
      <c r="R29" s="127"/>
      <c r="S29" s="128" t="s">
        <v>30</v>
      </c>
      <c r="T29" s="128">
        <v>0</v>
      </c>
      <c r="U29" s="127"/>
      <c r="V29" s="127"/>
    </row>
    <row r="30" spans="1:22" x14ac:dyDescent="0.25">
      <c r="A30" s="163" t="s">
        <v>125</v>
      </c>
      <c r="B30" s="163">
        <f>SUM(B28+B29)</f>
        <v>250</v>
      </c>
      <c r="C30" s="127"/>
      <c r="D30" s="163" t="s">
        <v>125</v>
      </c>
      <c r="E30" s="163">
        <f>SUM(E28+E29)</f>
        <v>147</v>
      </c>
      <c r="F30" s="127"/>
      <c r="G30" s="163" t="s">
        <v>125</v>
      </c>
      <c r="H30" s="163">
        <f>SUM(H28+H29)</f>
        <v>58</v>
      </c>
      <c r="I30" s="127"/>
      <c r="J30" s="163" t="s">
        <v>125</v>
      </c>
      <c r="K30" s="163">
        <v>5</v>
      </c>
      <c r="L30" s="127"/>
      <c r="M30" s="163" t="s">
        <v>125</v>
      </c>
      <c r="N30" s="163">
        <v>11</v>
      </c>
      <c r="O30" s="127"/>
      <c r="P30" s="163" t="s">
        <v>125</v>
      </c>
      <c r="Q30" s="163">
        <v>21</v>
      </c>
      <c r="R30" s="127"/>
      <c r="S30" s="163" t="s">
        <v>125</v>
      </c>
      <c r="T30" s="163">
        <f>T28+T29</f>
        <v>9</v>
      </c>
      <c r="U30" s="127"/>
      <c r="V30" s="127"/>
    </row>
    <row r="31" spans="1:22" x14ac:dyDescent="0.25">
      <c r="A31" s="184" t="s">
        <v>4</v>
      </c>
      <c r="B31" s="164">
        <v>47</v>
      </c>
      <c r="C31" s="127"/>
      <c r="D31" s="128" t="s">
        <v>4</v>
      </c>
      <c r="E31" s="165">
        <v>27</v>
      </c>
      <c r="F31" s="127"/>
      <c r="G31" s="128" t="s">
        <v>4</v>
      </c>
      <c r="H31" s="164">
        <v>16</v>
      </c>
      <c r="I31" s="127"/>
      <c r="J31" s="128" t="s">
        <v>4</v>
      </c>
      <c r="K31" s="166">
        <v>0</v>
      </c>
      <c r="L31" s="127"/>
      <c r="M31" s="128" t="s">
        <v>4</v>
      </c>
      <c r="N31" s="167">
        <v>0</v>
      </c>
      <c r="O31" s="127"/>
      <c r="P31" s="128" t="s">
        <v>4</v>
      </c>
      <c r="Q31" s="167">
        <v>2</v>
      </c>
      <c r="R31" s="127"/>
      <c r="S31" s="184" t="s">
        <v>4</v>
      </c>
      <c r="T31" s="167">
        <v>1</v>
      </c>
      <c r="U31" s="127"/>
      <c r="V31" s="127"/>
    </row>
    <row r="32" spans="1:22" x14ac:dyDescent="0.25">
      <c r="A32" s="128" t="s">
        <v>5</v>
      </c>
      <c r="B32" s="162">
        <f>B31/B30*100</f>
        <v>18.8</v>
      </c>
      <c r="C32" s="127"/>
      <c r="D32" s="128" t="s">
        <v>5</v>
      </c>
      <c r="E32" s="162">
        <f>E31/E30*100</f>
        <v>18.367346938775512</v>
      </c>
      <c r="F32" s="127"/>
      <c r="G32" s="128" t="s">
        <v>5</v>
      </c>
      <c r="H32" s="162">
        <f>H31/H30*100</f>
        <v>27.586206896551722</v>
      </c>
      <c r="I32" s="127"/>
      <c r="J32" s="128" t="s">
        <v>5</v>
      </c>
      <c r="K32" s="162">
        <f>K31/K30*100%</f>
        <v>0</v>
      </c>
      <c r="L32" s="127"/>
      <c r="M32" s="128" t="s">
        <v>5</v>
      </c>
      <c r="N32" s="162">
        <f>N31/N30*100%</f>
        <v>0</v>
      </c>
      <c r="O32" s="127"/>
      <c r="P32" s="128" t="s">
        <v>5</v>
      </c>
      <c r="Q32" s="162">
        <f>Q31/Q30*100%</f>
        <v>9.5238095238095233E-2</v>
      </c>
      <c r="R32" s="127"/>
      <c r="S32" s="128" t="s">
        <v>5</v>
      </c>
      <c r="T32" s="195">
        <f>T31/T30*100</f>
        <v>11.111111111111111</v>
      </c>
      <c r="U32" s="127"/>
      <c r="V32" s="127"/>
    </row>
    <row r="33" spans="1:22" x14ac:dyDescent="0.25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30"/>
      <c r="O33" s="127"/>
      <c r="P33" s="127"/>
      <c r="Q33" s="127"/>
      <c r="R33" s="127"/>
      <c r="S33" s="127"/>
      <c r="T33" s="127"/>
      <c r="U33" s="127"/>
      <c r="V33" s="127"/>
    </row>
    <row r="34" spans="1:22" x14ac:dyDescent="0.25">
      <c r="A34" s="315" t="s">
        <v>77</v>
      </c>
      <c r="B34" s="316"/>
      <c r="C34" s="127"/>
      <c r="D34" s="313" t="s">
        <v>48</v>
      </c>
      <c r="E34" s="313"/>
      <c r="F34" s="147"/>
      <c r="G34" s="315" t="s">
        <v>49</v>
      </c>
      <c r="H34" s="316"/>
      <c r="I34" s="127"/>
      <c r="J34" s="315" t="s">
        <v>108</v>
      </c>
      <c r="K34" s="316"/>
      <c r="L34" s="127"/>
      <c r="M34" s="315" t="s">
        <v>51</v>
      </c>
      <c r="N34" s="316"/>
      <c r="O34" s="127"/>
      <c r="P34" s="315" t="s">
        <v>98</v>
      </c>
      <c r="Q34" s="316"/>
      <c r="R34" s="127"/>
      <c r="S34" s="315" t="s">
        <v>97</v>
      </c>
      <c r="T34" s="316"/>
      <c r="U34" s="127"/>
      <c r="V34" s="127"/>
    </row>
    <row r="35" spans="1:22" x14ac:dyDescent="0.25">
      <c r="A35" s="163" t="s">
        <v>28</v>
      </c>
      <c r="B35" s="163">
        <f>SUM(E35+H35+K35+N35+Q35+T35)</f>
        <v>40</v>
      </c>
      <c r="C35" s="127"/>
      <c r="D35" s="200" t="s">
        <v>28</v>
      </c>
      <c r="E35" s="200">
        <v>22</v>
      </c>
      <c r="F35" s="127"/>
      <c r="G35" s="163" t="s">
        <v>28</v>
      </c>
      <c r="H35" s="163">
        <v>8</v>
      </c>
      <c r="I35" s="127"/>
      <c r="J35" s="163" t="s">
        <v>28</v>
      </c>
      <c r="K35" s="163">
        <v>1</v>
      </c>
      <c r="L35" s="127"/>
      <c r="M35" s="163" t="s">
        <v>28</v>
      </c>
      <c r="N35" s="163">
        <v>2</v>
      </c>
      <c r="O35" s="127"/>
      <c r="P35" s="163" t="s">
        <v>28</v>
      </c>
      <c r="Q35" s="163">
        <v>5</v>
      </c>
      <c r="R35" s="127"/>
      <c r="S35" s="163" t="s">
        <v>28</v>
      </c>
      <c r="T35" s="163">
        <v>2</v>
      </c>
      <c r="U35" s="127"/>
      <c r="V35" s="127"/>
    </row>
    <row r="36" spans="1:22" x14ac:dyDescent="0.25">
      <c r="A36" s="128" t="s">
        <v>78</v>
      </c>
      <c r="B36" s="169">
        <v>1</v>
      </c>
      <c r="C36" s="127"/>
      <c r="D36" s="193" t="s">
        <v>136</v>
      </c>
      <c r="E36" s="201">
        <v>1</v>
      </c>
      <c r="F36" s="127"/>
      <c r="G36" s="128" t="s">
        <v>4</v>
      </c>
      <c r="H36" s="167">
        <v>0</v>
      </c>
      <c r="I36" s="127"/>
      <c r="J36" s="128" t="s">
        <v>4</v>
      </c>
      <c r="K36" s="166">
        <v>0</v>
      </c>
      <c r="L36" s="127"/>
      <c r="M36" s="128" t="s">
        <v>4</v>
      </c>
      <c r="N36" s="166">
        <v>0</v>
      </c>
      <c r="O36" s="127"/>
      <c r="P36" s="128" t="s">
        <v>4</v>
      </c>
      <c r="Q36" s="166">
        <v>0</v>
      </c>
      <c r="R36" s="127"/>
      <c r="S36" s="128" t="s">
        <v>4</v>
      </c>
      <c r="T36" s="166">
        <v>0</v>
      </c>
      <c r="U36" s="127"/>
      <c r="V36" s="127"/>
    </row>
    <row r="37" spans="1:22" x14ac:dyDescent="0.25">
      <c r="A37" s="128" t="s">
        <v>5</v>
      </c>
      <c r="B37" s="158">
        <f>B36/B35*100</f>
        <v>2.5</v>
      </c>
      <c r="C37" s="127"/>
      <c r="D37" s="193" t="s">
        <v>5</v>
      </c>
      <c r="E37" s="202">
        <f>E36/E35*100</f>
        <v>4.5454545454545459</v>
      </c>
      <c r="F37" s="127"/>
      <c r="G37" s="128" t="s">
        <v>5</v>
      </c>
      <c r="H37" s="162">
        <f>H36/H35*100</f>
        <v>0</v>
      </c>
      <c r="I37" s="127"/>
      <c r="J37" s="128" t="s">
        <v>5</v>
      </c>
      <c r="K37" s="162">
        <f>K36/K35*100</f>
        <v>0</v>
      </c>
      <c r="L37" s="127"/>
      <c r="M37" s="128" t="s">
        <v>5</v>
      </c>
      <c r="N37" s="162">
        <f>N36/N35*100</f>
        <v>0</v>
      </c>
      <c r="O37" s="127"/>
      <c r="P37" s="128" t="s">
        <v>5</v>
      </c>
      <c r="Q37" s="162">
        <f>Q36/Q35*100</f>
        <v>0</v>
      </c>
      <c r="R37" s="127"/>
      <c r="S37" s="128" t="s">
        <v>5</v>
      </c>
      <c r="T37" s="162">
        <f>T36/T35*100</f>
        <v>0</v>
      </c>
      <c r="U37" s="127"/>
      <c r="V37" s="127"/>
    </row>
    <row r="38" spans="1:22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</row>
    <row r="39" spans="1:22" x14ac:dyDescent="0.25">
      <c r="A39" s="315" t="s">
        <v>116</v>
      </c>
      <c r="B39" s="316"/>
      <c r="C39" s="127"/>
      <c r="D39" s="384" t="s">
        <v>117</v>
      </c>
      <c r="E39" s="384"/>
      <c r="F39" s="127"/>
      <c r="G39" s="315" t="s">
        <v>118</v>
      </c>
      <c r="H39" s="316"/>
      <c r="I39" s="127"/>
      <c r="J39" s="315" t="s">
        <v>119</v>
      </c>
      <c r="K39" s="316"/>
      <c r="L39" s="127"/>
      <c r="M39" s="315" t="s">
        <v>120</v>
      </c>
      <c r="N39" s="316"/>
      <c r="O39" s="127"/>
      <c r="P39" s="315" t="s">
        <v>127</v>
      </c>
      <c r="Q39" s="316"/>
      <c r="R39" s="127"/>
      <c r="S39" s="315" t="s">
        <v>128</v>
      </c>
      <c r="T39" s="316"/>
      <c r="U39" s="127"/>
      <c r="V39" s="127"/>
    </row>
    <row r="40" spans="1:22" x14ac:dyDescent="0.25">
      <c r="A40" s="163" t="s">
        <v>28</v>
      </c>
      <c r="B40" s="163">
        <v>42</v>
      </c>
      <c r="C40" s="127"/>
      <c r="D40" s="163" t="s">
        <v>28</v>
      </c>
      <c r="E40" s="163">
        <v>17</v>
      </c>
      <c r="F40" s="127"/>
      <c r="G40" s="163" t="s">
        <v>28</v>
      </c>
      <c r="H40" s="163">
        <v>7</v>
      </c>
      <c r="I40" s="127"/>
      <c r="J40" s="163" t="s">
        <v>28</v>
      </c>
      <c r="K40" s="163">
        <v>2</v>
      </c>
      <c r="L40" s="127"/>
      <c r="M40" s="163" t="s">
        <v>28</v>
      </c>
      <c r="N40" s="163">
        <v>3</v>
      </c>
      <c r="O40" s="127"/>
      <c r="P40" s="163" t="s">
        <v>28</v>
      </c>
      <c r="Q40" s="163">
        <v>9</v>
      </c>
      <c r="R40" s="127"/>
      <c r="S40" s="163" t="s">
        <v>28</v>
      </c>
      <c r="T40" s="163">
        <v>3</v>
      </c>
      <c r="U40" s="127"/>
      <c r="V40" s="175"/>
    </row>
    <row r="41" spans="1:22" x14ac:dyDescent="0.25">
      <c r="A41" s="128" t="s">
        <v>121</v>
      </c>
      <c r="B41" s="167">
        <v>5</v>
      </c>
      <c r="C41" s="127"/>
      <c r="D41" s="128" t="s">
        <v>4</v>
      </c>
      <c r="E41" s="167">
        <v>4</v>
      </c>
      <c r="F41" s="127"/>
      <c r="G41" s="128" t="s">
        <v>4</v>
      </c>
      <c r="H41" s="167">
        <v>1</v>
      </c>
      <c r="I41" s="127"/>
      <c r="J41" s="128" t="s">
        <v>4</v>
      </c>
      <c r="K41" s="166">
        <v>0</v>
      </c>
      <c r="L41" s="127"/>
      <c r="M41" s="128" t="s">
        <v>4</v>
      </c>
      <c r="N41" s="166">
        <v>0</v>
      </c>
      <c r="O41" s="127"/>
      <c r="P41" s="128" t="s">
        <v>4</v>
      </c>
      <c r="Q41" s="166">
        <v>0</v>
      </c>
      <c r="R41" s="127"/>
      <c r="S41" s="128" t="s">
        <v>4</v>
      </c>
      <c r="T41" s="166">
        <v>0</v>
      </c>
      <c r="U41" s="127"/>
      <c r="V41" s="127"/>
    </row>
    <row r="42" spans="1:22" x14ac:dyDescent="0.25">
      <c r="A42" s="128" t="s">
        <v>5</v>
      </c>
      <c r="B42" s="158">
        <f>B41/B40*100</f>
        <v>11.904761904761903</v>
      </c>
      <c r="C42" s="127"/>
      <c r="D42" s="128" t="s">
        <v>5</v>
      </c>
      <c r="E42" s="158">
        <f>E41/E40*100</f>
        <v>23.52941176470588</v>
      </c>
      <c r="F42" s="127"/>
      <c r="G42" s="128" t="s">
        <v>5</v>
      </c>
      <c r="H42" s="162">
        <f>H41/H40*100</f>
        <v>14.285714285714285</v>
      </c>
      <c r="I42" s="127"/>
      <c r="J42" s="128" t="s">
        <v>5</v>
      </c>
      <c r="K42" s="162">
        <f>K41/K40*100</f>
        <v>0</v>
      </c>
      <c r="L42" s="127"/>
      <c r="M42" s="128" t="s">
        <v>5</v>
      </c>
      <c r="N42" s="162">
        <f>N41/N40*100</f>
        <v>0</v>
      </c>
      <c r="O42" s="127"/>
      <c r="P42" s="128" t="s">
        <v>5</v>
      </c>
      <c r="Q42" s="162">
        <f>Q41/Q40*100</f>
        <v>0</v>
      </c>
      <c r="R42" s="127"/>
      <c r="S42" s="128" t="s">
        <v>5</v>
      </c>
      <c r="T42" s="162">
        <f>T41/T40*100</f>
        <v>0</v>
      </c>
      <c r="U42" s="127"/>
      <c r="V42" s="127"/>
    </row>
    <row r="43" spans="1:22" x14ac:dyDescent="0.25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47"/>
      <c r="R43" s="127"/>
      <c r="S43" s="127"/>
      <c r="T43" s="127"/>
      <c r="U43" s="127"/>
      <c r="V43" s="127"/>
    </row>
    <row r="44" spans="1:22" x14ac:dyDescent="0.25">
      <c r="A44" s="154" t="s">
        <v>124</v>
      </c>
      <c r="B44" s="154">
        <v>82</v>
      </c>
      <c r="C44" s="127"/>
      <c r="D44" s="127"/>
      <c r="E44" s="127"/>
      <c r="F44" s="127"/>
      <c r="G44" s="154" t="s">
        <v>123</v>
      </c>
      <c r="H44" s="154">
        <f>SUM(B30+B44)</f>
        <v>332</v>
      </c>
      <c r="I44" s="204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</row>
    <row r="45" spans="1:22" x14ac:dyDescent="0.25">
      <c r="A45" s="154" t="s">
        <v>44</v>
      </c>
      <c r="B45" s="170">
        <f>B36+B41</f>
        <v>6</v>
      </c>
      <c r="C45" s="127"/>
      <c r="D45" s="127"/>
      <c r="E45" s="127"/>
      <c r="F45" s="127"/>
      <c r="G45" s="154" t="s">
        <v>44</v>
      </c>
      <c r="H45" s="170">
        <v>53</v>
      </c>
      <c r="I45" s="14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</row>
    <row r="46" spans="1:22" x14ac:dyDescent="0.25">
      <c r="A46" s="161" t="s">
        <v>132</v>
      </c>
      <c r="B46" s="158">
        <f>B45/B44*100</f>
        <v>7.3170731707317067</v>
      </c>
      <c r="C46" s="127"/>
      <c r="D46" s="127"/>
      <c r="E46" s="127"/>
      <c r="F46" s="127"/>
      <c r="G46" s="171" t="s">
        <v>11</v>
      </c>
      <c r="H46" s="158">
        <f>H45/H44*100</f>
        <v>15.963855421686745</v>
      </c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</row>
    <row r="47" spans="1:22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</row>
    <row r="48" spans="1:22" x14ac:dyDescent="0.25">
      <c r="A48" s="315" t="s">
        <v>58</v>
      </c>
      <c r="B48" s="316"/>
      <c r="C48" s="127"/>
      <c r="D48" s="315" t="s">
        <v>239</v>
      </c>
      <c r="E48" s="316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</row>
    <row r="49" spans="1:10" x14ac:dyDescent="0.25">
      <c r="A49" s="163" t="s">
        <v>28</v>
      </c>
      <c r="B49" s="163">
        <v>28</v>
      </c>
      <c r="C49" s="127"/>
      <c r="D49" s="163" t="s">
        <v>28</v>
      </c>
      <c r="E49" s="163">
        <v>16</v>
      </c>
      <c r="F49" s="127"/>
      <c r="G49" s="127"/>
      <c r="H49" s="127"/>
      <c r="I49" s="127"/>
      <c r="J49" s="127"/>
    </row>
    <row r="50" spans="1:10" x14ac:dyDescent="0.25">
      <c r="A50" s="185" t="s">
        <v>228</v>
      </c>
      <c r="B50" s="167">
        <v>4</v>
      </c>
      <c r="C50" s="127"/>
      <c r="D50" s="187" t="s">
        <v>238</v>
      </c>
      <c r="E50" s="167">
        <v>0</v>
      </c>
      <c r="F50" s="127"/>
      <c r="G50" s="127"/>
      <c r="H50" s="127"/>
      <c r="I50" s="127"/>
      <c r="J50" s="127"/>
    </row>
    <row r="51" spans="1:10" x14ac:dyDescent="0.25">
      <c r="A51" s="128" t="s">
        <v>5</v>
      </c>
      <c r="B51" s="158">
        <f>B50/B49*100</f>
        <v>14.285714285714285</v>
      </c>
      <c r="C51" s="127"/>
      <c r="D51" s="128" t="s">
        <v>5</v>
      </c>
      <c r="E51" s="158">
        <f>E50/E49*100</f>
        <v>0</v>
      </c>
      <c r="F51" s="127"/>
      <c r="G51" s="127"/>
      <c r="H51" s="127"/>
      <c r="I51" s="127"/>
      <c r="J51" s="127"/>
    </row>
    <row r="52" spans="1:10" x14ac:dyDescent="0.25">
      <c r="A52" s="127"/>
      <c r="B52" s="127"/>
      <c r="C52" s="127"/>
      <c r="D52" s="127"/>
      <c r="E52" s="127"/>
      <c r="F52" s="127"/>
      <c r="G52" s="127"/>
      <c r="H52" s="127"/>
      <c r="I52" s="127"/>
      <c r="J52" s="127"/>
    </row>
    <row r="53" spans="1:1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</row>
    <row r="54" spans="1:10" x14ac:dyDescent="0.25">
      <c r="A54" s="313" t="s">
        <v>208</v>
      </c>
      <c r="B54" s="313"/>
      <c r="C54" s="313"/>
      <c r="D54" s="313"/>
      <c r="E54" s="313"/>
      <c r="F54" s="313"/>
      <c r="G54" s="313"/>
      <c r="H54" s="313"/>
      <c r="I54" s="313"/>
      <c r="J54" s="313"/>
    </row>
    <row r="55" spans="1:10" x14ac:dyDescent="0.25">
      <c r="A55" s="341">
        <v>10305508</v>
      </c>
      <c r="B55" s="341"/>
      <c r="C55" s="341" t="s">
        <v>252</v>
      </c>
      <c r="D55" s="341"/>
      <c r="E55" s="468" t="s">
        <v>112</v>
      </c>
      <c r="F55" s="468"/>
      <c r="G55" s="468"/>
      <c r="H55" s="478" t="s">
        <v>256</v>
      </c>
      <c r="I55" s="442"/>
      <c r="J55" s="442"/>
    </row>
    <row r="56" spans="1:10" x14ac:dyDescent="0.25">
      <c r="A56" s="475"/>
      <c r="B56" s="475"/>
      <c r="C56" s="203"/>
      <c r="D56" s="203"/>
      <c r="E56" s="476"/>
      <c r="F56" s="476"/>
      <c r="G56" s="476"/>
      <c r="H56" s="477"/>
      <c r="I56" s="437"/>
      <c r="J56" s="437"/>
    </row>
    <row r="57" spans="1:10" x14ac:dyDescent="0.25">
      <c r="A57" s="475"/>
      <c r="B57" s="475"/>
      <c r="C57" s="203"/>
      <c r="D57" s="203"/>
      <c r="E57" s="476"/>
      <c r="F57" s="476"/>
      <c r="G57" s="476"/>
      <c r="H57" s="477"/>
      <c r="I57" s="437"/>
      <c r="J57" s="437"/>
    </row>
    <row r="58" spans="1:10" x14ac:dyDescent="0.25">
      <c r="A58" s="475"/>
      <c r="B58" s="475"/>
      <c r="C58" s="476"/>
      <c r="D58" s="476"/>
      <c r="E58" s="476"/>
      <c r="F58" s="476"/>
      <c r="G58" s="476"/>
      <c r="H58" s="477"/>
      <c r="I58" s="437"/>
      <c r="J58" s="437"/>
    </row>
  </sheetData>
  <mergeCells count="54">
    <mergeCell ref="A1:B1"/>
    <mergeCell ref="D1:E1"/>
    <mergeCell ref="A9:B9"/>
    <mergeCell ref="D9:E9"/>
    <mergeCell ref="G9:H9"/>
    <mergeCell ref="M9:N9"/>
    <mergeCell ref="P9:Q9"/>
    <mergeCell ref="S9:T9"/>
    <mergeCell ref="A17:B17"/>
    <mergeCell ref="D17:E17"/>
    <mergeCell ref="G17:H17"/>
    <mergeCell ref="J17:K17"/>
    <mergeCell ref="M17:N17"/>
    <mergeCell ref="P17:Q17"/>
    <mergeCell ref="S17:T17"/>
    <mergeCell ref="J9:K9"/>
    <mergeCell ref="S27:T27"/>
    <mergeCell ref="A34:B34"/>
    <mergeCell ref="D34:E34"/>
    <mergeCell ref="G34:H34"/>
    <mergeCell ref="J34:K34"/>
    <mergeCell ref="M34:N34"/>
    <mergeCell ref="P34:Q34"/>
    <mergeCell ref="S34:T34"/>
    <mergeCell ref="A27:B27"/>
    <mergeCell ref="D27:E27"/>
    <mergeCell ref="G27:H27"/>
    <mergeCell ref="J27:K27"/>
    <mergeCell ref="M27:N27"/>
    <mergeCell ref="P27:Q27"/>
    <mergeCell ref="S39:T39"/>
    <mergeCell ref="A48:B48"/>
    <mergeCell ref="D48:E48"/>
    <mergeCell ref="A54:J54"/>
    <mergeCell ref="C55:D55"/>
    <mergeCell ref="E55:G55"/>
    <mergeCell ref="H55:J55"/>
    <mergeCell ref="A39:B39"/>
    <mergeCell ref="D39:E39"/>
    <mergeCell ref="G39:H39"/>
    <mergeCell ref="J39:K39"/>
    <mergeCell ref="M39:N39"/>
    <mergeCell ref="P39:Q39"/>
    <mergeCell ref="A55:B55"/>
    <mergeCell ref="A58:B58"/>
    <mergeCell ref="C58:D58"/>
    <mergeCell ref="E58:G58"/>
    <mergeCell ref="H58:J58"/>
    <mergeCell ref="A56:B56"/>
    <mergeCell ref="E56:G56"/>
    <mergeCell ref="H56:J56"/>
    <mergeCell ref="A57:B57"/>
    <mergeCell ref="E57:G57"/>
    <mergeCell ref="H57:J57"/>
  </mergeCells>
  <conditionalFormatting sqref="A55">
    <cfRule type="duplicateValues" dxfId="2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E9EC-F5F5-4405-966A-844272936888}">
  <dimension ref="A1:T61"/>
  <sheetViews>
    <sheetView topLeftCell="A26" zoomScale="77" zoomScaleNormal="77" workbookViewId="0">
      <selection activeCell="E29" sqref="E29"/>
    </sheetView>
  </sheetViews>
  <sheetFormatPr baseColWidth="10" defaultRowHeight="15" x14ac:dyDescent="0.25"/>
  <cols>
    <col min="1" max="1" width="25.42578125" bestFit="1" customWidth="1"/>
    <col min="2" max="2" width="25.42578125" customWidth="1"/>
    <col min="4" max="4" width="23.85546875" customWidth="1"/>
    <col min="5" max="5" width="14" customWidth="1"/>
    <col min="7" max="7" width="24" bestFit="1" customWidth="1"/>
    <col min="8" max="8" width="12.140625" customWidth="1"/>
    <col min="10" max="10" width="23.5703125" customWidth="1"/>
    <col min="13" max="13" width="16.5703125" customWidth="1"/>
    <col min="14" max="14" width="20.85546875" customWidth="1"/>
    <col min="16" max="16" width="22.28515625" customWidth="1"/>
    <col min="19" max="19" width="17.140625" customWidth="1"/>
    <col min="20" max="20" width="21.85546875" customWidth="1"/>
  </cols>
  <sheetData>
    <row r="1" spans="1:20" ht="23.2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128" t="s">
        <v>29</v>
      </c>
      <c r="B2" s="129">
        <v>589</v>
      </c>
      <c r="C2" s="127"/>
      <c r="D2" s="127"/>
      <c r="E2" s="127"/>
      <c r="F2" s="127"/>
      <c r="G2" s="127"/>
      <c r="H2" s="127"/>
    </row>
    <row r="3" spans="1:20" x14ac:dyDescent="0.25">
      <c r="A3" s="128" t="s">
        <v>30</v>
      </c>
      <c r="B3" s="189">
        <v>1</v>
      </c>
      <c r="C3" s="127"/>
      <c r="D3" s="127"/>
      <c r="E3" s="206"/>
      <c r="F3" s="127"/>
      <c r="G3" s="199"/>
      <c r="H3" s="127"/>
    </row>
    <row r="4" spans="1:20" x14ac:dyDescent="0.25">
      <c r="A4" s="128" t="s">
        <v>3</v>
      </c>
      <c r="B4" s="132">
        <f>B2+B3</f>
        <v>590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134" t="s">
        <v>42</v>
      </c>
      <c r="B6" s="135">
        <v>65</v>
      </c>
      <c r="C6" s="127"/>
      <c r="D6" s="188" t="s">
        <v>43</v>
      </c>
      <c r="E6" s="136">
        <v>0</v>
      </c>
      <c r="F6" s="206"/>
      <c r="G6" s="128" t="s">
        <v>44</v>
      </c>
      <c r="H6" s="136">
        <f>SUM(B6+E6)</f>
        <v>65</v>
      </c>
    </row>
    <row r="7" spans="1:20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11.016949152542372</v>
      </c>
    </row>
    <row r="10" spans="1:20" x14ac:dyDescent="0.25">
      <c r="A10" s="317" t="s">
        <v>65</v>
      </c>
      <c r="B10" s="318"/>
      <c r="C10" s="127"/>
      <c r="D10" s="313" t="s">
        <v>24</v>
      </c>
      <c r="E10" s="314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128" t="s">
        <v>28</v>
      </c>
      <c r="B11" s="128">
        <f>SUM(E11+H11+K11+N11+Q11+T11)</f>
        <v>88</v>
      </c>
      <c r="C11" s="127"/>
      <c r="D11" s="190" t="s">
        <v>29</v>
      </c>
      <c r="E11" s="190">
        <v>49</v>
      </c>
      <c r="F11" s="127"/>
      <c r="G11" s="190" t="s">
        <v>29</v>
      </c>
      <c r="H11" s="190">
        <v>21</v>
      </c>
      <c r="I11" s="127"/>
      <c r="J11" s="190" t="s">
        <v>29</v>
      </c>
      <c r="K11" s="190">
        <v>1</v>
      </c>
      <c r="L11" s="127"/>
      <c r="M11" s="190" t="s">
        <v>29</v>
      </c>
      <c r="N11" s="190">
        <v>1</v>
      </c>
      <c r="O11" s="127"/>
      <c r="P11" s="190" t="s">
        <v>29</v>
      </c>
      <c r="Q11" s="190">
        <v>10</v>
      </c>
      <c r="R11" s="127"/>
      <c r="S11" s="128" t="s">
        <v>29</v>
      </c>
      <c r="T11" s="128">
        <v>6</v>
      </c>
    </row>
    <row r="12" spans="1:20" x14ac:dyDescent="0.25">
      <c r="A12" s="128" t="s">
        <v>30</v>
      </c>
      <c r="B12" s="128">
        <v>0</v>
      </c>
      <c r="C12" s="127"/>
      <c r="D12" s="128" t="s">
        <v>30</v>
      </c>
      <c r="E12" s="174">
        <v>0</v>
      </c>
      <c r="F12" s="127"/>
      <c r="G12" s="128" t="s">
        <v>30</v>
      </c>
      <c r="H12" s="128">
        <v>0</v>
      </c>
      <c r="I12" s="127"/>
      <c r="J12" s="128" t="s">
        <v>30</v>
      </c>
      <c r="K12" s="128">
        <v>0</v>
      </c>
      <c r="L12" s="127"/>
      <c r="M12" s="128" t="s">
        <v>30</v>
      </c>
      <c r="N12" s="128">
        <v>0</v>
      </c>
      <c r="O12" s="127"/>
      <c r="P12" s="128" t="s">
        <v>30</v>
      </c>
      <c r="Q12" s="128">
        <v>0</v>
      </c>
      <c r="R12" s="127"/>
      <c r="S12" s="128" t="s">
        <v>30</v>
      </c>
      <c r="T12" s="128">
        <v>0</v>
      </c>
    </row>
    <row r="13" spans="1:20" x14ac:dyDescent="0.25">
      <c r="A13" s="140" t="s">
        <v>125</v>
      </c>
      <c r="B13" s="140">
        <f>B11+B12</f>
        <v>88</v>
      </c>
      <c r="C13" s="127"/>
      <c r="D13" s="140" t="s">
        <v>125</v>
      </c>
      <c r="E13" s="140">
        <f>E11+E12</f>
        <v>49</v>
      </c>
      <c r="F13" s="127"/>
      <c r="G13" s="140" t="s">
        <v>125</v>
      </c>
      <c r="H13" s="140">
        <f>SUM(H11+H12)</f>
        <v>21</v>
      </c>
      <c r="I13" s="127"/>
      <c r="J13" s="140" t="s">
        <v>125</v>
      </c>
      <c r="K13" s="140">
        <f>SUM(K11+K12)</f>
        <v>1</v>
      </c>
      <c r="L13" s="127"/>
      <c r="M13" s="140" t="s">
        <v>125</v>
      </c>
      <c r="N13" s="140">
        <f>N11+N12</f>
        <v>1</v>
      </c>
      <c r="O13" s="127"/>
      <c r="P13" s="140" t="s">
        <v>125</v>
      </c>
      <c r="Q13" s="140">
        <f>SUM(Q11+Q12)</f>
        <v>10</v>
      </c>
      <c r="R13" s="127"/>
      <c r="S13" s="140" t="s">
        <v>125</v>
      </c>
      <c r="T13" s="140">
        <f>T11+T12</f>
        <v>6</v>
      </c>
    </row>
    <row r="14" spans="1:20" x14ac:dyDescent="0.25">
      <c r="A14" s="128" t="s">
        <v>66</v>
      </c>
      <c r="B14" s="141">
        <f>SUM(E14+H14+K14+N14+Q14+T14)</f>
        <v>15</v>
      </c>
      <c r="D14" s="128" t="s">
        <v>136</v>
      </c>
      <c r="E14" s="141">
        <v>10</v>
      </c>
      <c r="F14" s="127"/>
      <c r="G14" s="128" t="s">
        <v>136</v>
      </c>
      <c r="H14" s="141">
        <v>3</v>
      </c>
      <c r="I14" s="127"/>
      <c r="J14" s="128" t="s">
        <v>4</v>
      </c>
      <c r="K14" s="141">
        <v>0</v>
      </c>
      <c r="L14" s="127"/>
      <c r="M14" s="128" t="s">
        <v>136</v>
      </c>
      <c r="N14" s="141">
        <v>0</v>
      </c>
      <c r="O14" s="127"/>
      <c r="P14" s="128" t="s">
        <v>136</v>
      </c>
      <c r="Q14" s="141">
        <v>1</v>
      </c>
      <c r="R14" s="127"/>
      <c r="S14" s="128" t="s">
        <v>4</v>
      </c>
      <c r="T14" s="142">
        <v>1</v>
      </c>
    </row>
    <row r="15" spans="1:20" x14ac:dyDescent="0.25">
      <c r="A15" s="128" t="s">
        <v>5</v>
      </c>
      <c r="B15" s="143">
        <f>B14/B13*100</f>
        <v>17.045454545454543</v>
      </c>
      <c r="C15" s="127"/>
      <c r="D15" s="128" t="s">
        <v>5</v>
      </c>
      <c r="E15" s="143">
        <f>E14/E13*100</f>
        <v>20.408163265306122</v>
      </c>
      <c r="F15" s="127"/>
      <c r="G15" s="128" t="s">
        <v>5</v>
      </c>
      <c r="H15" s="143">
        <f>H14/H13*100</f>
        <v>14.285714285714285</v>
      </c>
      <c r="I15" s="127"/>
      <c r="J15" s="128" t="s">
        <v>5</v>
      </c>
      <c r="K15" s="144">
        <f>K14/K13*100</f>
        <v>0</v>
      </c>
      <c r="L15" s="127"/>
      <c r="M15" s="128" t="s">
        <v>5</v>
      </c>
      <c r="N15" s="145">
        <f>N14/N13*100</f>
        <v>0</v>
      </c>
      <c r="O15" s="127"/>
      <c r="P15" s="128" t="s">
        <v>5</v>
      </c>
      <c r="Q15" s="145">
        <f>Q14/Q13*100</f>
        <v>10</v>
      </c>
      <c r="R15" s="127"/>
      <c r="S15" s="128" t="s">
        <v>5</v>
      </c>
      <c r="T15" s="144">
        <f>T14/T13*100</f>
        <v>16.666666666666664</v>
      </c>
    </row>
    <row r="16" spans="1:20" x14ac:dyDescent="0.25">
      <c r="A16" s="130"/>
      <c r="B16" s="130"/>
      <c r="D16" s="130"/>
      <c r="E16" s="146"/>
      <c r="F16" s="147"/>
      <c r="G16" s="148"/>
      <c r="H16" s="146"/>
      <c r="I16" s="147"/>
      <c r="J16" s="148"/>
      <c r="K16" s="149"/>
      <c r="L16" s="147"/>
      <c r="M16" s="130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130"/>
      <c r="F17" s="130"/>
      <c r="G17" s="147"/>
      <c r="H17" s="147"/>
      <c r="I17" s="147"/>
      <c r="J17" s="147"/>
      <c r="K17" s="147"/>
      <c r="L17" s="147"/>
      <c r="M17" s="151"/>
      <c r="N17" s="127"/>
      <c r="O17" s="127"/>
      <c r="P17" s="127"/>
      <c r="Q17" s="127"/>
      <c r="R17" s="127"/>
      <c r="S17" s="127"/>
      <c r="T17" s="127"/>
    </row>
    <row r="18" spans="1:20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f>SUM(E19+H19+K19+N19+Q19+T19)</f>
        <v>44</v>
      </c>
      <c r="C19" s="147"/>
      <c r="D19" s="154" t="s">
        <v>29</v>
      </c>
      <c r="E19" s="154">
        <v>27</v>
      </c>
      <c r="F19" s="127"/>
      <c r="G19" s="154" t="s">
        <v>29</v>
      </c>
      <c r="H19" s="60">
        <v>7</v>
      </c>
      <c r="I19" s="127"/>
      <c r="J19" s="154" t="s">
        <v>29</v>
      </c>
      <c r="K19" s="154">
        <v>1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5</v>
      </c>
      <c r="R19" s="127"/>
      <c r="S19" s="154" t="s">
        <v>29</v>
      </c>
      <c r="T19" s="60">
        <v>2</v>
      </c>
    </row>
    <row r="20" spans="1:20" x14ac:dyDescent="0.25">
      <c r="A20" s="140" t="s">
        <v>125</v>
      </c>
      <c r="B20" s="155">
        <f>B19</f>
        <v>44</v>
      </c>
      <c r="C20" s="127"/>
      <c r="D20" s="140" t="s">
        <v>125</v>
      </c>
      <c r="E20" s="156">
        <v>27</v>
      </c>
      <c r="F20" s="127"/>
      <c r="G20" s="140" t="s">
        <v>125</v>
      </c>
      <c r="H20" s="156">
        <v>7</v>
      </c>
      <c r="I20" s="127"/>
      <c r="J20" s="140" t="s">
        <v>125</v>
      </c>
      <c r="K20" s="156">
        <v>1</v>
      </c>
      <c r="L20" s="127"/>
      <c r="M20" s="140" t="s">
        <v>125</v>
      </c>
      <c r="N20" s="156">
        <v>2</v>
      </c>
      <c r="O20" s="127"/>
      <c r="P20" s="140" t="s">
        <v>125</v>
      </c>
      <c r="Q20" s="156">
        <v>5</v>
      </c>
      <c r="R20" s="127"/>
      <c r="S20" s="155" t="s">
        <v>125</v>
      </c>
      <c r="T20" s="154">
        <v>2</v>
      </c>
    </row>
    <row r="21" spans="1:20" x14ac:dyDescent="0.25">
      <c r="A21" s="128" t="s">
        <v>72</v>
      </c>
      <c r="B21" s="141">
        <v>1</v>
      </c>
      <c r="C21" s="127"/>
      <c r="D21" s="128" t="s">
        <v>73</v>
      </c>
      <c r="E21" s="141">
        <v>1</v>
      </c>
      <c r="F21" s="127"/>
      <c r="G21" s="128" t="s">
        <v>74</v>
      </c>
      <c r="H21" s="140">
        <v>0</v>
      </c>
      <c r="I21" s="127"/>
      <c r="J21" s="128" t="s">
        <v>75</v>
      </c>
      <c r="K21" s="140">
        <v>0</v>
      </c>
      <c r="L21" s="127"/>
      <c r="M21" s="128" t="s">
        <v>76</v>
      </c>
      <c r="N21" s="140">
        <v>0</v>
      </c>
      <c r="O21" s="127"/>
      <c r="P21" s="191" t="s">
        <v>245</v>
      </c>
      <c r="Q21" s="142">
        <v>0</v>
      </c>
      <c r="R21" s="127"/>
      <c r="S21" s="193" t="s">
        <v>133</v>
      </c>
      <c r="T21" s="194">
        <v>0</v>
      </c>
    </row>
    <row r="22" spans="1:20" x14ac:dyDescent="0.25">
      <c r="A22" s="157" t="s">
        <v>5</v>
      </c>
      <c r="B22" s="145">
        <f>B21/B20*100</f>
        <v>2.2727272727272729</v>
      </c>
      <c r="C22" s="127"/>
      <c r="D22" s="128" t="s">
        <v>5</v>
      </c>
      <c r="E22" s="158">
        <f>E21/E20*100</f>
        <v>3.7037037037037033</v>
      </c>
      <c r="F22" s="133"/>
      <c r="G22" s="128" t="s">
        <v>5</v>
      </c>
      <c r="H22" s="145">
        <f>H21/H20*100</f>
        <v>0</v>
      </c>
      <c r="I22" s="127"/>
      <c r="J22" s="128" t="s">
        <v>5</v>
      </c>
      <c r="K22" s="145">
        <f>K21/K20*100</f>
        <v>0</v>
      </c>
      <c r="L22" s="127"/>
      <c r="M22" s="128" t="s">
        <v>5</v>
      </c>
      <c r="N22" s="145">
        <f>N21/N20*100</f>
        <v>0</v>
      </c>
      <c r="O22" s="127"/>
      <c r="P22" s="128" t="s">
        <v>5</v>
      </c>
      <c r="Q22" s="144">
        <f>Q21/Q20*100</f>
        <v>0</v>
      </c>
      <c r="R22" s="127"/>
      <c r="S22" s="190" t="s">
        <v>5</v>
      </c>
      <c r="T22" s="192">
        <f>T21/T20*100</f>
        <v>0</v>
      </c>
    </row>
    <row r="23" spans="1:20" x14ac:dyDescent="0.25">
      <c r="A23" s="148"/>
      <c r="B23" s="159"/>
      <c r="C23" s="127"/>
      <c r="D23" s="148"/>
      <c r="E23" s="159"/>
      <c r="F23" s="160"/>
      <c r="G23" s="130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132</v>
      </c>
      <c r="C24" s="127"/>
      <c r="D24" s="127"/>
      <c r="E24" s="127"/>
      <c r="F24" s="127"/>
      <c r="G24" s="127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16</v>
      </c>
      <c r="C25" s="127"/>
      <c r="D25" s="148"/>
      <c r="E25" s="148"/>
      <c r="F25" s="160"/>
      <c r="H25" s="150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12.121212121212121</v>
      </c>
      <c r="C26" s="127"/>
      <c r="D26" s="148"/>
      <c r="E26" s="148"/>
      <c r="F26" s="160"/>
      <c r="G26" s="130"/>
      <c r="H26" s="196"/>
      <c r="I26" s="127"/>
      <c r="J26" s="130"/>
      <c r="K26" s="150"/>
      <c r="L26" s="127"/>
      <c r="M26" s="130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48"/>
      <c r="E27" s="148"/>
      <c r="F27" s="127"/>
      <c r="G27" s="127"/>
      <c r="H27" s="127"/>
      <c r="I27" s="127"/>
      <c r="J27" s="127"/>
      <c r="K27" s="147"/>
      <c r="L27" s="127"/>
      <c r="M27" s="151"/>
      <c r="N27" s="127"/>
      <c r="O27" s="127"/>
      <c r="P27" s="127"/>
      <c r="Q27" s="127"/>
      <c r="R27" s="127"/>
      <c r="S27" s="127"/>
      <c r="T27" s="127"/>
    </row>
    <row r="28" spans="1:20" x14ac:dyDescent="0.25">
      <c r="A28" s="315" t="s">
        <v>137</v>
      </c>
      <c r="B28" s="316"/>
      <c r="C28" s="127"/>
      <c r="D28" s="384" t="s">
        <v>104</v>
      </c>
      <c r="E28" s="384"/>
      <c r="F28" s="127"/>
      <c r="G28" s="315" t="s">
        <v>105</v>
      </c>
      <c r="H28" s="316"/>
      <c r="I28" s="127"/>
      <c r="J28" s="315" t="s">
        <v>106</v>
      </c>
      <c r="K28" s="316"/>
      <c r="L28" s="127"/>
      <c r="M28" s="315" t="s">
        <v>36</v>
      </c>
      <c r="N28" s="316"/>
      <c r="O28" s="127"/>
      <c r="P28" s="315" t="s">
        <v>93</v>
      </c>
      <c r="Q28" s="316"/>
      <c r="R28" s="127"/>
      <c r="S28" s="315" t="s">
        <v>94</v>
      </c>
      <c r="T28" s="316"/>
    </row>
    <row r="29" spans="1:20" x14ac:dyDescent="0.25">
      <c r="A29" s="128" t="s">
        <v>28</v>
      </c>
      <c r="B29" s="128">
        <v>74</v>
      </c>
      <c r="C29" s="208"/>
      <c r="D29" s="128" t="s">
        <v>28</v>
      </c>
      <c r="E29" s="128">
        <v>145</v>
      </c>
      <c r="F29" s="127"/>
      <c r="G29" s="128" t="s">
        <v>28</v>
      </c>
      <c r="H29" s="128">
        <v>70</v>
      </c>
      <c r="I29" s="127"/>
      <c r="J29" s="128" t="s">
        <v>28</v>
      </c>
      <c r="K29" s="128">
        <v>6</v>
      </c>
      <c r="L29" s="127"/>
      <c r="M29" s="128" t="s">
        <v>28</v>
      </c>
      <c r="N29" s="128">
        <v>10</v>
      </c>
      <c r="O29" s="127"/>
      <c r="P29" s="128" t="s">
        <v>28</v>
      </c>
      <c r="Q29" s="128">
        <v>23</v>
      </c>
      <c r="R29" s="127"/>
      <c r="S29" s="128" t="s">
        <v>28</v>
      </c>
      <c r="T29" s="128">
        <v>10</v>
      </c>
    </row>
    <row r="30" spans="1:20" x14ac:dyDescent="0.25">
      <c r="A30" s="128" t="s">
        <v>30</v>
      </c>
      <c r="B30" s="174">
        <v>0</v>
      </c>
      <c r="C30" s="127"/>
      <c r="D30" s="128" t="s">
        <v>30</v>
      </c>
      <c r="E30" s="174">
        <v>0</v>
      </c>
      <c r="F30" s="127"/>
      <c r="G30" s="128" t="s">
        <v>30</v>
      </c>
      <c r="H30" s="174">
        <v>1</v>
      </c>
      <c r="I30" s="127"/>
      <c r="J30" s="128" t="s">
        <v>30</v>
      </c>
      <c r="K30" s="128">
        <v>0</v>
      </c>
      <c r="L30" s="127"/>
      <c r="M30" s="128" t="s">
        <v>30</v>
      </c>
      <c r="N30" s="128">
        <v>0</v>
      </c>
      <c r="O30" s="127"/>
      <c r="P30" s="128" t="s">
        <v>30</v>
      </c>
      <c r="Q30" s="128">
        <v>0</v>
      </c>
      <c r="R30" s="127"/>
      <c r="S30" s="128" t="s">
        <v>30</v>
      </c>
      <c r="T30" s="128">
        <v>0</v>
      </c>
    </row>
    <row r="31" spans="1:20" x14ac:dyDescent="0.25">
      <c r="A31" s="163" t="s">
        <v>125</v>
      </c>
      <c r="B31" s="163">
        <f>SUM(B29+B30)</f>
        <v>74</v>
      </c>
      <c r="C31" s="127"/>
      <c r="D31" s="163" t="s">
        <v>125</v>
      </c>
      <c r="E31" s="163">
        <f>SUM(E29+E30)</f>
        <v>145</v>
      </c>
      <c r="F31" s="127"/>
      <c r="G31" s="163" t="s">
        <v>125</v>
      </c>
      <c r="H31" s="163">
        <f>SUM(H29+H30)</f>
        <v>71</v>
      </c>
      <c r="I31" s="127"/>
      <c r="J31" s="163" t="s">
        <v>125</v>
      </c>
      <c r="K31" s="163">
        <v>6</v>
      </c>
      <c r="L31" s="127"/>
      <c r="M31" s="163" t="s">
        <v>125</v>
      </c>
      <c r="N31" s="163">
        <v>10</v>
      </c>
      <c r="O31" s="127"/>
      <c r="P31" s="163" t="s">
        <v>125</v>
      </c>
      <c r="Q31" s="163">
        <v>23</v>
      </c>
      <c r="R31" s="127"/>
      <c r="S31" s="163" t="s">
        <v>125</v>
      </c>
      <c r="T31" s="163">
        <f>T29+T30</f>
        <v>10</v>
      </c>
    </row>
    <row r="32" spans="1:20" x14ac:dyDescent="0.25">
      <c r="A32" s="184" t="s">
        <v>4</v>
      </c>
      <c r="B32" s="164">
        <v>3</v>
      </c>
      <c r="C32" s="127"/>
      <c r="D32" s="128" t="s">
        <v>4</v>
      </c>
      <c r="E32" s="165">
        <v>21</v>
      </c>
      <c r="F32" s="127"/>
      <c r="G32" s="128" t="s">
        <v>4</v>
      </c>
      <c r="H32" s="164">
        <v>17</v>
      </c>
      <c r="I32" s="127"/>
      <c r="J32" s="128" t="s">
        <v>4</v>
      </c>
      <c r="K32" s="166">
        <v>0</v>
      </c>
      <c r="L32" s="127"/>
      <c r="M32" s="128" t="s">
        <v>4</v>
      </c>
      <c r="N32" s="167">
        <v>0</v>
      </c>
      <c r="O32" s="127"/>
      <c r="P32" s="128" t="s">
        <v>4</v>
      </c>
      <c r="Q32" s="167">
        <v>0</v>
      </c>
      <c r="R32" s="127"/>
      <c r="S32" s="184" t="s">
        <v>4</v>
      </c>
      <c r="T32" s="167">
        <v>2</v>
      </c>
    </row>
    <row r="33" spans="1:20" x14ac:dyDescent="0.25">
      <c r="A33" s="128" t="s">
        <v>5</v>
      </c>
      <c r="B33" s="162">
        <f>B32/B31*100</f>
        <v>4.0540540540540544</v>
      </c>
      <c r="C33" s="127"/>
      <c r="D33" s="128" t="s">
        <v>5</v>
      </c>
      <c r="E33" s="162">
        <f>E32/E31*100</f>
        <v>14.482758620689657</v>
      </c>
      <c r="F33" s="127"/>
      <c r="G33" s="128" t="s">
        <v>5</v>
      </c>
      <c r="H33" s="162">
        <f>H32/H31*100</f>
        <v>23.943661971830984</v>
      </c>
      <c r="I33" s="127"/>
      <c r="J33" s="128" t="s">
        <v>5</v>
      </c>
      <c r="K33" s="162">
        <f>K32/K31*100%</f>
        <v>0</v>
      </c>
      <c r="L33" s="127"/>
      <c r="M33" s="128" t="s">
        <v>5</v>
      </c>
      <c r="N33" s="162">
        <f>N32/N31*100%</f>
        <v>0</v>
      </c>
      <c r="O33" s="127"/>
      <c r="P33" s="128" t="s">
        <v>5</v>
      </c>
      <c r="Q33" s="162">
        <f>Q32/Q31*100%</f>
        <v>0</v>
      </c>
      <c r="R33" s="127"/>
      <c r="S33" s="128" t="s">
        <v>5</v>
      </c>
      <c r="T33" s="195">
        <f>T32/T31*100</f>
        <v>20</v>
      </c>
    </row>
    <row r="34" spans="1:20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30"/>
      <c r="O34" s="127"/>
      <c r="P34" s="127"/>
      <c r="Q34" s="127"/>
      <c r="R34" s="127"/>
      <c r="S34" s="127"/>
      <c r="T34" s="127"/>
    </row>
    <row r="35" spans="1:20" x14ac:dyDescent="0.25">
      <c r="A35" s="315" t="s">
        <v>77</v>
      </c>
      <c r="B35" s="316"/>
      <c r="C35" s="127"/>
      <c r="D35" s="313" t="s">
        <v>48</v>
      </c>
      <c r="E35" s="313"/>
      <c r="F35" s="147"/>
      <c r="G35" s="315" t="s">
        <v>49</v>
      </c>
      <c r="H35" s="316"/>
      <c r="I35" s="127"/>
      <c r="J35" s="315" t="s">
        <v>108</v>
      </c>
      <c r="K35" s="316"/>
      <c r="L35" s="127"/>
      <c r="M35" s="315" t="s">
        <v>51</v>
      </c>
      <c r="N35" s="316"/>
      <c r="O35" s="127"/>
      <c r="P35" s="315" t="s">
        <v>98</v>
      </c>
      <c r="Q35" s="316"/>
      <c r="R35" s="127"/>
      <c r="S35" s="315" t="s">
        <v>97</v>
      </c>
      <c r="T35" s="316"/>
    </row>
    <row r="36" spans="1:20" x14ac:dyDescent="0.25">
      <c r="A36" s="163" t="s">
        <v>28</v>
      </c>
      <c r="B36" s="163">
        <v>73</v>
      </c>
      <c r="C36" s="208"/>
      <c r="D36" s="200" t="s">
        <v>28</v>
      </c>
      <c r="E36" s="200">
        <v>22</v>
      </c>
      <c r="F36" s="127"/>
      <c r="G36" s="163" t="s">
        <v>28</v>
      </c>
      <c r="H36" s="163">
        <v>8</v>
      </c>
      <c r="I36" s="127"/>
      <c r="J36" s="163" t="s">
        <v>28</v>
      </c>
      <c r="K36" s="163">
        <v>1</v>
      </c>
      <c r="L36" s="127"/>
      <c r="M36" s="163" t="s">
        <v>28</v>
      </c>
      <c r="N36" s="163">
        <v>2</v>
      </c>
      <c r="O36" s="127"/>
      <c r="P36" s="163" t="s">
        <v>28</v>
      </c>
      <c r="Q36" s="163">
        <v>5</v>
      </c>
      <c r="R36" s="127"/>
      <c r="S36" s="163" t="s">
        <v>28</v>
      </c>
      <c r="T36" s="163">
        <v>2</v>
      </c>
    </row>
    <row r="37" spans="1:20" x14ac:dyDescent="0.25">
      <c r="A37" s="128" t="s">
        <v>78</v>
      </c>
      <c r="B37" s="169">
        <v>8</v>
      </c>
      <c r="C37" s="127"/>
      <c r="D37" s="193" t="s">
        <v>136</v>
      </c>
      <c r="E37" s="201">
        <v>1</v>
      </c>
      <c r="F37" s="127"/>
      <c r="G37" s="128" t="s">
        <v>4</v>
      </c>
      <c r="H37" s="167">
        <v>0</v>
      </c>
      <c r="I37" s="127"/>
      <c r="J37" s="128" t="s">
        <v>4</v>
      </c>
      <c r="K37" s="166">
        <v>0</v>
      </c>
      <c r="L37" s="127"/>
      <c r="M37" s="128" t="s">
        <v>4</v>
      </c>
      <c r="N37" s="166">
        <v>0</v>
      </c>
      <c r="O37" s="127"/>
      <c r="P37" s="128" t="s">
        <v>4</v>
      </c>
      <c r="Q37" s="166">
        <v>0</v>
      </c>
      <c r="R37" s="127"/>
      <c r="S37" s="128" t="s">
        <v>4</v>
      </c>
      <c r="T37" s="166">
        <v>0</v>
      </c>
    </row>
    <row r="38" spans="1:20" x14ac:dyDescent="0.25">
      <c r="A38" s="128" t="s">
        <v>5</v>
      </c>
      <c r="B38" s="158">
        <f>B37/B36*100</f>
        <v>10.95890410958904</v>
      </c>
      <c r="C38" s="127"/>
      <c r="D38" s="193" t="s">
        <v>5</v>
      </c>
      <c r="E38" s="202">
        <f>E37/E36*100</f>
        <v>4.5454545454545459</v>
      </c>
      <c r="F38" s="127"/>
      <c r="G38" s="128" t="s">
        <v>5</v>
      </c>
      <c r="H38" s="162">
        <f>H37/H36*100</f>
        <v>0</v>
      </c>
      <c r="I38" s="127"/>
      <c r="J38" s="128" t="s">
        <v>5</v>
      </c>
      <c r="K38" s="162">
        <f>K37/K36*100</f>
        <v>0</v>
      </c>
      <c r="L38" s="127"/>
      <c r="M38" s="128" t="s">
        <v>5</v>
      </c>
      <c r="N38" s="162">
        <f>N37/N36*100</f>
        <v>0</v>
      </c>
      <c r="O38" s="127"/>
      <c r="P38" s="128" t="s">
        <v>5</v>
      </c>
      <c r="Q38" s="162">
        <f>Q37/Q36*100</f>
        <v>0</v>
      </c>
      <c r="R38" s="127"/>
      <c r="S38" s="128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x14ac:dyDescent="0.25">
      <c r="A40" s="315" t="s">
        <v>116</v>
      </c>
      <c r="B40" s="316"/>
      <c r="C40" s="127"/>
      <c r="D40" s="384" t="s">
        <v>117</v>
      </c>
      <c r="E40" s="384"/>
      <c r="F40" s="127"/>
      <c r="G40" s="315" t="s">
        <v>118</v>
      </c>
      <c r="H40" s="316"/>
      <c r="I40" s="127"/>
      <c r="J40" s="315" t="s">
        <v>119</v>
      </c>
      <c r="K40" s="316"/>
      <c r="L40" s="127"/>
      <c r="M40" s="315" t="s">
        <v>120</v>
      </c>
      <c r="N40" s="316"/>
      <c r="O40" s="127"/>
      <c r="P40" s="315" t="s">
        <v>127</v>
      </c>
      <c r="Q40" s="316"/>
      <c r="R40" s="127"/>
      <c r="S40" s="315" t="s">
        <v>128</v>
      </c>
      <c r="T40" s="316"/>
    </row>
    <row r="41" spans="1:20" x14ac:dyDescent="0.25">
      <c r="A41" s="163" t="s">
        <v>28</v>
      </c>
      <c r="B41" s="163">
        <v>39</v>
      </c>
      <c r="C41" s="127"/>
      <c r="D41" s="163" t="s">
        <v>28</v>
      </c>
      <c r="E41" s="163">
        <v>16</v>
      </c>
      <c r="F41" s="127"/>
      <c r="G41" s="163" t="s">
        <v>28</v>
      </c>
      <c r="H41" s="163">
        <v>6</v>
      </c>
      <c r="I41" s="127"/>
      <c r="J41" s="163" t="s">
        <v>28</v>
      </c>
      <c r="K41" s="163">
        <v>2</v>
      </c>
      <c r="L41" s="127"/>
      <c r="M41" s="163" t="s">
        <v>28</v>
      </c>
      <c r="N41" s="163">
        <v>3</v>
      </c>
      <c r="O41" s="127"/>
      <c r="P41" s="163" t="s">
        <v>28</v>
      </c>
      <c r="Q41" s="163">
        <v>9</v>
      </c>
      <c r="R41" s="127"/>
      <c r="S41" s="163" t="s">
        <v>28</v>
      </c>
      <c r="T41" s="163">
        <v>3</v>
      </c>
    </row>
    <row r="42" spans="1:20" x14ac:dyDescent="0.25">
      <c r="A42" s="128" t="s">
        <v>121</v>
      </c>
      <c r="B42" s="167">
        <v>3</v>
      </c>
      <c r="C42" s="127"/>
      <c r="D42" s="128" t="s">
        <v>4</v>
      </c>
      <c r="E42" s="167">
        <v>0</v>
      </c>
      <c r="F42" s="127"/>
      <c r="G42" s="128" t="s">
        <v>4</v>
      </c>
      <c r="H42" s="167">
        <v>1</v>
      </c>
      <c r="I42" s="127"/>
      <c r="J42" s="128" t="s">
        <v>4</v>
      </c>
      <c r="K42" s="166">
        <v>1</v>
      </c>
      <c r="L42" s="127"/>
      <c r="M42" s="128" t="s">
        <v>4</v>
      </c>
      <c r="N42" s="166">
        <v>1</v>
      </c>
      <c r="O42" s="127"/>
      <c r="P42" s="128" t="s">
        <v>4</v>
      </c>
      <c r="Q42" s="166">
        <v>0</v>
      </c>
      <c r="R42" s="127"/>
      <c r="S42" s="128" t="s">
        <v>4</v>
      </c>
      <c r="T42" s="166">
        <v>0</v>
      </c>
    </row>
    <row r="43" spans="1:20" x14ac:dyDescent="0.25">
      <c r="A43" s="128" t="s">
        <v>5</v>
      </c>
      <c r="B43" s="158">
        <f>B42/B41*100</f>
        <v>7.6923076923076925</v>
      </c>
      <c r="C43" s="127"/>
      <c r="D43" s="128" t="s">
        <v>5</v>
      </c>
      <c r="E43" s="158">
        <f>E42/E41*100</f>
        <v>0</v>
      </c>
      <c r="F43" s="127"/>
      <c r="G43" s="128" t="s">
        <v>5</v>
      </c>
      <c r="H43" s="162">
        <f>H42/H41*100</f>
        <v>16.666666666666664</v>
      </c>
      <c r="I43" s="127"/>
      <c r="J43" s="128" t="s">
        <v>5</v>
      </c>
      <c r="K43" s="162">
        <f>K42/K41*100</f>
        <v>50</v>
      </c>
      <c r="L43" s="127"/>
      <c r="M43" s="128" t="s">
        <v>5</v>
      </c>
      <c r="N43" s="162">
        <f>N42/N41*100</f>
        <v>33.333333333333329</v>
      </c>
      <c r="O43" s="127"/>
      <c r="P43" s="128" t="s">
        <v>5</v>
      </c>
      <c r="Q43" s="162">
        <f>Q42/Q41*100</f>
        <v>0</v>
      </c>
      <c r="R43" s="127"/>
      <c r="S43" s="128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112</v>
      </c>
      <c r="C45" s="127"/>
      <c r="D45" s="127"/>
      <c r="E45" s="127"/>
      <c r="F45" s="127"/>
      <c r="G45" s="154" t="s">
        <v>123</v>
      </c>
      <c r="H45" s="154">
        <f>SUM(B31+B45)</f>
        <v>186</v>
      </c>
      <c r="I45" s="204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B37+B42</f>
        <v>11</v>
      </c>
      <c r="C46" s="127"/>
      <c r="D46" s="127"/>
      <c r="E46" s="127"/>
      <c r="F46" s="127"/>
      <c r="G46" s="154" t="s">
        <v>44</v>
      </c>
      <c r="H46" s="170">
        <f>SUM(B32+B37+B42)</f>
        <v>14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158">
        <f>B46/B45*100</f>
        <v>9.8214285714285712</v>
      </c>
      <c r="C47" s="127"/>
      <c r="D47" s="127"/>
      <c r="E47" s="127"/>
      <c r="F47" s="127"/>
      <c r="G47" s="171" t="s">
        <v>11</v>
      </c>
      <c r="H47" s="158">
        <f>H46/H45*100</f>
        <v>7.5268817204301079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x14ac:dyDescent="0.25">
      <c r="A49" s="315" t="s">
        <v>58</v>
      </c>
      <c r="B49" s="316"/>
      <c r="C49" s="127"/>
      <c r="D49" s="315" t="s">
        <v>239</v>
      </c>
      <c r="E49" s="31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spans="1:20" x14ac:dyDescent="0.25">
      <c r="A50" s="163" t="s">
        <v>28</v>
      </c>
      <c r="B50" s="163">
        <v>34</v>
      </c>
      <c r="C50" s="127"/>
      <c r="D50" s="163" t="s">
        <v>28</v>
      </c>
      <c r="E50" s="163">
        <v>16</v>
      </c>
      <c r="F50" s="127"/>
      <c r="G50" s="127"/>
      <c r="H50" s="127"/>
      <c r="I50" s="127"/>
      <c r="J50" s="127"/>
    </row>
    <row r="51" spans="1:20" x14ac:dyDescent="0.25">
      <c r="A51" s="185" t="s">
        <v>228</v>
      </c>
      <c r="B51" s="167">
        <v>2</v>
      </c>
      <c r="C51" s="127"/>
      <c r="D51" s="187" t="s">
        <v>238</v>
      </c>
      <c r="E51" s="167">
        <v>0</v>
      </c>
      <c r="F51" s="127"/>
      <c r="G51" s="127"/>
      <c r="H51" s="127"/>
      <c r="I51" s="127"/>
      <c r="J51" s="127"/>
    </row>
    <row r="52" spans="1:20" x14ac:dyDescent="0.25">
      <c r="A52" s="128" t="s">
        <v>5</v>
      </c>
      <c r="B52" s="158">
        <f>B51/B50*100</f>
        <v>5.8823529411764701</v>
      </c>
      <c r="C52" s="127"/>
      <c r="D52" s="128" t="s">
        <v>5</v>
      </c>
      <c r="E52" s="158">
        <f>E51/E50*100</f>
        <v>0</v>
      </c>
      <c r="F52" s="127"/>
      <c r="G52" s="127"/>
      <c r="H52" s="127"/>
      <c r="I52" s="127"/>
      <c r="J52" s="127"/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</row>
    <row r="54" spans="1:20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  <row r="55" spans="1:20" x14ac:dyDescent="0.25">
      <c r="A55" s="313" t="s">
        <v>208</v>
      </c>
      <c r="B55" s="313"/>
      <c r="C55" s="313"/>
      <c r="D55" s="313"/>
      <c r="E55" s="313"/>
      <c r="F55" s="313"/>
      <c r="G55" s="313"/>
      <c r="H55" s="313"/>
      <c r="I55" s="313"/>
      <c r="J55" s="313"/>
    </row>
    <row r="56" spans="1:20" x14ac:dyDescent="0.25">
      <c r="A56" s="341" t="s">
        <v>253</v>
      </c>
      <c r="B56" s="341"/>
      <c r="C56" s="341" t="s">
        <v>85</v>
      </c>
      <c r="D56" s="341"/>
      <c r="E56" s="468"/>
      <c r="F56" s="468"/>
      <c r="G56" s="468"/>
      <c r="H56" s="469"/>
      <c r="I56" s="442"/>
      <c r="J56" s="442"/>
    </row>
    <row r="57" spans="1:20" x14ac:dyDescent="0.25">
      <c r="A57" s="338" t="s">
        <v>254</v>
      </c>
      <c r="B57" s="340"/>
      <c r="C57" s="338" t="s">
        <v>53</v>
      </c>
      <c r="D57" s="340"/>
      <c r="E57" s="338"/>
      <c r="F57" s="339"/>
      <c r="G57" s="340"/>
      <c r="H57" s="338"/>
      <c r="I57" s="339"/>
      <c r="J57" s="340"/>
    </row>
    <row r="58" spans="1:20" x14ac:dyDescent="0.25">
      <c r="A58" s="338" t="s">
        <v>255</v>
      </c>
      <c r="B58" s="340"/>
      <c r="C58" s="338" t="s">
        <v>146</v>
      </c>
      <c r="D58" s="340"/>
      <c r="E58" s="338"/>
      <c r="F58" s="339"/>
      <c r="G58" s="340"/>
      <c r="H58" s="338"/>
      <c r="I58" s="339"/>
      <c r="J58" s="340"/>
    </row>
    <row r="59" spans="1:20" x14ac:dyDescent="0.25">
      <c r="A59" s="338"/>
      <c r="B59" s="340"/>
      <c r="C59" s="338"/>
      <c r="D59" s="340"/>
      <c r="E59" s="338"/>
      <c r="F59" s="339"/>
      <c r="G59" s="340"/>
      <c r="H59" s="338"/>
      <c r="I59" s="339"/>
      <c r="J59" s="340"/>
    </row>
    <row r="60" spans="1:20" x14ac:dyDescent="0.25">
      <c r="A60" s="338"/>
      <c r="B60" s="340"/>
      <c r="C60" s="338"/>
      <c r="D60" s="340"/>
      <c r="E60" s="338"/>
      <c r="F60" s="339"/>
      <c r="G60" s="340"/>
      <c r="H60" s="338"/>
      <c r="I60" s="339"/>
      <c r="J60" s="340"/>
    </row>
    <row r="61" spans="1:20" x14ac:dyDescent="0.25">
      <c r="A61" s="338"/>
      <c r="B61" s="340"/>
      <c r="C61" s="338"/>
      <c r="D61" s="340"/>
      <c r="E61" s="338"/>
      <c r="F61" s="339"/>
      <c r="G61" s="340"/>
      <c r="H61" s="338"/>
      <c r="I61" s="339"/>
      <c r="J61" s="340"/>
    </row>
  </sheetData>
  <mergeCells count="64">
    <mergeCell ref="A61:B61"/>
    <mergeCell ref="C61:D61"/>
    <mergeCell ref="E61:G61"/>
    <mergeCell ref="H61:J61"/>
    <mergeCell ref="A59:B59"/>
    <mergeCell ref="C59:D59"/>
    <mergeCell ref="E59:G59"/>
    <mergeCell ref="H59:J59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S40:T40"/>
    <mergeCell ref="A49:B49"/>
    <mergeCell ref="D49:E49"/>
    <mergeCell ref="A55:J55"/>
    <mergeCell ref="A56:B56"/>
    <mergeCell ref="C56:D56"/>
    <mergeCell ref="E56:G56"/>
    <mergeCell ref="H56:J56"/>
    <mergeCell ref="A40:B40"/>
    <mergeCell ref="D40:E40"/>
    <mergeCell ref="G40:H40"/>
    <mergeCell ref="J40:K40"/>
    <mergeCell ref="M40:N40"/>
    <mergeCell ref="P40:Q4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A1:B1"/>
    <mergeCell ref="D1:E1"/>
    <mergeCell ref="A10:B10"/>
    <mergeCell ref="D10:E10"/>
    <mergeCell ref="G10:H10"/>
  </mergeCells>
  <conditionalFormatting sqref="A56">
    <cfRule type="duplicateValues" dxfId="1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CB9A-54AA-4544-9B0E-46FFD7382048}">
  <dimension ref="A1:T61"/>
  <sheetViews>
    <sheetView zoomScale="80" zoomScaleNormal="80" workbookViewId="0">
      <selection activeCell="C52" sqref="C52"/>
    </sheetView>
  </sheetViews>
  <sheetFormatPr baseColWidth="10" defaultRowHeight="15" x14ac:dyDescent="0.25"/>
  <cols>
    <col min="1" max="1" width="25.42578125" bestFit="1" customWidth="1"/>
    <col min="2" max="2" width="21.85546875" customWidth="1"/>
    <col min="3" max="3" width="29" customWidth="1"/>
    <col min="4" max="4" width="23.85546875" customWidth="1"/>
    <col min="5" max="5" width="14" customWidth="1"/>
    <col min="7" max="7" width="24" bestFit="1" customWidth="1"/>
    <col min="8" max="8" width="12.140625" customWidth="1"/>
    <col min="10" max="10" width="23.5703125" customWidth="1"/>
    <col min="13" max="13" width="16.5703125" customWidth="1"/>
    <col min="14" max="14" width="20.85546875" customWidth="1"/>
    <col min="16" max="16" width="22.28515625" customWidth="1"/>
    <col min="19" max="19" width="17.140625" customWidth="1"/>
    <col min="20" max="20" width="21.85546875" customWidth="1"/>
  </cols>
  <sheetData>
    <row r="1" spans="1:20" ht="23.2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128" t="s">
        <v>29</v>
      </c>
      <c r="B2" s="129">
        <v>589</v>
      </c>
      <c r="C2" s="127"/>
      <c r="D2" s="127"/>
      <c r="E2" s="127"/>
      <c r="F2" s="127"/>
      <c r="G2" s="127"/>
      <c r="H2" s="127"/>
    </row>
    <row r="3" spans="1:20" x14ac:dyDescent="0.25">
      <c r="A3" s="128" t="s">
        <v>30</v>
      </c>
      <c r="B3" s="189">
        <v>1</v>
      </c>
      <c r="C3" s="127"/>
      <c r="D3" s="127"/>
      <c r="E3" s="206"/>
      <c r="F3" s="127"/>
      <c r="G3" s="199"/>
      <c r="H3" s="127"/>
    </row>
    <row r="4" spans="1:20" x14ac:dyDescent="0.25">
      <c r="A4" s="128" t="s">
        <v>3</v>
      </c>
      <c r="B4" s="132">
        <f>B2+B3</f>
        <v>590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134" t="s">
        <v>42</v>
      </c>
      <c r="B6" s="135">
        <v>65</v>
      </c>
      <c r="C6" s="127"/>
      <c r="D6" s="188" t="s">
        <v>43</v>
      </c>
      <c r="E6" s="136">
        <v>0</v>
      </c>
      <c r="F6" s="206"/>
      <c r="G6" s="128" t="s">
        <v>44</v>
      </c>
      <c r="H6" s="136">
        <f>SUM(B6+E6)</f>
        <v>65</v>
      </c>
    </row>
    <row r="7" spans="1:20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11.016949152542372</v>
      </c>
    </row>
    <row r="10" spans="1:20" x14ac:dyDescent="0.25">
      <c r="A10" s="317" t="s">
        <v>65</v>
      </c>
      <c r="B10" s="318"/>
      <c r="C10" s="127"/>
      <c r="D10" s="313" t="s">
        <v>24</v>
      </c>
      <c r="E10" s="314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128" t="s">
        <v>28</v>
      </c>
      <c r="B11" s="128">
        <f>SUM(E11+H11+K11+N11+Q11+T11)</f>
        <v>88</v>
      </c>
      <c r="C11" s="127"/>
      <c r="D11" s="190" t="s">
        <v>29</v>
      </c>
      <c r="E11" s="190">
        <v>49</v>
      </c>
      <c r="F11" s="127"/>
      <c r="G11" s="190" t="s">
        <v>29</v>
      </c>
      <c r="H11" s="190">
        <v>21</v>
      </c>
      <c r="I11" s="127"/>
      <c r="J11" s="190" t="s">
        <v>29</v>
      </c>
      <c r="K11" s="190">
        <v>1</v>
      </c>
      <c r="L11" s="127"/>
      <c r="M11" s="190" t="s">
        <v>29</v>
      </c>
      <c r="N11" s="190">
        <v>1</v>
      </c>
      <c r="O11" s="127"/>
      <c r="P11" s="190" t="s">
        <v>29</v>
      </c>
      <c r="Q11" s="190">
        <v>10</v>
      </c>
      <c r="R11" s="127"/>
      <c r="S11" s="128" t="s">
        <v>29</v>
      </c>
      <c r="T11" s="128">
        <v>6</v>
      </c>
    </row>
    <row r="12" spans="1:20" x14ac:dyDescent="0.25">
      <c r="A12" s="128" t="s">
        <v>30</v>
      </c>
      <c r="B12" s="128">
        <v>0</v>
      </c>
      <c r="C12" s="127"/>
      <c r="D12" s="128" t="s">
        <v>30</v>
      </c>
      <c r="E12" s="174">
        <v>0</v>
      </c>
      <c r="F12" s="127"/>
      <c r="G12" s="128" t="s">
        <v>30</v>
      </c>
      <c r="H12" s="128">
        <v>0</v>
      </c>
      <c r="I12" s="127"/>
      <c r="J12" s="128" t="s">
        <v>30</v>
      </c>
      <c r="K12" s="128">
        <v>0</v>
      </c>
      <c r="L12" s="127"/>
      <c r="M12" s="128" t="s">
        <v>30</v>
      </c>
      <c r="N12" s="128">
        <v>0</v>
      </c>
      <c r="O12" s="127"/>
      <c r="P12" s="128" t="s">
        <v>30</v>
      </c>
      <c r="Q12" s="128">
        <v>0</v>
      </c>
      <c r="R12" s="127"/>
      <c r="S12" s="128" t="s">
        <v>30</v>
      </c>
      <c r="T12" s="128">
        <v>0</v>
      </c>
    </row>
    <row r="13" spans="1:20" x14ac:dyDescent="0.25">
      <c r="A13" s="140" t="s">
        <v>125</v>
      </c>
      <c r="B13" s="140">
        <f>B11+B12</f>
        <v>88</v>
      </c>
      <c r="C13" s="127"/>
      <c r="D13" s="140" t="s">
        <v>125</v>
      </c>
      <c r="E13" s="140">
        <f>E11+E12</f>
        <v>49</v>
      </c>
      <c r="F13" s="127"/>
      <c r="G13" s="140" t="s">
        <v>125</v>
      </c>
      <c r="H13" s="140">
        <f>SUM(H11+H12)</f>
        <v>21</v>
      </c>
      <c r="I13" s="127"/>
      <c r="J13" s="140" t="s">
        <v>125</v>
      </c>
      <c r="K13" s="140">
        <f>SUM(K11+K12)</f>
        <v>1</v>
      </c>
      <c r="L13" s="127"/>
      <c r="M13" s="140" t="s">
        <v>125</v>
      </c>
      <c r="N13" s="140">
        <f>N11+N12</f>
        <v>1</v>
      </c>
      <c r="O13" s="127"/>
      <c r="P13" s="140" t="s">
        <v>125</v>
      </c>
      <c r="Q13" s="140">
        <f>SUM(Q11+Q12)</f>
        <v>10</v>
      </c>
      <c r="R13" s="127"/>
      <c r="S13" s="140" t="s">
        <v>125</v>
      </c>
      <c r="T13" s="140">
        <f>T11+T12</f>
        <v>6</v>
      </c>
    </row>
    <row r="14" spans="1:20" x14ac:dyDescent="0.25">
      <c r="A14" s="128" t="s">
        <v>66</v>
      </c>
      <c r="B14" s="141">
        <f>SUM(E14+H14+K14+N14+Q14+T14)</f>
        <v>15</v>
      </c>
      <c r="D14" s="128" t="s">
        <v>136</v>
      </c>
      <c r="E14" s="141">
        <v>10</v>
      </c>
      <c r="F14" s="127"/>
      <c r="G14" s="128" t="s">
        <v>136</v>
      </c>
      <c r="H14" s="141">
        <v>3</v>
      </c>
      <c r="I14" s="127"/>
      <c r="J14" s="128" t="s">
        <v>4</v>
      </c>
      <c r="K14" s="141">
        <v>0</v>
      </c>
      <c r="L14" s="127"/>
      <c r="M14" s="128" t="s">
        <v>136</v>
      </c>
      <c r="N14" s="141">
        <v>0</v>
      </c>
      <c r="O14" s="127"/>
      <c r="P14" s="128" t="s">
        <v>136</v>
      </c>
      <c r="Q14" s="141">
        <v>1</v>
      </c>
      <c r="R14" s="127"/>
      <c r="S14" s="128" t="s">
        <v>4</v>
      </c>
      <c r="T14" s="142">
        <v>1</v>
      </c>
    </row>
    <row r="15" spans="1:20" x14ac:dyDescent="0.25">
      <c r="A15" s="128" t="s">
        <v>5</v>
      </c>
      <c r="B15" s="143">
        <f>B14/B13*100</f>
        <v>17.045454545454543</v>
      </c>
      <c r="C15" s="127"/>
      <c r="D15" s="128" t="s">
        <v>5</v>
      </c>
      <c r="E15" s="143">
        <f>E14/E13*100</f>
        <v>20.408163265306122</v>
      </c>
      <c r="F15" s="127"/>
      <c r="G15" s="128" t="s">
        <v>5</v>
      </c>
      <c r="H15" s="143">
        <f>H14/H13*100</f>
        <v>14.285714285714285</v>
      </c>
      <c r="I15" s="127"/>
      <c r="J15" s="128" t="s">
        <v>5</v>
      </c>
      <c r="K15" s="144">
        <f>K14/K13*100</f>
        <v>0</v>
      </c>
      <c r="L15" s="127"/>
      <c r="M15" s="128" t="s">
        <v>5</v>
      </c>
      <c r="N15" s="145">
        <f>N14/N13*100</f>
        <v>0</v>
      </c>
      <c r="O15" s="127"/>
      <c r="P15" s="128" t="s">
        <v>5</v>
      </c>
      <c r="Q15" s="145">
        <f>Q14/Q13*100</f>
        <v>10</v>
      </c>
      <c r="R15" s="127"/>
      <c r="S15" s="128" t="s">
        <v>5</v>
      </c>
      <c r="T15" s="144">
        <f>T14/T13*100</f>
        <v>16.666666666666664</v>
      </c>
    </row>
    <row r="16" spans="1:20" x14ac:dyDescent="0.25">
      <c r="A16" s="130"/>
      <c r="B16" s="130"/>
      <c r="D16" s="130"/>
      <c r="E16" s="146"/>
      <c r="F16" s="147"/>
      <c r="G16" s="148"/>
      <c r="H16" s="146"/>
      <c r="I16" s="147"/>
      <c r="J16" s="148"/>
      <c r="K16" s="149"/>
      <c r="L16" s="147"/>
      <c r="M16" s="130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130"/>
      <c r="F17" s="130"/>
      <c r="G17" s="147"/>
      <c r="H17" s="147"/>
      <c r="I17" s="147"/>
      <c r="J17" s="147"/>
      <c r="K17" s="147"/>
      <c r="L17" s="147"/>
      <c r="M17" s="151"/>
      <c r="N17" s="127"/>
      <c r="O17" s="127"/>
      <c r="P17" s="127"/>
      <c r="Q17" s="127"/>
      <c r="R17" s="127"/>
      <c r="S17" s="127"/>
      <c r="T17" s="127"/>
    </row>
    <row r="18" spans="1:20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f>SUM(E19+H19+K19+N19+Q19+T19)</f>
        <v>44</v>
      </c>
      <c r="C19" s="147"/>
      <c r="D19" s="154" t="s">
        <v>29</v>
      </c>
      <c r="E19" s="154">
        <v>27</v>
      </c>
      <c r="F19" s="127"/>
      <c r="G19" s="154" t="s">
        <v>29</v>
      </c>
      <c r="H19" s="60">
        <v>7</v>
      </c>
      <c r="I19" s="127"/>
      <c r="J19" s="154" t="s">
        <v>29</v>
      </c>
      <c r="K19" s="154">
        <v>1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5</v>
      </c>
      <c r="R19" s="127"/>
      <c r="S19" s="154" t="s">
        <v>29</v>
      </c>
      <c r="T19" s="60">
        <v>2</v>
      </c>
    </row>
    <row r="20" spans="1:20" x14ac:dyDescent="0.25">
      <c r="A20" s="140" t="s">
        <v>125</v>
      </c>
      <c r="B20" s="155">
        <f>B19</f>
        <v>44</v>
      </c>
      <c r="C20" s="127"/>
      <c r="D20" s="140" t="s">
        <v>125</v>
      </c>
      <c r="E20" s="156">
        <v>27</v>
      </c>
      <c r="F20" s="127"/>
      <c r="G20" s="140" t="s">
        <v>125</v>
      </c>
      <c r="H20" s="156">
        <v>7</v>
      </c>
      <c r="I20" s="127"/>
      <c r="J20" s="140" t="s">
        <v>125</v>
      </c>
      <c r="K20" s="156">
        <v>1</v>
      </c>
      <c r="L20" s="127"/>
      <c r="M20" s="140" t="s">
        <v>125</v>
      </c>
      <c r="N20" s="156">
        <v>2</v>
      </c>
      <c r="O20" s="127"/>
      <c r="P20" s="140" t="s">
        <v>125</v>
      </c>
      <c r="Q20" s="156">
        <v>5</v>
      </c>
      <c r="R20" s="127"/>
      <c r="S20" s="155" t="s">
        <v>125</v>
      </c>
      <c r="T20" s="154">
        <v>2</v>
      </c>
    </row>
    <row r="21" spans="1:20" x14ac:dyDescent="0.25">
      <c r="A21" s="128" t="s">
        <v>72</v>
      </c>
      <c r="B21" s="141">
        <v>1</v>
      </c>
      <c r="C21" s="127"/>
      <c r="D21" s="128" t="s">
        <v>73</v>
      </c>
      <c r="E21" s="141">
        <v>1</v>
      </c>
      <c r="F21" s="127"/>
      <c r="G21" s="128" t="s">
        <v>74</v>
      </c>
      <c r="H21" s="140">
        <v>0</v>
      </c>
      <c r="I21" s="127"/>
      <c r="J21" s="128" t="s">
        <v>75</v>
      </c>
      <c r="K21" s="140">
        <v>0</v>
      </c>
      <c r="L21" s="127"/>
      <c r="M21" s="128" t="s">
        <v>76</v>
      </c>
      <c r="N21" s="140">
        <v>0</v>
      </c>
      <c r="O21" s="127"/>
      <c r="P21" s="191" t="s">
        <v>245</v>
      </c>
      <c r="Q21" s="142">
        <v>0</v>
      </c>
      <c r="R21" s="127"/>
      <c r="S21" s="193" t="s">
        <v>133</v>
      </c>
      <c r="T21" s="194">
        <v>0</v>
      </c>
    </row>
    <row r="22" spans="1:20" x14ac:dyDescent="0.25">
      <c r="A22" s="157" t="s">
        <v>5</v>
      </c>
      <c r="B22" s="145">
        <f>B21/B20*100</f>
        <v>2.2727272727272729</v>
      </c>
      <c r="C22" s="127"/>
      <c r="D22" s="128" t="s">
        <v>5</v>
      </c>
      <c r="E22" s="158">
        <f>E21/E20*100</f>
        <v>3.7037037037037033</v>
      </c>
      <c r="F22" s="133"/>
      <c r="G22" s="128" t="s">
        <v>5</v>
      </c>
      <c r="H22" s="145">
        <f>H21/H20*100</f>
        <v>0</v>
      </c>
      <c r="I22" s="127"/>
      <c r="J22" s="128" t="s">
        <v>5</v>
      </c>
      <c r="K22" s="145">
        <f>K21/K20*100</f>
        <v>0</v>
      </c>
      <c r="L22" s="127"/>
      <c r="M22" s="128" t="s">
        <v>5</v>
      </c>
      <c r="N22" s="145">
        <f>N21/N20*100</f>
        <v>0</v>
      </c>
      <c r="O22" s="127"/>
      <c r="P22" s="128" t="s">
        <v>5</v>
      </c>
      <c r="Q22" s="144">
        <f>Q21/Q20*100</f>
        <v>0</v>
      </c>
      <c r="R22" s="127"/>
      <c r="S22" s="190" t="s">
        <v>5</v>
      </c>
      <c r="T22" s="192">
        <f>T21/T20*100</f>
        <v>0</v>
      </c>
    </row>
    <row r="23" spans="1:20" x14ac:dyDescent="0.25">
      <c r="A23" s="148"/>
      <c r="B23" s="159"/>
      <c r="C23" s="127"/>
      <c r="D23" s="148"/>
      <c r="E23" s="159"/>
      <c r="F23" s="160"/>
      <c r="G23" s="130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132</v>
      </c>
      <c r="C24" s="127"/>
      <c r="D24" s="127"/>
      <c r="E24" s="127"/>
      <c r="F24" s="127"/>
      <c r="G24" s="127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16</v>
      </c>
      <c r="C25" s="127"/>
      <c r="D25" s="148"/>
      <c r="E25" s="148"/>
      <c r="F25" s="160"/>
      <c r="H25" s="150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12.121212121212121</v>
      </c>
      <c r="C26" s="127"/>
      <c r="D26" s="148"/>
      <c r="E26" s="148"/>
      <c r="F26" s="160"/>
      <c r="G26" s="130"/>
      <c r="H26" s="196"/>
      <c r="I26" s="127"/>
      <c r="J26" s="130"/>
      <c r="K26" s="150"/>
      <c r="L26" s="127"/>
      <c r="M26" s="130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48"/>
      <c r="E27" s="148"/>
      <c r="F27" s="127"/>
      <c r="G27" s="127"/>
      <c r="H27" s="127"/>
      <c r="I27" s="127"/>
      <c r="J27" s="127"/>
      <c r="K27" s="147"/>
      <c r="L27" s="127"/>
      <c r="M27" s="151"/>
      <c r="N27" s="127"/>
      <c r="O27" s="127"/>
      <c r="P27" s="127"/>
      <c r="Q27" s="127"/>
      <c r="R27" s="127"/>
      <c r="S27" s="127"/>
      <c r="T27" s="127"/>
    </row>
    <row r="28" spans="1:20" x14ac:dyDescent="0.25">
      <c r="A28" s="315" t="s">
        <v>137</v>
      </c>
      <c r="B28" s="316"/>
      <c r="C28" s="127"/>
      <c r="D28" s="384" t="s">
        <v>104</v>
      </c>
      <c r="E28" s="384"/>
      <c r="F28" s="127"/>
      <c r="G28" s="315" t="s">
        <v>105</v>
      </c>
      <c r="H28" s="316"/>
      <c r="I28" s="127"/>
      <c r="J28" s="315" t="s">
        <v>106</v>
      </c>
      <c r="K28" s="316"/>
      <c r="L28" s="127"/>
      <c r="M28" s="315" t="s">
        <v>36</v>
      </c>
      <c r="N28" s="316"/>
      <c r="O28" s="127"/>
      <c r="P28" s="315" t="s">
        <v>93</v>
      </c>
      <c r="Q28" s="316"/>
      <c r="R28" s="127"/>
      <c r="S28" s="315" t="s">
        <v>94</v>
      </c>
      <c r="T28" s="316"/>
    </row>
    <row r="29" spans="1:20" x14ac:dyDescent="0.25">
      <c r="A29" s="128" t="s">
        <v>28</v>
      </c>
      <c r="B29" s="128">
        <f>SUM(E29+H29+K29+N29+Q29+T29)</f>
        <v>264</v>
      </c>
      <c r="C29" s="209"/>
      <c r="D29" s="128" t="s">
        <v>28</v>
      </c>
      <c r="E29" s="128">
        <v>145</v>
      </c>
      <c r="F29" s="127"/>
      <c r="G29" s="128" t="s">
        <v>28</v>
      </c>
      <c r="H29" s="128">
        <v>70</v>
      </c>
      <c r="I29" s="127"/>
      <c r="J29" s="128" t="s">
        <v>28</v>
      </c>
      <c r="K29" s="128">
        <v>6</v>
      </c>
      <c r="L29" s="127"/>
      <c r="M29" s="128" t="s">
        <v>28</v>
      </c>
      <c r="N29" s="128">
        <v>10</v>
      </c>
      <c r="O29" s="127"/>
      <c r="P29" s="128" t="s">
        <v>28</v>
      </c>
      <c r="Q29" s="128">
        <v>23</v>
      </c>
      <c r="R29" s="127"/>
      <c r="S29" s="128" t="s">
        <v>28</v>
      </c>
      <c r="T29" s="128">
        <v>10</v>
      </c>
    </row>
    <row r="30" spans="1:20" x14ac:dyDescent="0.25">
      <c r="A30" s="128" t="s">
        <v>30</v>
      </c>
      <c r="B30" s="174">
        <v>1</v>
      </c>
      <c r="C30" s="127"/>
      <c r="D30" s="128" t="s">
        <v>30</v>
      </c>
      <c r="E30" s="174">
        <v>0</v>
      </c>
      <c r="F30" s="127"/>
      <c r="G30" s="128" t="s">
        <v>30</v>
      </c>
      <c r="H30" s="174">
        <v>1</v>
      </c>
      <c r="I30" s="127"/>
      <c r="J30" s="128" t="s">
        <v>30</v>
      </c>
      <c r="K30" s="128">
        <v>0</v>
      </c>
      <c r="L30" s="127"/>
      <c r="M30" s="128" t="s">
        <v>30</v>
      </c>
      <c r="N30" s="128">
        <v>0</v>
      </c>
      <c r="O30" s="127"/>
      <c r="P30" s="128" t="s">
        <v>30</v>
      </c>
      <c r="Q30" s="128">
        <v>0</v>
      </c>
      <c r="R30" s="127"/>
      <c r="S30" s="128" t="s">
        <v>30</v>
      </c>
      <c r="T30" s="128">
        <v>0</v>
      </c>
    </row>
    <row r="31" spans="1:20" x14ac:dyDescent="0.25">
      <c r="A31" s="163" t="s">
        <v>125</v>
      </c>
      <c r="B31" s="163">
        <v>257</v>
      </c>
      <c r="D31" s="163" t="s">
        <v>125</v>
      </c>
      <c r="E31" s="163">
        <f>SUM(E29+E30)</f>
        <v>145</v>
      </c>
      <c r="F31" s="127"/>
      <c r="G31" s="163" t="s">
        <v>125</v>
      </c>
      <c r="H31" s="163">
        <f>SUM(H29+H30)</f>
        <v>71</v>
      </c>
      <c r="I31" s="127"/>
      <c r="J31" s="163" t="s">
        <v>125</v>
      </c>
      <c r="K31" s="163">
        <v>6</v>
      </c>
      <c r="L31" s="127"/>
      <c r="M31" s="163" t="s">
        <v>125</v>
      </c>
      <c r="N31" s="163">
        <v>10</v>
      </c>
      <c r="O31" s="127"/>
      <c r="P31" s="163" t="s">
        <v>125</v>
      </c>
      <c r="Q31" s="163">
        <v>23</v>
      </c>
      <c r="R31" s="127"/>
      <c r="S31" s="163" t="s">
        <v>125</v>
      </c>
      <c r="T31" s="163">
        <f>T29+T30</f>
        <v>10</v>
      </c>
    </row>
    <row r="32" spans="1:20" x14ac:dyDescent="0.25">
      <c r="A32" s="184" t="s">
        <v>4</v>
      </c>
      <c r="B32" s="164">
        <f>SUM(E32+H32+K32+N32+Q32+T32)</f>
        <v>40</v>
      </c>
      <c r="C32" s="127"/>
      <c r="D32" s="128" t="s">
        <v>4</v>
      </c>
      <c r="E32" s="165">
        <v>21</v>
      </c>
      <c r="F32" s="127"/>
      <c r="G32" s="128" t="s">
        <v>4</v>
      </c>
      <c r="H32" s="164">
        <v>17</v>
      </c>
      <c r="I32" s="127"/>
      <c r="J32" s="128" t="s">
        <v>4</v>
      </c>
      <c r="K32" s="166">
        <v>0</v>
      </c>
      <c r="L32" s="127"/>
      <c r="M32" s="128" t="s">
        <v>4</v>
      </c>
      <c r="N32" s="167">
        <v>0</v>
      </c>
      <c r="O32" s="127"/>
      <c r="P32" s="128" t="s">
        <v>4</v>
      </c>
      <c r="Q32" s="167">
        <v>0</v>
      </c>
      <c r="R32" s="127"/>
      <c r="S32" s="184" t="s">
        <v>4</v>
      </c>
      <c r="T32" s="167">
        <v>2</v>
      </c>
    </row>
    <row r="33" spans="1:20" x14ac:dyDescent="0.25">
      <c r="A33" s="128" t="s">
        <v>5</v>
      </c>
      <c r="B33" s="162">
        <f>B32/B31*100</f>
        <v>15.56420233463035</v>
      </c>
      <c r="C33" s="127"/>
      <c r="D33" s="128" t="s">
        <v>5</v>
      </c>
      <c r="E33" s="162">
        <f>E32/E31*100</f>
        <v>14.482758620689657</v>
      </c>
      <c r="F33" s="127"/>
      <c r="G33" s="128" t="s">
        <v>5</v>
      </c>
      <c r="H33" s="162">
        <f>H32/H31*100</f>
        <v>23.943661971830984</v>
      </c>
      <c r="I33" s="127"/>
      <c r="J33" s="128" t="s">
        <v>5</v>
      </c>
      <c r="K33" s="162">
        <f>K32/K31*100%</f>
        <v>0</v>
      </c>
      <c r="L33" s="127"/>
      <c r="M33" s="128" t="s">
        <v>5</v>
      </c>
      <c r="N33" s="162">
        <f>N32/N31*100%</f>
        <v>0</v>
      </c>
      <c r="O33" s="127"/>
      <c r="P33" s="128" t="s">
        <v>5</v>
      </c>
      <c r="Q33" s="162">
        <f>Q32/Q31*100%</f>
        <v>0</v>
      </c>
      <c r="R33" s="127"/>
      <c r="S33" s="128" t="s">
        <v>5</v>
      </c>
      <c r="T33" s="195">
        <f>T32/T31*100</f>
        <v>20</v>
      </c>
    </row>
    <row r="34" spans="1:20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30"/>
      <c r="O34" s="127"/>
      <c r="P34" s="127"/>
      <c r="Q34" s="127"/>
      <c r="R34" s="127"/>
      <c r="S34" s="127"/>
      <c r="T34" s="127"/>
    </row>
    <row r="35" spans="1:20" x14ac:dyDescent="0.25">
      <c r="A35" s="315" t="s">
        <v>77</v>
      </c>
      <c r="B35" s="316"/>
      <c r="C35" s="127"/>
      <c r="D35" s="313" t="s">
        <v>48</v>
      </c>
      <c r="E35" s="313"/>
      <c r="F35" s="147"/>
      <c r="G35" s="315" t="s">
        <v>49</v>
      </c>
      <c r="H35" s="316"/>
      <c r="I35" s="127"/>
      <c r="J35" s="315" t="s">
        <v>108</v>
      </c>
      <c r="K35" s="316"/>
      <c r="L35" s="127"/>
      <c r="M35" s="315" t="s">
        <v>51</v>
      </c>
      <c r="N35" s="316"/>
      <c r="O35" s="127"/>
      <c r="P35" s="315" t="s">
        <v>98</v>
      </c>
      <c r="Q35" s="316"/>
      <c r="R35" s="127"/>
      <c r="S35" s="315" t="s">
        <v>97</v>
      </c>
      <c r="T35" s="316"/>
    </row>
    <row r="36" spans="1:20" x14ac:dyDescent="0.25">
      <c r="A36" s="163" t="s">
        <v>28</v>
      </c>
      <c r="B36" s="163">
        <v>255</v>
      </c>
      <c r="C36" s="209"/>
      <c r="D36" s="200" t="s">
        <v>28</v>
      </c>
      <c r="E36" s="200">
        <v>22</v>
      </c>
      <c r="F36" s="127"/>
      <c r="G36" s="163" t="s">
        <v>28</v>
      </c>
      <c r="H36" s="163">
        <v>8</v>
      </c>
      <c r="I36" s="127"/>
      <c r="J36" s="163" t="s">
        <v>28</v>
      </c>
      <c r="K36" s="163">
        <v>1</v>
      </c>
      <c r="L36" s="127"/>
      <c r="M36" s="163" t="s">
        <v>28</v>
      </c>
      <c r="N36" s="163">
        <v>2</v>
      </c>
      <c r="O36" s="127"/>
      <c r="P36" s="163" t="s">
        <v>28</v>
      </c>
      <c r="Q36" s="163">
        <v>5</v>
      </c>
      <c r="R36" s="127"/>
      <c r="S36" s="163" t="s">
        <v>28</v>
      </c>
      <c r="T36" s="163">
        <v>2</v>
      </c>
    </row>
    <row r="37" spans="1:20" x14ac:dyDescent="0.25">
      <c r="A37" s="128" t="s">
        <v>78</v>
      </c>
      <c r="B37" s="169">
        <v>41</v>
      </c>
      <c r="C37" s="127"/>
      <c r="D37" s="193" t="s">
        <v>136</v>
      </c>
      <c r="E37" s="201">
        <v>1</v>
      </c>
      <c r="F37" s="127"/>
      <c r="G37" s="128" t="s">
        <v>4</v>
      </c>
      <c r="H37" s="167">
        <v>0</v>
      </c>
      <c r="I37" s="127"/>
      <c r="J37" s="128" t="s">
        <v>4</v>
      </c>
      <c r="K37" s="166">
        <v>0</v>
      </c>
      <c r="L37" s="127"/>
      <c r="M37" s="128" t="s">
        <v>4</v>
      </c>
      <c r="N37" s="166">
        <v>0</v>
      </c>
      <c r="O37" s="127"/>
      <c r="P37" s="128" t="s">
        <v>4</v>
      </c>
      <c r="Q37" s="166">
        <v>0</v>
      </c>
      <c r="R37" s="127"/>
      <c r="S37" s="128" t="s">
        <v>4</v>
      </c>
      <c r="T37" s="166">
        <v>0</v>
      </c>
    </row>
    <row r="38" spans="1:20" x14ac:dyDescent="0.25">
      <c r="A38" s="128" t="s">
        <v>5</v>
      </c>
      <c r="B38" s="158">
        <f>B37/B36*100</f>
        <v>16.078431372549019</v>
      </c>
      <c r="C38" s="127"/>
      <c r="D38" s="193" t="s">
        <v>5</v>
      </c>
      <c r="E38" s="202">
        <f>E37/E36*100</f>
        <v>4.5454545454545459</v>
      </c>
      <c r="F38" s="127"/>
      <c r="G38" s="128" t="s">
        <v>5</v>
      </c>
      <c r="H38" s="162">
        <f>H37/H36*100</f>
        <v>0</v>
      </c>
      <c r="I38" s="127"/>
      <c r="J38" s="128" t="s">
        <v>5</v>
      </c>
      <c r="K38" s="162">
        <f>K37/K36*100</f>
        <v>0</v>
      </c>
      <c r="L38" s="127"/>
      <c r="M38" s="128" t="s">
        <v>5</v>
      </c>
      <c r="N38" s="162">
        <f>N37/N36*100</f>
        <v>0</v>
      </c>
      <c r="O38" s="127"/>
      <c r="P38" s="128" t="s">
        <v>5</v>
      </c>
      <c r="Q38" s="162">
        <f>Q37/Q36*100</f>
        <v>0</v>
      </c>
      <c r="R38" s="127"/>
      <c r="S38" s="128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x14ac:dyDescent="0.25">
      <c r="A40" s="315" t="s">
        <v>116</v>
      </c>
      <c r="B40" s="316"/>
      <c r="C40" s="127"/>
      <c r="D40" s="384" t="s">
        <v>117</v>
      </c>
      <c r="E40" s="384"/>
      <c r="F40" s="127"/>
      <c r="G40" s="315" t="s">
        <v>118</v>
      </c>
      <c r="H40" s="316"/>
      <c r="I40" s="127"/>
      <c r="J40" s="315" t="s">
        <v>119</v>
      </c>
      <c r="K40" s="316"/>
      <c r="L40" s="127"/>
      <c r="M40" s="315" t="s">
        <v>120</v>
      </c>
      <c r="N40" s="316"/>
      <c r="O40" s="127"/>
      <c r="P40" s="315" t="s">
        <v>127</v>
      </c>
      <c r="Q40" s="316"/>
      <c r="R40" s="127"/>
      <c r="S40" s="315" t="s">
        <v>128</v>
      </c>
      <c r="T40" s="316"/>
    </row>
    <row r="41" spans="1:20" x14ac:dyDescent="0.25">
      <c r="A41" s="163" t="s">
        <v>28</v>
      </c>
      <c r="B41" s="163">
        <v>39</v>
      </c>
      <c r="C41" s="127"/>
      <c r="D41" s="163" t="s">
        <v>28</v>
      </c>
      <c r="E41" s="163">
        <v>16</v>
      </c>
      <c r="F41" s="127"/>
      <c r="G41" s="163" t="s">
        <v>28</v>
      </c>
      <c r="H41" s="163">
        <v>6</v>
      </c>
      <c r="I41" s="127"/>
      <c r="J41" s="163" t="s">
        <v>28</v>
      </c>
      <c r="K41" s="163">
        <v>2</v>
      </c>
      <c r="L41" s="127"/>
      <c r="M41" s="163" t="s">
        <v>28</v>
      </c>
      <c r="N41" s="163">
        <v>3</v>
      </c>
      <c r="O41" s="127"/>
      <c r="P41" s="163" t="s">
        <v>28</v>
      </c>
      <c r="Q41" s="163">
        <v>9</v>
      </c>
      <c r="R41" s="127"/>
      <c r="S41" s="163" t="s">
        <v>28</v>
      </c>
      <c r="T41" s="163">
        <v>3</v>
      </c>
    </row>
    <row r="42" spans="1:20" x14ac:dyDescent="0.25">
      <c r="A42" s="128" t="s">
        <v>121</v>
      </c>
      <c r="B42" s="167">
        <v>3</v>
      </c>
      <c r="C42" s="127"/>
      <c r="D42" s="128" t="s">
        <v>4</v>
      </c>
      <c r="E42" s="167">
        <v>0</v>
      </c>
      <c r="F42" s="127"/>
      <c r="G42" s="128" t="s">
        <v>4</v>
      </c>
      <c r="H42" s="167">
        <v>1</v>
      </c>
      <c r="I42" s="127"/>
      <c r="J42" s="128" t="s">
        <v>4</v>
      </c>
      <c r="K42" s="166">
        <v>1</v>
      </c>
      <c r="L42" s="127"/>
      <c r="M42" s="128" t="s">
        <v>4</v>
      </c>
      <c r="N42" s="166">
        <v>1</v>
      </c>
      <c r="O42" s="127"/>
      <c r="P42" s="128" t="s">
        <v>4</v>
      </c>
      <c r="Q42" s="166">
        <v>0</v>
      </c>
      <c r="R42" s="127"/>
      <c r="S42" s="128" t="s">
        <v>4</v>
      </c>
      <c r="T42" s="166">
        <v>0</v>
      </c>
    </row>
    <row r="43" spans="1:20" x14ac:dyDescent="0.25">
      <c r="A43" s="128" t="s">
        <v>5</v>
      </c>
      <c r="B43" s="158">
        <f>B42/B41*100</f>
        <v>7.6923076923076925</v>
      </c>
      <c r="C43" s="127"/>
      <c r="D43" s="128" t="s">
        <v>5</v>
      </c>
      <c r="E43" s="158">
        <f>E42/E41*100</f>
        <v>0</v>
      </c>
      <c r="F43" s="127"/>
      <c r="G43" s="128" t="s">
        <v>5</v>
      </c>
      <c r="H43" s="162">
        <f>H42/H41*100</f>
        <v>16.666666666666664</v>
      </c>
      <c r="I43" s="127"/>
      <c r="J43" s="128" t="s">
        <v>5</v>
      </c>
      <c r="K43" s="162">
        <f>K42/K41*100</f>
        <v>50</v>
      </c>
      <c r="L43" s="127"/>
      <c r="M43" s="128" t="s">
        <v>5</v>
      </c>
      <c r="N43" s="162">
        <f>N42/N41*100</f>
        <v>33.333333333333329</v>
      </c>
      <c r="O43" s="127"/>
      <c r="P43" s="128" t="s">
        <v>5</v>
      </c>
      <c r="Q43" s="162">
        <f>Q42/Q41*100</f>
        <v>0</v>
      </c>
      <c r="R43" s="127"/>
      <c r="S43" s="128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294</v>
      </c>
      <c r="C45" s="127"/>
      <c r="D45" s="127"/>
      <c r="E45" s="127"/>
      <c r="F45" s="127"/>
      <c r="G45" s="154" t="s">
        <v>123</v>
      </c>
      <c r="H45" s="154">
        <f>SUM(B31+B45)</f>
        <v>551</v>
      </c>
      <c r="I45" s="204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B37+B42</f>
        <v>44</v>
      </c>
      <c r="C46" s="127"/>
      <c r="D46" s="127"/>
      <c r="E46" s="127"/>
      <c r="F46" s="127"/>
      <c r="G46" s="154" t="s">
        <v>44</v>
      </c>
      <c r="H46" s="170">
        <f>SUM(B32+B37+B42)</f>
        <v>84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158">
        <f>B46/B45*100</f>
        <v>14.965986394557824</v>
      </c>
      <c r="C47" s="127"/>
      <c r="D47" s="127"/>
      <c r="E47" s="127"/>
      <c r="F47" s="127"/>
      <c r="G47" s="171" t="s">
        <v>11</v>
      </c>
      <c r="H47" s="158">
        <f>H46/H45*100</f>
        <v>15.245009074410163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x14ac:dyDescent="0.25">
      <c r="A49" s="315" t="s">
        <v>58</v>
      </c>
      <c r="B49" s="316"/>
      <c r="C49" s="127"/>
      <c r="D49" s="315" t="s">
        <v>239</v>
      </c>
      <c r="E49" s="31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spans="1:20" x14ac:dyDescent="0.25">
      <c r="A50" s="163" t="s">
        <v>28</v>
      </c>
      <c r="B50" s="163">
        <v>34</v>
      </c>
      <c r="C50" s="127"/>
      <c r="D50" s="163" t="s">
        <v>28</v>
      </c>
      <c r="E50" s="163">
        <v>16</v>
      </c>
      <c r="F50" s="127"/>
      <c r="G50" s="127"/>
      <c r="H50" s="127"/>
      <c r="I50" s="127"/>
      <c r="J50" s="127"/>
    </row>
    <row r="51" spans="1:20" x14ac:dyDescent="0.25">
      <c r="A51" s="185" t="s">
        <v>228</v>
      </c>
      <c r="B51" s="167">
        <v>2</v>
      </c>
      <c r="C51" s="127"/>
      <c r="D51" s="187" t="s">
        <v>238</v>
      </c>
      <c r="E51" s="167">
        <v>0</v>
      </c>
      <c r="F51" s="127"/>
      <c r="G51" s="127"/>
      <c r="H51" s="127"/>
      <c r="I51" s="127"/>
      <c r="J51" s="127"/>
    </row>
    <row r="52" spans="1:20" x14ac:dyDescent="0.25">
      <c r="A52" s="128" t="s">
        <v>5</v>
      </c>
      <c r="B52" s="158">
        <f>B51/B50*100</f>
        <v>5.8823529411764701</v>
      </c>
      <c r="C52" s="127"/>
      <c r="D52" s="128" t="s">
        <v>5</v>
      </c>
      <c r="E52" s="158">
        <f>E51/E50*100</f>
        <v>0</v>
      </c>
      <c r="F52" s="127"/>
      <c r="G52" s="127"/>
      <c r="H52" s="127"/>
      <c r="I52" s="127"/>
      <c r="J52" s="127"/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</row>
    <row r="54" spans="1:20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  <row r="55" spans="1:20" x14ac:dyDescent="0.25">
      <c r="A55" s="313" t="s">
        <v>208</v>
      </c>
      <c r="B55" s="313"/>
      <c r="C55" s="313"/>
      <c r="D55" s="313"/>
      <c r="E55" s="313"/>
      <c r="F55" s="313"/>
      <c r="G55" s="313"/>
      <c r="H55" s="313"/>
      <c r="I55" s="313"/>
      <c r="J55" s="313"/>
    </row>
    <row r="56" spans="1:20" x14ac:dyDescent="0.25">
      <c r="A56" s="341" t="s">
        <v>253</v>
      </c>
      <c r="B56" s="341"/>
      <c r="C56" s="341" t="s">
        <v>85</v>
      </c>
      <c r="D56" s="341"/>
      <c r="E56" s="468"/>
      <c r="F56" s="468"/>
      <c r="G56" s="468"/>
      <c r="H56" s="469"/>
      <c r="I56" s="442"/>
      <c r="J56" s="442"/>
    </row>
    <row r="57" spans="1:20" x14ac:dyDescent="0.25">
      <c r="A57" s="338" t="s">
        <v>254</v>
      </c>
      <c r="B57" s="340"/>
      <c r="C57" s="338" t="s">
        <v>53</v>
      </c>
      <c r="D57" s="340"/>
      <c r="E57" s="338"/>
      <c r="F57" s="339"/>
      <c r="G57" s="340"/>
      <c r="H57" s="338"/>
      <c r="I57" s="339"/>
      <c r="J57" s="340"/>
    </row>
    <row r="58" spans="1:20" x14ac:dyDescent="0.25">
      <c r="A58" s="338" t="s">
        <v>255</v>
      </c>
      <c r="B58" s="340"/>
      <c r="C58" s="338" t="s">
        <v>146</v>
      </c>
      <c r="D58" s="340"/>
      <c r="E58" s="338"/>
      <c r="F58" s="339"/>
      <c r="G58" s="340"/>
      <c r="H58" s="338"/>
      <c r="I58" s="339"/>
      <c r="J58" s="340"/>
    </row>
    <row r="59" spans="1:20" x14ac:dyDescent="0.25">
      <c r="A59" s="338"/>
      <c r="B59" s="340"/>
      <c r="C59" s="338"/>
      <c r="D59" s="340"/>
      <c r="E59" s="338"/>
      <c r="F59" s="339"/>
      <c r="G59" s="340"/>
      <c r="H59" s="338"/>
      <c r="I59" s="339"/>
      <c r="J59" s="340"/>
    </row>
    <row r="60" spans="1:20" x14ac:dyDescent="0.25">
      <c r="A60" s="338"/>
      <c r="B60" s="340"/>
      <c r="C60" s="338"/>
      <c r="D60" s="340"/>
      <c r="E60" s="338"/>
      <c r="F60" s="339"/>
      <c r="G60" s="340"/>
      <c r="H60" s="338"/>
      <c r="I60" s="339"/>
      <c r="J60" s="340"/>
    </row>
    <row r="61" spans="1:20" x14ac:dyDescent="0.25">
      <c r="A61" s="338"/>
      <c r="B61" s="340"/>
      <c r="C61" s="338"/>
      <c r="D61" s="340"/>
      <c r="E61" s="338"/>
      <c r="F61" s="339"/>
      <c r="G61" s="340"/>
      <c r="H61" s="338"/>
      <c r="I61" s="339"/>
      <c r="J61" s="340"/>
    </row>
  </sheetData>
  <mergeCells count="64">
    <mergeCell ref="E59:G59"/>
    <mergeCell ref="E60:G60"/>
    <mergeCell ref="E61:G61"/>
    <mergeCell ref="H58:J58"/>
    <mergeCell ref="H59:J59"/>
    <mergeCell ref="H60:J60"/>
    <mergeCell ref="H61:J61"/>
    <mergeCell ref="A59:B59"/>
    <mergeCell ref="A60:B60"/>
    <mergeCell ref="A61:B61"/>
    <mergeCell ref="C58:D58"/>
    <mergeCell ref="C59:D59"/>
    <mergeCell ref="C60:D60"/>
    <mergeCell ref="C61:D61"/>
    <mergeCell ref="A57:B57"/>
    <mergeCell ref="C57:D57"/>
    <mergeCell ref="E57:G57"/>
    <mergeCell ref="H57:J57"/>
    <mergeCell ref="A58:B58"/>
    <mergeCell ref="E58:G58"/>
    <mergeCell ref="A55:J55"/>
    <mergeCell ref="A56:B56"/>
    <mergeCell ref="C56:D56"/>
    <mergeCell ref="E56:G56"/>
    <mergeCell ref="H56:J56"/>
    <mergeCell ref="P35:Q35"/>
    <mergeCell ref="S35:T35"/>
    <mergeCell ref="A40:B40"/>
    <mergeCell ref="D40:E40"/>
    <mergeCell ref="G40:H40"/>
    <mergeCell ref="J40:K40"/>
    <mergeCell ref="M40:N40"/>
    <mergeCell ref="P40:Q40"/>
    <mergeCell ref="S40:T40"/>
    <mergeCell ref="A35:B35"/>
    <mergeCell ref="D35:E35"/>
    <mergeCell ref="G35:H35"/>
    <mergeCell ref="J35:K35"/>
    <mergeCell ref="P18:Q18"/>
    <mergeCell ref="S18:T18"/>
    <mergeCell ref="A28:B28"/>
    <mergeCell ref="D28:E28"/>
    <mergeCell ref="G28:H28"/>
    <mergeCell ref="J28:K28"/>
    <mergeCell ref="M28:N28"/>
    <mergeCell ref="P28:Q28"/>
    <mergeCell ref="S28:T28"/>
    <mergeCell ref="P10:Q10"/>
    <mergeCell ref="S10:T10"/>
    <mergeCell ref="A10:B10"/>
    <mergeCell ref="D10:E10"/>
    <mergeCell ref="G10:H10"/>
    <mergeCell ref="J10:K10"/>
    <mergeCell ref="A1:B1"/>
    <mergeCell ref="D1:E1"/>
    <mergeCell ref="A49:B49"/>
    <mergeCell ref="D49:E49"/>
    <mergeCell ref="M10:N10"/>
    <mergeCell ref="A18:B18"/>
    <mergeCell ref="D18:E18"/>
    <mergeCell ref="G18:H18"/>
    <mergeCell ref="J18:K18"/>
    <mergeCell ref="M18:N18"/>
    <mergeCell ref="M35:N35"/>
  </mergeCells>
  <conditionalFormatting sqref="A56">
    <cfRule type="duplicateValues" dxfId="0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5669-0B29-49E6-99D4-B34AAD4B99A0}">
  <dimension ref="A1:T60"/>
  <sheetViews>
    <sheetView topLeftCell="A32" zoomScale="69" zoomScaleNormal="69" workbookViewId="0">
      <selection activeCell="K36" sqref="K36"/>
    </sheetView>
  </sheetViews>
  <sheetFormatPr baseColWidth="10" defaultRowHeight="15" x14ac:dyDescent="0.25"/>
  <cols>
    <col min="1" max="1" width="28.140625" customWidth="1"/>
    <col min="2" max="2" width="16.140625" customWidth="1"/>
    <col min="4" max="4" width="22.42578125" customWidth="1"/>
    <col min="5" max="5" width="12.42578125" customWidth="1"/>
    <col min="7" max="7" width="24.85546875" customWidth="1"/>
    <col min="8" max="8" width="12.140625" customWidth="1"/>
    <col min="10" max="10" width="16.42578125" customWidth="1"/>
    <col min="11" max="11" width="15.5703125" customWidth="1"/>
    <col min="13" max="13" width="20.140625" customWidth="1"/>
    <col min="14" max="14" width="17.42578125" customWidth="1"/>
    <col min="16" max="16" width="23" customWidth="1"/>
    <col min="17" max="17" width="15.28515625" customWidth="1"/>
    <col min="19" max="19" width="27.140625" customWidth="1"/>
  </cols>
  <sheetData>
    <row r="1" spans="1:20" ht="33.75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128" t="s">
        <v>29</v>
      </c>
      <c r="B2" s="129">
        <v>579</v>
      </c>
      <c r="C2" s="127"/>
      <c r="D2" s="127"/>
      <c r="E2" s="127"/>
      <c r="F2" s="127"/>
      <c r="G2" s="127"/>
      <c r="H2" s="127"/>
    </row>
    <row r="3" spans="1:20" x14ac:dyDescent="0.25">
      <c r="A3" s="128" t="s">
        <v>30</v>
      </c>
      <c r="B3" s="189">
        <v>1</v>
      </c>
      <c r="C3" s="127"/>
      <c r="D3" s="127"/>
      <c r="E3" s="206"/>
      <c r="F3" s="213"/>
      <c r="G3" s="199"/>
      <c r="H3" s="127"/>
    </row>
    <row r="4" spans="1:20" x14ac:dyDescent="0.25">
      <c r="A4" s="128" t="s">
        <v>3</v>
      </c>
      <c r="B4" s="132">
        <f>B2+B3</f>
        <v>580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134" t="s">
        <v>42</v>
      </c>
      <c r="B6" s="135">
        <v>73</v>
      </c>
      <c r="C6" s="127"/>
      <c r="D6" s="188" t="s">
        <v>43</v>
      </c>
      <c r="E6" s="136">
        <v>0</v>
      </c>
      <c r="F6" s="206"/>
      <c r="G6" s="128" t="s">
        <v>44</v>
      </c>
      <c r="H6" s="136">
        <f>SUM(B6+E6)</f>
        <v>73</v>
      </c>
    </row>
    <row r="7" spans="1:20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12.586206896551724</v>
      </c>
    </row>
    <row r="10" spans="1:20" x14ac:dyDescent="0.25">
      <c r="A10" s="317" t="s">
        <v>65</v>
      </c>
      <c r="B10" s="318"/>
      <c r="C10" s="127"/>
      <c r="D10" s="313" t="s">
        <v>24</v>
      </c>
      <c r="E10" s="314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128" t="s">
        <v>28</v>
      </c>
      <c r="B11" s="128">
        <f>SUM(E11+H11+K11+N11+Q11+T11)</f>
        <v>86</v>
      </c>
      <c r="C11" s="127"/>
      <c r="D11" s="190" t="s">
        <v>29</v>
      </c>
      <c r="E11" s="190">
        <v>50</v>
      </c>
      <c r="F11" s="127"/>
      <c r="G11" s="190" t="s">
        <v>29</v>
      </c>
      <c r="H11" s="190">
        <v>20</v>
      </c>
      <c r="I11" s="127"/>
      <c r="J11" s="190" t="s">
        <v>29</v>
      </c>
      <c r="K11" s="190">
        <v>1</v>
      </c>
      <c r="L11" s="127"/>
      <c r="M11" s="190" t="s">
        <v>29</v>
      </c>
      <c r="N11" s="190">
        <v>1</v>
      </c>
      <c r="O11" s="127"/>
      <c r="P11" s="190" t="s">
        <v>29</v>
      </c>
      <c r="Q11" s="190">
        <v>9</v>
      </c>
      <c r="R11" s="127"/>
      <c r="S11" s="128" t="s">
        <v>29</v>
      </c>
      <c r="T11" s="128">
        <v>5</v>
      </c>
    </row>
    <row r="12" spans="1:20" x14ac:dyDescent="0.25">
      <c r="A12" s="128" t="s">
        <v>30</v>
      </c>
      <c r="B12" s="128">
        <v>0</v>
      </c>
      <c r="C12" s="127"/>
      <c r="D12" s="128" t="s">
        <v>30</v>
      </c>
      <c r="E12" s="174">
        <v>0</v>
      </c>
      <c r="F12" s="127"/>
      <c r="G12" s="128" t="s">
        <v>30</v>
      </c>
      <c r="H12" s="128">
        <v>0</v>
      </c>
      <c r="I12" s="127"/>
      <c r="J12" s="128" t="s">
        <v>30</v>
      </c>
      <c r="K12" s="128">
        <v>0</v>
      </c>
      <c r="L12" s="127"/>
      <c r="M12" s="128" t="s">
        <v>30</v>
      </c>
      <c r="N12" s="128"/>
      <c r="O12" s="127"/>
      <c r="P12" s="128" t="s">
        <v>30</v>
      </c>
      <c r="Q12" s="128">
        <v>0</v>
      </c>
      <c r="R12" s="127"/>
      <c r="S12" s="128" t="s">
        <v>30</v>
      </c>
      <c r="T12" s="128">
        <v>0</v>
      </c>
    </row>
    <row r="13" spans="1:20" x14ac:dyDescent="0.25">
      <c r="A13" s="140" t="s">
        <v>125</v>
      </c>
      <c r="B13" s="140">
        <f>B11+B12</f>
        <v>86</v>
      </c>
      <c r="C13" s="127"/>
      <c r="D13" s="140" t="s">
        <v>125</v>
      </c>
      <c r="E13" s="140">
        <f>E11+E12</f>
        <v>50</v>
      </c>
      <c r="F13" s="127"/>
      <c r="G13" s="140" t="s">
        <v>125</v>
      </c>
      <c r="H13" s="140">
        <f>SUM(H11+H12)</f>
        <v>20</v>
      </c>
      <c r="I13" s="127"/>
      <c r="J13" s="140" t="s">
        <v>125</v>
      </c>
      <c r="K13" s="140">
        <v>1</v>
      </c>
      <c r="L13" s="127"/>
      <c r="M13" s="140" t="s">
        <v>125</v>
      </c>
      <c r="N13" s="140">
        <v>1</v>
      </c>
      <c r="O13" s="127"/>
      <c r="P13" s="140" t="s">
        <v>125</v>
      </c>
      <c r="Q13" s="140">
        <f>SUM(Q11+Q12)</f>
        <v>9</v>
      </c>
      <c r="R13" s="127"/>
      <c r="S13" s="140" t="s">
        <v>125</v>
      </c>
      <c r="T13" s="140">
        <f>T11+T12</f>
        <v>5</v>
      </c>
    </row>
    <row r="14" spans="1:20" x14ac:dyDescent="0.25">
      <c r="A14" s="128" t="s">
        <v>66</v>
      </c>
      <c r="B14" s="141">
        <f>SUM(E14+H14)</f>
        <v>14</v>
      </c>
      <c r="D14" s="128" t="s">
        <v>136</v>
      </c>
      <c r="E14" s="141">
        <v>11</v>
      </c>
      <c r="F14" s="127"/>
      <c r="G14" s="128" t="s">
        <v>136</v>
      </c>
      <c r="H14" s="141">
        <v>3</v>
      </c>
      <c r="I14" s="127"/>
      <c r="J14" s="128" t="s">
        <v>4</v>
      </c>
      <c r="K14" s="141">
        <v>0</v>
      </c>
      <c r="L14" s="127"/>
      <c r="M14" s="128" t="s">
        <v>136</v>
      </c>
      <c r="N14" s="141">
        <v>0</v>
      </c>
      <c r="O14" s="127"/>
      <c r="P14" s="128" t="s">
        <v>136</v>
      </c>
      <c r="Q14" s="141">
        <v>0</v>
      </c>
      <c r="R14" s="127"/>
      <c r="S14" s="128" t="s">
        <v>4</v>
      </c>
      <c r="T14" s="142">
        <v>0</v>
      </c>
    </row>
    <row r="15" spans="1:20" x14ac:dyDescent="0.25">
      <c r="A15" s="128" t="s">
        <v>5</v>
      </c>
      <c r="B15" s="143">
        <f>B14/B13*100</f>
        <v>16.279069767441861</v>
      </c>
      <c r="C15" s="127"/>
      <c r="D15" s="128" t="s">
        <v>5</v>
      </c>
      <c r="E15" s="143">
        <f>E14/E13*100</f>
        <v>22</v>
      </c>
      <c r="F15" s="127"/>
      <c r="G15" s="128" t="s">
        <v>5</v>
      </c>
      <c r="H15" s="143">
        <f>H14/H13*100</f>
        <v>15</v>
      </c>
      <c r="I15" s="127"/>
      <c r="J15" s="128" t="s">
        <v>5</v>
      </c>
      <c r="K15" s="144">
        <f>K14/K13*100</f>
        <v>0</v>
      </c>
      <c r="L15" s="127"/>
      <c r="M15" s="128" t="s">
        <v>5</v>
      </c>
      <c r="N15" s="145">
        <f>N14/N13*100</f>
        <v>0</v>
      </c>
      <c r="O15" s="127"/>
      <c r="P15" s="128" t="s">
        <v>5</v>
      </c>
      <c r="Q15" s="145">
        <f>Q14/Q13*100</f>
        <v>0</v>
      </c>
      <c r="R15" s="127"/>
      <c r="S15" s="128" t="s">
        <v>5</v>
      </c>
      <c r="T15" s="144">
        <f>T14/T13*100</f>
        <v>0</v>
      </c>
    </row>
    <row r="16" spans="1:20" x14ac:dyDescent="0.25">
      <c r="A16" s="130"/>
      <c r="B16" s="130"/>
      <c r="D16" s="130"/>
      <c r="E16" s="146"/>
      <c r="F16" s="147"/>
      <c r="G16" s="148"/>
      <c r="H16" s="146"/>
      <c r="I16" s="147"/>
      <c r="J16" s="148"/>
      <c r="K16" s="149"/>
      <c r="L16" s="147"/>
      <c r="M16" s="130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130"/>
      <c r="F17" s="130"/>
      <c r="G17" s="147"/>
      <c r="H17" s="147"/>
      <c r="I17" s="147"/>
      <c r="J17" s="147"/>
      <c r="K17" s="147"/>
      <c r="L17" s="147"/>
      <c r="M17" s="151"/>
      <c r="N17" s="127"/>
      <c r="O17" s="127"/>
      <c r="P17" s="127"/>
      <c r="Q17" s="127"/>
      <c r="R17" s="127"/>
      <c r="S17" s="127"/>
      <c r="T17" s="127"/>
    </row>
    <row r="18" spans="1:20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v>46</v>
      </c>
      <c r="C19" s="147"/>
      <c r="D19" s="154" t="s">
        <v>29</v>
      </c>
      <c r="E19" s="154">
        <v>27</v>
      </c>
      <c r="F19" s="127"/>
      <c r="G19" s="154" t="s">
        <v>29</v>
      </c>
      <c r="H19" s="60">
        <v>7</v>
      </c>
      <c r="I19" s="127"/>
      <c r="J19" s="154" t="s">
        <v>29</v>
      </c>
      <c r="K19" s="154">
        <v>1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5</v>
      </c>
      <c r="R19" s="127"/>
      <c r="S19" s="154" t="s">
        <v>29</v>
      </c>
      <c r="T19" s="60">
        <v>2</v>
      </c>
    </row>
    <row r="20" spans="1:20" x14ac:dyDescent="0.25">
      <c r="A20" s="140" t="s">
        <v>125</v>
      </c>
      <c r="B20" s="155">
        <f>B19</f>
        <v>46</v>
      </c>
      <c r="C20" s="127"/>
      <c r="D20" s="140" t="s">
        <v>125</v>
      </c>
      <c r="E20" s="156">
        <v>27</v>
      </c>
      <c r="F20" s="127"/>
      <c r="G20" s="140" t="s">
        <v>125</v>
      </c>
      <c r="H20" s="156">
        <v>7</v>
      </c>
      <c r="I20" s="127"/>
      <c r="J20" s="140" t="s">
        <v>125</v>
      </c>
      <c r="K20" s="156">
        <v>1</v>
      </c>
      <c r="L20" s="127"/>
      <c r="M20" s="140" t="s">
        <v>125</v>
      </c>
      <c r="N20" s="156">
        <v>2</v>
      </c>
      <c r="O20" s="127"/>
      <c r="P20" s="140" t="s">
        <v>125</v>
      </c>
      <c r="Q20" s="156">
        <v>5</v>
      </c>
      <c r="R20" s="127"/>
      <c r="S20" s="155" t="s">
        <v>125</v>
      </c>
      <c r="T20" s="154">
        <v>2</v>
      </c>
    </row>
    <row r="21" spans="1:20" x14ac:dyDescent="0.25">
      <c r="A21" s="128" t="s">
        <v>72</v>
      </c>
      <c r="B21" s="141">
        <v>2</v>
      </c>
      <c r="C21" s="127"/>
      <c r="D21" s="128" t="s">
        <v>73</v>
      </c>
      <c r="E21" s="141">
        <v>2</v>
      </c>
      <c r="F21" s="127"/>
      <c r="G21" s="128" t="s">
        <v>74</v>
      </c>
      <c r="H21" s="140">
        <v>0</v>
      </c>
      <c r="I21" s="127"/>
      <c r="J21" s="128" t="s">
        <v>75</v>
      </c>
      <c r="K21" s="140">
        <v>0</v>
      </c>
      <c r="L21" s="127"/>
      <c r="M21" s="128" t="s">
        <v>76</v>
      </c>
      <c r="N21" s="140">
        <v>0</v>
      </c>
      <c r="O21" s="127"/>
      <c r="P21" s="191" t="s">
        <v>245</v>
      </c>
      <c r="Q21" s="142">
        <v>0</v>
      </c>
      <c r="R21" s="127"/>
      <c r="S21" s="193" t="s">
        <v>133</v>
      </c>
      <c r="T21" s="194">
        <v>0</v>
      </c>
    </row>
    <row r="22" spans="1:20" x14ac:dyDescent="0.25">
      <c r="A22" s="157" t="s">
        <v>5</v>
      </c>
      <c r="B22" s="145">
        <f>B21/B20*100</f>
        <v>4.3478260869565215</v>
      </c>
      <c r="C22" s="127"/>
      <c r="D22" s="128" t="s">
        <v>5</v>
      </c>
      <c r="E22" s="158">
        <f>E21/E20*100</f>
        <v>7.4074074074074066</v>
      </c>
      <c r="F22" s="133"/>
      <c r="G22" s="128" t="s">
        <v>5</v>
      </c>
      <c r="H22" s="145">
        <f>H21/H20*100</f>
        <v>0</v>
      </c>
      <c r="I22" s="127"/>
      <c r="J22" s="128" t="s">
        <v>5</v>
      </c>
      <c r="K22" s="145">
        <f>K21/K20*100</f>
        <v>0</v>
      </c>
      <c r="L22" s="127"/>
      <c r="M22" s="128" t="s">
        <v>5</v>
      </c>
      <c r="N22" s="145">
        <f>N21/N20*100</f>
        <v>0</v>
      </c>
      <c r="O22" s="127"/>
      <c r="P22" s="128" t="s">
        <v>5</v>
      </c>
      <c r="Q22" s="144">
        <f>Q21/Q20*100</f>
        <v>0</v>
      </c>
      <c r="R22" s="127"/>
      <c r="S22" s="190" t="s">
        <v>5</v>
      </c>
      <c r="T22" s="192">
        <f>T21/T20*100</f>
        <v>0</v>
      </c>
    </row>
    <row r="23" spans="1:20" x14ac:dyDescent="0.25">
      <c r="A23" s="148"/>
      <c r="B23" s="159"/>
      <c r="C23" s="127"/>
      <c r="D23" s="148"/>
      <c r="E23" s="159"/>
      <c r="F23" s="160"/>
      <c r="G23" s="130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132</v>
      </c>
      <c r="C24" s="127"/>
      <c r="D24" s="127"/>
      <c r="E24" s="127"/>
      <c r="F24" s="127"/>
      <c r="G24" s="127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16</v>
      </c>
      <c r="C25" s="127"/>
      <c r="D25" s="127"/>
      <c r="E25" s="127"/>
      <c r="F25" s="127"/>
      <c r="H25" s="150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12.121212121212121</v>
      </c>
      <c r="C26" s="127"/>
      <c r="D26" s="127"/>
      <c r="E26" s="127"/>
      <c r="F26" s="127"/>
      <c r="G26" s="130"/>
      <c r="H26" s="196"/>
      <c r="I26" s="127"/>
      <c r="J26" s="130"/>
      <c r="K26" s="150"/>
      <c r="L26" s="127"/>
      <c r="M26" s="130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48"/>
      <c r="E27" s="148"/>
      <c r="F27" s="127"/>
      <c r="G27" s="127"/>
      <c r="H27" s="127"/>
      <c r="I27" s="127"/>
      <c r="J27" s="127"/>
      <c r="K27" s="147"/>
      <c r="L27" s="127"/>
      <c r="M27" s="151"/>
      <c r="N27" s="127"/>
      <c r="O27" s="127"/>
      <c r="P27" s="127"/>
      <c r="Q27" s="127"/>
      <c r="R27" s="127"/>
      <c r="S27" s="127"/>
      <c r="T27" s="127"/>
    </row>
    <row r="28" spans="1:20" x14ac:dyDescent="0.25">
      <c r="A28" s="313" t="s">
        <v>137</v>
      </c>
      <c r="B28" s="314"/>
      <c r="C28" s="127"/>
      <c r="D28" s="313" t="s">
        <v>104</v>
      </c>
      <c r="E28" s="313"/>
      <c r="F28" s="127"/>
      <c r="G28" s="313" t="s">
        <v>105</v>
      </c>
      <c r="H28" s="314"/>
      <c r="I28" s="127"/>
      <c r="J28" s="313" t="s">
        <v>106</v>
      </c>
      <c r="K28" s="314"/>
      <c r="L28" s="127"/>
      <c r="M28" s="313" t="s">
        <v>36</v>
      </c>
      <c r="N28" s="314"/>
      <c r="O28" s="127"/>
      <c r="P28" s="313" t="s">
        <v>93</v>
      </c>
      <c r="Q28" s="314"/>
      <c r="R28" s="127"/>
      <c r="S28" s="313" t="s">
        <v>94</v>
      </c>
      <c r="T28" s="314"/>
    </row>
    <row r="29" spans="1:20" x14ac:dyDescent="0.25">
      <c r="A29" s="190" t="s">
        <v>28</v>
      </c>
      <c r="B29" s="190">
        <v>255</v>
      </c>
      <c r="C29" s="208">
        <f>SUM(E29+H29+K29+N29+Q29+T29)</f>
        <v>251</v>
      </c>
      <c r="D29" s="190" t="s">
        <v>28</v>
      </c>
      <c r="E29" s="190">
        <v>137</v>
      </c>
      <c r="F29" s="127"/>
      <c r="G29" s="190" t="s">
        <v>28</v>
      </c>
      <c r="H29" s="190">
        <v>64</v>
      </c>
      <c r="I29" s="127"/>
      <c r="J29" s="190" t="s">
        <v>28</v>
      </c>
      <c r="K29" s="190">
        <v>10</v>
      </c>
      <c r="L29" s="127"/>
      <c r="M29" s="190" t="s">
        <v>28</v>
      </c>
      <c r="N29" s="190">
        <v>10</v>
      </c>
      <c r="O29" s="127"/>
      <c r="P29" s="190" t="s">
        <v>28</v>
      </c>
      <c r="Q29" s="190">
        <v>21</v>
      </c>
      <c r="R29" s="127"/>
      <c r="S29" s="190" t="s">
        <v>28</v>
      </c>
      <c r="T29" s="190">
        <v>9</v>
      </c>
    </row>
    <row r="30" spans="1:20" x14ac:dyDescent="0.25">
      <c r="A30" s="128" t="s">
        <v>30</v>
      </c>
      <c r="B30" s="174">
        <v>1</v>
      </c>
      <c r="C30" s="127"/>
      <c r="D30" s="128" t="s">
        <v>30</v>
      </c>
      <c r="E30" s="174">
        <v>0</v>
      </c>
      <c r="F30" s="127"/>
      <c r="G30" s="128" t="s">
        <v>30</v>
      </c>
      <c r="H30" s="174">
        <v>1</v>
      </c>
      <c r="I30" s="127"/>
      <c r="J30" s="128" t="s">
        <v>30</v>
      </c>
      <c r="K30" s="128">
        <v>0</v>
      </c>
      <c r="L30" s="127"/>
      <c r="M30" s="128" t="s">
        <v>30</v>
      </c>
      <c r="N30" s="128">
        <v>0</v>
      </c>
      <c r="O30" s="127"/>
      <c r="P30" s="128" t="s">
        <v>30</v>
      </c>
      <c r="Q30" s="128">
        <v>0</v>
      </c>
      <c r="R30" s="127"/>
      <c r="S30" s="128" t="s">
        <v>30</v>
      </c>
      <c r="T30" s="128">
        <v>0</v>
      </c>
    </row>
    <row r="31" spans="1:20" x14ac:dyDescent="0.25">
      <c r="A31" s="163" t="s">
        <v>125</v>
      </c>
      <c r="B31" s="163">
        <f>SUM(B29+B30)</f>
        <v>256</v>
      </c>
      <c r="C31" s="127"/>
      <c r="D31" s="163" t="s">
        <v>125</v>
      </c>
      <c r="E31" s="163">
        <f>SUM(E29+E30)</f>
        <v>137</v>
      </c>
      <c r="F31" s="127"/>
      <c r="G31" s="163" t="s">
        <v>125</v>
      </c>
      <c r="H31" s="163">
        <v>67</v>
      </c>
      <c r="I31" s="127"/>
      <c r="J31" s="163" t="s">
        <v>125</v>
      </c>
      <c r="K31" s="163">
        <v>10</v>
      </c>
      <c r="L31" s="127"/>
      <c r="M31" s="163" t="s">
        <v>125</v>
      </c>
      <c r="N31" s="163">
        <v>10</v>
      </c>
      <c r="O31" s="127"/>
      <c r="P31" s="163" t="s">
        <v>125</v>
      </c>
      <c r="Q31" s="163">
        <v>21</v>
      </c>
      <c r="R31" s="127"/>
      <c r="S31" s="163" t="s">
        <v>125</v>
      </c>
      <c r="T31" s="163">
        <f>T29+T30</f>
        <v>9</v>
      </c>
    </row>
    <row r="32" spans="1:20" x14ac:dyDescent="0.25">
      <c r="A32" s="184" t="s">
        <v>4</v>
      </c>
      <c r="B32" s="164">
        <f>SUM(E32+H32+K32+N32+Q32+T32)</f>
        <v>49</v>
      </c>
      <c r="C32" s="127"/>
      <c r="D32" s="128" t="s">
        <v>4</v>
      </c>
      <c r="E32" s="165">
        <v>25</v>
      </c>
      <c r="F32" s="127"/>
      <c r="G32" s="128" t="s">
        <v>4</v>
      </c>
      <c r="H32" s="164">
        <v>20</v>
      </c>
      <c r="I32" s="127"/>
      <c r="J32" s="128" t="s">
        <v>4</v>
      </c>
      <c r="K32" s="166">
        <v>0</v>
      </c>
      <c r="L32" s="127"/>
      <c r="M32" s="128" t="s">
        <v>4</v>
      </c>
      <c r="N32" s="167">
        <v>0</v>
      </c>
      <c r="O32" s="127"/>
      <c r="P32" s="128" t="s">
        <v>4</v>
      </c>
      <c r="Q32" s="167">
        <v>3</v>
      </c>
      <c r="R32" s="127"/>
      <c r="S32" s="184" t="s">
        <v>4</v>
      </c>
      <c r="T32" s="167">
        <v>1</v>
      </c>
    </row>
    <row r="33" spans="1:20" x14ac:dyDescent="0.25">
      <c r="A33" s="128" t="s">
        <v>5</v>
      </c>
      <c r="B33" s="162">
        <f>B32/B31*100</f>
        <v>19.140625</v>
      </c>
      <c r="C33" s="127"/>
      <c r="D33" s="128" t="s">
        <v>5</v>
      </c>
      <c r="E33" s="162">
        <f>E32/E31*100</f>
        <v>18.248175182481752</v>
      </c>
      <c r="F33" s="127"/>
      <c r="G33" s="128" t="s">
        <v>5</v>
      </c>
      <c r="H33" s="162">
        <f>H32/H31*100</f>
        <v>29.850746268656714</v>
      </c>
      <c r="I33" s="127"/>
      <c r="J33" s="128" t="s">
        <v>5</v>
      </c>
      <c r="K33" s="162">
        <f>K32/K31*100%</f>
        <v>0</v>
      </c>
      <c r="L33" s="127"/>
      <c r="M33" s="128" t="s">
        <v>5</v>
      </c>
      <c r="N33" s="162">
        <f>N32/N31*100%</f>
        <v>0</v>
      </c>
      <c r="O33" s="127"/>
      <c r="P33" s="128" t="s">
        <v>5</v>
      </c>
      <c r="Q33" s="162">
        <f>Q32/Q31*100%</f>
        <v>0.14285714285714285</v>
      </c>
      <c r="R33" s="127"/>
      <c r="S33" s="128" t="s">
        <v>5</v>
      </c>
      <c r="T33" s="195">
        <f>T32/T31*100</f>
        <v>11.111111111111111</v>
      </c>
    </row>
    <row r="34" spans="1:20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30"/>
      <c r="O34" s="127"/>
      <c r="P34" s="127"/>
      <c r="Q34" s="127"/>
      <c r="R34" s="127"/>
      <c r="S34" s="127"/>
      <c r="T34" s="127"/>
    </row>
    <row r="35" spans="1:20" x14ac:dyDescent="0.25">
      <c r="A35" s="315" t="s">
        <v>77</v>
      </c>
      <c r="B35" s="316"/>
      <c r="C35" s="127"/>
      <c r="D35" s="313" t="s">
        <v>48</v>
      </c>
      <c r="E35" s="313"/>
      <c r="F35" s="147"/>
      <c r="G35" s="313" t="s">
        <v>49</v>
      </c>
      <c r="H35" s="314"/>
      <c r="I35" s="127"/>
      <c r="J35" s="313" t="s">
        <v>108</v>
      </c>
      <c r="K35" s="314"/>
      <c r="L35" s="127"/>
      <c r="M35" s="313" t="s">
        <v>51</v>
      </c>
      <c r="N35" s="314"/>
      <c r="O35" s="127"/>
      <c r="P35" s="313" t="s">
        <v>98</v>
      </c>
      <c r="Q35" s="314"/>
      <c r="R35" s="127"/>
      <c r="S35" s="313" t="s">
        <v>97</v>
      </c>
      <c r="T35" s="314"/>
    </row>
    <row r="36" spans="1:20" x14ac:dyDescent="0.25">
      <c r="A36" s="163" t="s">
        <v>28</v>
      </c>
      <c r="B36" s="163">
        <f>SUM(E36+H36+K36+N36+Q36+T36)</f>
        <v>39</v>
      </c>
      <c r="C36" s="208"/>
      <c r="D36" s="200" t="s">
        <v>28</v>
      </c>
      <c r="E36" s="200">
        <v>21</v>
      </c>
      <c r="F36" s="127"/>
      <c r="G36" s="211" t="s">
        <v>28</v>
      </c>
      <c r="H36" s="211">
        <v>8</v>
      </c>
      <c r="I36" s="127"/>
      <c r="J36" s="211" t="s">
        <v>28</v>
      </c>
      <c r="K36" s="211">
        <v>1</v>
      </c>
      <c r="L36" s="127"/>
      <c r="M36" s="211" t="s">
        <v>28</v>
      </c>
      <c r="N36" s="211">
        <v>2</v>
      </c>
      <c r="O36" s="127"/>
      <c r="P36" s="211" t="s">
        <v>28</v>
      </c>
      <c r="Q36" s="211">
        <v>5</v>
      </c>
      <c r="R36" s="127"/>
      <c r="S36" s="200" t="s">
        <v>28</v>
      </c>
      <c r="T36" s="200">
        <v>2</v>
      </c>
    </row>
    <row r="37" spans="1:20" x14ac:dyDescent="0.25">
      <c r="A37" s="128" t="s">
        <v>78</v>
      </c>
      <c r="B37" s="169">
        <v>1</v>
      </c>
      <c r="C37" s="127"/>
      <c r="D37" s="193" t="s">
        <v>136</v>
      </c>
      <c r="E37" s="201">
        <v>0</v>
      </c>
      <c r="F37" s="127"/>
      <c r="G37" s="128" t="s">
        <v>4</v>
      </c>
      <c r="H37" s="167">
        <v>0</v>
      </c>
      <c r="I37" s="127"/>
      <c r="J37" s="128" t="s">
        <v>4</v>
      </c>
      <c r="K37" s="166">
        <v>0</v>
      </c>
      <c r="L37" s="127"/>
      <c r="M37" s="128" t="s">
        <v>4</v>
      </c>
      <c r="N37" s="166">
        <v>1</v>
      </c>
      <c r="O37" s="127"/>
      <c r="P37" s="128" t="s">
        <v>4</v>
      </c>
      <c r="Q37" s="166">
        <v>0</v>
      </c>
      <c r="R37" s="127"/>
      <c r="S37" s="190" t="s">
        <v>4</v>
      </c>
      <c r="T37" s="212">
        <v>0</v>
      </c>
    </row>
    <row r="38" spans="1:20" x14ac:dyDescent="0.25">
      <c r="A38" s="128" t="s">
        <v>5</v>
      </c>
      <c r="B38" s="158">
        <f>B37/B36*100</f>
        <v>2.5641025641025639</v>
      </c>
      <c r="C38" s="127"/>
      <c r="D38" s="193" t="s">
        <v>5</v>
      </c>
      <c r="E38" s="202">
        <f>E37/E36*100</f>
        <v>0</v>
      </c>
      <c r="F38" s="127"/>
      <c r="G38" s="128" t="s">
        <v>5</v>
      </c>
      <c r="H38" s="162">
        <f>H37/H36*100</f>
        <v>0</v>
      </c>
      <c r="I38" s="127"/>
      <c r="J38" s="128" t="s">
        <v>5</v>
      </c>
      <c r="K38" s="162">
        <f>K37/K36*100</f>
        <v>0</v>
      </c>
      <c r="L38" s="127"/>
      <c r="M38" s="128" t="s">
        <v>5</v>
      </c>
      <c r="N38" s="162">
        <f>N37/N36*100</f>
        <v>50</v>
      </c>
      <c r="O38" s="127"/>
      <c r="P38" s="128" t="s">
        <v>5</v>
      </c>
      <c r="Q38" s="162">
        <f>Q37/Q36*100</f>
        <v>0</v>
      </c>
      <c r="R38" s="127"/>
      <c r="S38" s="128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x14ac:dyDescent="0.25">
      <c r="A40" s="315" t="s">
        <v>116</v>
      </c>
      <c r="B40" s="316"/>
      <c r="C40" s="127"/>
      <c r="D40" s="313" t="s">
        <v>117</v>
      </c>
      <c r="E40" s="313"/>
      <c r="F40" s="127"/>
      <c r="G40" s="313" t="s">
        <v>118</v>
      </c>
      <c r="H40" s="314"/>
      <c r="I40" s="127"/>
      <c r="J40" s="313" t="s">
        <v>119</v>
      </c>
      <c r="K40" s="314"/>
      <c r="L40" s="127"/>
      <c r="M40" s="313" t="s">
        <v>120</v>
      </c>
      <c r="N40" s="314"/>
      <c r="O40" s="127"/>
      <c r="P40" s="313" t="s">
        <v>127</v>
      </c>
      <c r="Q40" s="314"/>
      <c r="R40" s="127"/>
      <c r="S40" s="313" t="s">
        <v>128</v>
      </c>
      <c r="T40" s="314"/>
    </row>
    <row r="41" spans="1:20" x14ac:dyDescent="0.25">
      <c r="A41" s="163" t="s">
        <v>28</v>
      </c>
      <c r="B41" s="163">
        <f>SUM(E41+H41+K41+N41+Q41+T41)</f>
        <v>39</v>
      </c>
      <c r="C41" s="127"/>
      <c r="D41" s="211" t="s">
        <v>28</v>
      </c>
      <c r="E41" s="211">
        <v>16</v>
      </c>
      <c r="F41" s="127"/>
      <c r="G41" s="211" t="s">
        <v>28</v>
      </c>
      <c r="H41" s="211">
        <v>7</v>
      </c>
      <c r="I41" s="127"/>
      <c r="J41" s="211" t="s">
        <v>28</v>
      </c>
      <c r="K41" s="211">
        <v>1</v>
      </c>
      <c r="L41" s="127"/>
      <c r="M41" s="211" t="s">
        <v>28</v>
      </c>
      <c r="N41" s="211">
        <v>3</v>
      </c>
      <c r="O41" s="127"/>
      <c r="P41" s="211" t="s">
        <v>28</v>
      </c>
      <c r="Q41" s="211">
        <v>9</v>
      </c>
      <c r="R41" s="127"/>
      <c r="S41" s="200" t="s">
        <v>28</v>
      </c>
      <c r="T41" s="200">
        <v>3</v>
      </c>
    </row>
    <row r="42" spans="1:20" x14ac:dyDescent="0.25">
      <c r="A42" s="128" t="s">
        <v>121</v>
      </c>
      <c r="B42" s="167">
        <v>1</v>
      </c>
      <c r="C42" s="127"/>
      <c r="D42" s="128" t="s">
        <v>4</v>
      </c>
      <c r="E42" s="167">
        <v>1</v>
      </c>
      <c r="F42" s="127"/>
      <c r="G42" s="128" t="s">
        <v>4</v>
      </c>
      <c r="H42" s="167">
        <v>0</v>
      </c>
      <c r="I42" s="127"/>
      <c r="J42" s="128" t="s">
        <v>4</v>
      </c>
      <c r="K42" s="166">
        <v>0</v>
      </c>
      <c r="L42" s="127"/>
      <c r="M42" s="128" t="s">
        <v>4</v>
      </c>
      <c r="N42" s="166">
        <v>0</v>
      </c>
      <c r="O42" s="127"/>
      <c r="P42" s="128" t="s">
        <v>4</v>
      </c>
      <c r="Q42" s="166">
        <v>0</v>
      </c>
      <c r="R42" s="127"/>
      <c r="S42" s="190" t="s">
        <v>4</v>
      </c>
      <c r="T42" s="212">
        <v>0</v>
      </c>
    </row>
    <row r="43" spans="1:20" x14ac:dyDescent="0.25">
      <c r="A43" s="128" t="s">
        <v>5</v>
      </c>
      <c r="B43" s="158">
        <f>B42/B41*100</f>
        <v>2.5641025641025639</v>
      </c>
      <c r="C43" s="127"/>
      <c r="D43" s="128" t="s">
        <v>5</v>
      </c>
      <c r="E43" s="158">
        <f>E42/E41*100</f>
        <v>6.25</v>
      </c>
      <c r="F43" s="127"/>
      <c r="G43" s="128" t="s">
        <v>5</v>
      </c>
      <c r="H43" s="162">
        <f>H42/H41*100</f>
        <v>0</v>
      </c>
      <c r="I43" s="127"/>
      <c r="J43" s="128" t="s">
        <v>5</v>
      </c>
      <c r="K43" s="162">
        <f>K42/K41*100</f>
        <v>0</v>
      </c>
      <c r="L43" s="127"/>
      <c r="M43" s="128" t="s">
        <v>5</v>
      </c>
      <c r="N43" s="162">
        <f>N42/N41*100</f>
        <v>0</v>
      </c>
      <c r="O43" s="127"/>
      <c r="P43" s="128" t="s">
        <v>5</v>
      </c>
      <c r="Q43" s="162">
        <f>Q42/Q41*100</f>
        <v>0</v>
      </c>
      <c r="R43" s="127"/>
      <c r="S43" s="128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78</v>
      </c>
      <c r="C45" s="127"/>
      <c r="D45" s="127"/>
      <c r="E45" s="127"/>
      <c r="F45" s="127"/>
      <c r="G45" s="154" t="s">
        <v>123</v>
      </c>
      <c r="H45" s="154">
        <f>SUM(B31+B45)</f>
        <v>334</v>
      </c>
      <c r="I45" s="204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B37+B42</f>
        <v>2</v>
      </c>
      <c r="C46" s="127"/>
      <c r="D46" s="127"/>
      <c r="E46" s="127"/>
      <c r="F46" s="127"/>
      <c r="G46" s="154" t="s">
        <v>44</v>
      </c>
      <c r="H46" s="170">
        <f>SUM(B32+B37+B42)</f>
        <v>51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158">
        <f>B46/B45*100</f>
        <v>2.5641025641025639</v>
      </c>
      <c r="C47" s="127"/>
      <c r="D47" s="127"/>
      <c r="E47" s="127"/>
      <c r="F47" s="127"/>
      <c r="G47" s="171" t="s">
        <v>11</v>
      </c>
      <c r="H47" s="158">
        <f>H46/H45*100</f>
        <v>15.269461077844312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x14ac:dyDescent="0.25">
      <c r="A49" s="315" t="s">
        <v>58</v>
      </c>
      <c r="B49" s="316"/>
      <c r="C49" s="127"/>
      <c r="D49" s="315" t="s">
        <v>239</v>
      </c>
      <c r="E49" s="31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spans="1:20" x14ac:dyDescent="0.25">
      <c r="A50" s="163" t="s">
        <v>28</v>
      </c>
      <c r="B50" s="163">
        <v>33</v>
      </c>
      <c r="C50" s="127"/>
      <c r="D50" s="163" t="s">
        <v>28</v>
      </c>
      <c r="E50" s="163">
        <v>16</v>
      </c>
      <c r="F50" s="127"/>
      <c r="G50" s="127"/>
      <c r="H50" s="127"/>
      <c r="I50" s="127"/>
      <c r="J50" s="127"/>
    </row>
    <row r="51" spans="1:20" x14ac:dyDescent="0.25">
      <c r="A51" s="185" t="s">
        <v>228</v>
      </c>
      <c r="B51" s="167">
        <v>1</v>
      </c>
      <c r="C51" s="127"/>
      <c r="D51" s="187" t="s">
        <v>238</v>
      </c>
      <c r="E51" s="167">
        <v>1</v>
      </c>
      <c r="F51" s="127"/>
      <c r="G51" s="127"/>
      <c r="H51" s="127"/>
      <c r="I51" s="127"/>
      <c r="J51" s="127"/>
    </row>
    <row r="52" spans="1:20" x14ac:dyDescent="0.25">
      <c r="A52" s="128" t="s">
        <v>5</v>
      </c>
      <c r="B52" s="158">
        <f>B51/B50*100</f>
        <v>3.0303030303030303</v>
      </c>
      <c r="C52" s="127"/>
      <c r="D52" s="128" t="s">
        <v>5</v>
      </c>
      <c r="E52" s="158">
        <f>E51/E50*100</f>
        <v>6.25</v>
      </c>
      <c r="F52" s="127"/>
      <c r="G52" s="127"/>
      <c r="H52" s="127"/>
      <c r="I52" s="127"/>
      <c r="J52" s="127"/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M53" s="210"/>
    </row>
    <row r="54" spans="1:20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  <row r="55" spans="1:20" x14ac:dyDescent="0.25">
      <c r="A55" s="313" t="s">
        <v>208</v>
      </c>
      <c r="B55" s="313"/>
      <c r="C55" s="313"/>
      <c r="D55" s="313"/>
      <c r="E55" s="313"/>
      <c r="F55" s="313"/>
      <c r="G55" s="313"/>
      <c r="H55" s="313"/>
      <c r="I55" s="313"/>
      <c r="J55" s="313"/>
    </row>
    <row r="56" spans="1:20" x14ac:dyDescent="0.25">
      <c r="A56" s="338" t="s">
        <v>257</v>
      </c>
      <c r="B56" s="340"/>
      <c r="C56" s="338" t="s">
        <v>45</v>
      </c>
      <c r="D56" s="340"/>
      <c r="E56" s="338"/>
      <c r="F56" s="339"/>
      <c r="G56" s="340"/>
      <c r="H56" s="338"/>
      <c r="I56" s="339"/>
      <c r="J56" s="340"/>
    </row>
    <row r="57" spans="1:20" x14ac:dyDescent="0.25">
      <c r="A57" s="338" t="s">
        <v>258</v>
      </c>
      <c r="B57" s="340"/>
      <c r="C57" s="338" t="s">
        <v>260</v>
      </c>
      <c r="D57" s="340"/>
      <c r="E57" s="338"/>
      <c r="F57" s="339"/>
      <c r="G57" s="340"/>
      <c r="H57" s="338"/>
      <c r="I57" s="339"/>
      <c r="J57" s="340"/>
    </row>
    <row r="58" spans="1:20" x14ac:dyDescent="0.25">
      <c r="A58" s="338" t="s">
        <v>259</v>
      </c>
      <c r="B58" s="340"/>
      <c r="C58" s="338" t="s">
        <v>131</v>
      </c>
      <c r="D58" s="340"/>
      <c r="E58" s="338"/>
      <c r="F58" s="339"/>
      <c r="G58" s="340"/>
      <c r="H58" s="338"/>
      <c r="I58" s="339"/>
      <c r="J58" s="340"/>
    </row>
    <row r="59" spans="1:20" x14ac:dyDescent="0.25">
      <c r="A59" s="338"/>
      <c r="B59" s="340"/>
      <c r="C59" s="338"/>
      <c r="D59" s="340"/>
      <c r="E59" s="338"/>
      <c r="F59" s="339"/>
      <c r="G59" s="340"/>
      <c r="H59" s="338"/>
      <c r="I59" s="339"/>
      <c r="J59" s="340"/>
    </row>
    <row r="60" spans="1:20" x14ac:dyDescent="0.25">
      <c r="A60" s="338"/>
      <c r="B60" s="340"/>
      <c r="C60" s="338"/>
      <c r="D60" s="340"/>
      <c r="E60" s="338"/>
      <c r="F60" s="339"/>
      <c r="G60" s="340"/>
      <c r="H60" s="338"/>
      <c r="I60" s="339"/>
      <c r="J60" s="340"/>
    </row>
  </sheetData>
  <mergeCells count="60">
    <mergeCell ref="A1:B1"/>
    <mergeCell ref="D1:E1"/>
    <mergeCell ref="A10:B10"/>
    <mergeCell ref="D10:E10"/>
    <mergeCell ref="G10:H10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S40:T40"/>
    <mergeCell ref="A49:B49"/>
    <mergeCell ref="D49:E49"/>
    <mergeCell ref="A55:J55"/>
    <mergeCell ref="A40:B40"/>
    <mergeCell ref="D40:E40"/>
    <mergeCell ref="G40:H40"/>
    <mergeCell ref="J40:K40"/>
    <mergeCell ref="M40:N40"/>
    <mergeCell ref="P40:Q40"/>
    <mergeCell ref="A56:B56"/>
    <mergeCell ref="C56:D56"/>
    <mergeCell ref="E56:G56"/>
    <mergeCell ref="H56:J56"/>
    <mergeCell ref="A57:B57"/>
    <mergeCell ref="C57:D57"/>
    <mergeCell ref="E57:G57"/>
    <mergeCell ref="H57:J57"/>
    <mergeCell ref="A60:B60"/>
    <mergeCell ref="C60:D60"/>
    <mergeCell ref="E60:G60"/>
    <mergeCell ref="H60:J60"/>
    <mergeCell ref="A58:B58"/>
    <mergeCell ref="C58:D58"/>
    <mergeCell ref="E58:G58"/>
    <mergeCell ref="H58:J58"/>
    <mergeCell ref="A59:B59"/>
    <mergeCell ref="C59:D59"/>
    <mergeCell ref="E59:G59"/>
    <mergeCell ref="H59:J59"/>
  </mergeCell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A035-72B1-4201-BA10-8FD62342B2EE}">
  <dimension ref="A1:T61"/>
  <sheetViews>
    <sheetView workbookViewId="0">
      <selection activeCell="D3" sqref="D3"/>
    </sheetView>
  </sheetViews>
  <sheetFormatPr baseColWidth="10" defaultRowHeight="15" x14ac:dyDescent="0.25"/>
  <cols>
    <col min="1" max="1" width="26.28515625" customWidth="1"/>
    <col min="2" max="2" width="17.85546875" customWidth="1"/>
    <col min="3" max="3" width="9.42578125" customWidth="1"/>
    <col min="4" max="4" width="22.5703125" customWidth="1"/>
    <col min="7" max="7" width="24.42578125" customWidth="1"/>
    <col min="10" max="10" width="21" customWidth="1"/>
    <col min="13" max="13" width="22.7109375" customWidth="1"/>
    <col min="16" max="16" width="21.5703125" customWidth="1"/>
    <col min="19" max="19" width="18.7109375" customWidth="1"/>
    <col min="20" max="20" width="17.85546875" customWidth="1"/>
  </cols>
  <sheetData>
    <row r="1" spans="1:20" ht="24.75" customHeight="1" x14ac:dyDescent="0.5">
      <c r="A1" s="317" t="s">
        <v>18</v>
      </c>
      <c r="B1" s="318"/>
      <c r="C1" s="125"/>
      <c r="D1" s="319"/>
      <c r="E1" s="320"/>
      <c r="F1" s="125"/>
      <c r="G1" s="125"/>
      <c r="H1" s="125"/>
    </row>
    <row r="2" spans="1:20" x14ac:dyDescent="0.25">
      <c r="A2" s="128" t="s">
        <v>29</v>
      </c>
      <c r="B2" s="129">
        <v>600</v>
      </c>
      <c r="C2" s="127"/>
      <c r="D2" s="127"/>
      <c r="E2" s="127"/>
      <c r="F2" s="127"/>
      <c r="G2" s="127"/>
      <c r="H2" s="127"/>
    </row>
    <row r="3" spans="1:20" x14ac:dyDescent="0.25">
      <c r="A3" s="128" t="s">
        <v>30</v>
      </c>
      <c r="B3" s="189">
        <v>1</v>
      </c>
      <c r="C3" s="127"/>
      <c r="D3" s="127"/>
      <c r="E3" s="206"/>
      <c r="F3" s="213"/>
      <c r="G3" s="199"/>
      <c r="H3" s="127"/>
    </row>
    <row r="4" spans="1:20" x14ac:dyDescent="0.25">
      <c r="A4" s="128" t="s">
        <v>3</v>
      </c>
      <c r="B4" s="132">
        <f>B2+B3</f>
        <v>601</v>
      </c>
      <c r="C4" s="127"/>
      <c r="D4" s="127"/>
      <c r="E4" s="127"/>
      <c r="F4" s="127"/>
      <c r="G4" s="127"/>
      <c r="H4" s="127"/>
    </row>
    <row r="5" spans="1:20" x14ac:dyDescent="0.25">
      <c r="A5" s="127"/>
      <c r="B5" s="131"/>
      <c r="C5" s="127"/>
      <c r="D5" s="127"/>
      <c r="F5" s="127"/>
      <c r="G5" s="127"/>
      <c r="H5" s="127"/>
    </row>
    <row r="6" spans="1:20" x14ac:dyDescent="0.25">
      <c r="A6" s="134" t="s">
        <v>42</v>
      </c>
      <c r="B6" s="135">
        <v>68</v>
      </c>
      <c r="C6" s="127"/>
      <c r="D6" s="188" t="s">
        <v>43</v>
      </c>
      <c r="E6" s="136">
        <v>0</v>
      </c>
      <c r="F6" s="206"/>
      <c r="G6" s="128" t="s">
        <v>44</v>
      </c>
      <c r="H6" s="136">
        <f>SUM(B6+E6)</f>
        <v>68</v>
      </c>
    </row>
    <row r="7" spans="1:20" x14ac:dyDescent="0.25">
      <c r="A7" s="130"/>
      <c r="B7" s="137"/>
      <c r="C7" s="127"/>
      <c r="D7" s="130"/>
      <c r="E7" s="130"/>
      <c r="F7" s="127"/>
      <c r="G7" s="128" t="s">
        <v>5</v>
      </c>
      <c r="H7" s="138">
        <f>H6/B4*100</f>
        <v>11.314475873544092</v>
      </c>
    </row>
    <row r="10" spans="1:20" ht="21.75" customHeight="1" x14ac:dyDescent="0.25">
      <c r="A10" s="317" t="s">
        <v>65</v>
      </c>
      <c r="B10" s="318"/>
      <c r="C10" s="127"/>
      <c r="D10" s="313" t="s">
        <v>24</v>
      </c>
      <c r="E10" s="314"/>
      <c r="F10" s="127"/>
      <c r="G10" s="313" t="s">
        <v>25</v>
      </c>
      <c r="H10" s="314"/>
      <c r="I10" s="127"/>
      <c r="J10" s="313" t="s">
        <v>113</v>
      </c>
      <c r="K10" s="314"/>
      <c r="L10" s="127"/>
      <c r="M10" s="313" t="s">
        <v>27</v>
      </c>
      <c r="N10" s="314"/>
      <c r="O10" s="127"/>
      <c r="P10" s="313" t="s">
        <v>114</v>
      </c>
      <c r="Q10" s="314"/>
      <c r="R10" s="127"/>
      <c r="S10" s="315" t="s">
        <v>115</v>
      </c>
      <c r="T10" s="316"/>
    </row>
    <row r="11" spans="1:20" x14ac:dyDescent="0.25">
      <c r="A11" s="128" t="s">
        <v>28</v>
      </c>
      <c r="B11" s="128">
        <v>92</v>
      </c>
      <c r="C11" s="127"/>
      <c r="D11" s="190" t="s">
        <v>29</v>
      </c>
      <c r="E11" s="190">
        <v>47</v>
      </c>
      <c r="F11" s="127"/>
      <c r="G11" s="190" t="s">
        <v>29</v>
      </c>
      <c r="H11" s="190">
        <v>21</v>
      </c>
      <c r="I11" s="127"/>
      <c r="J11" s="190" t="s">
        <v>29</v>
      </c>
      <c r="K11" s="190">
        <v>3</v>
      </c>
      <c r="L11" s="127"/>
      <c r="M11" s="190" t="s">
        <v>29</v>
      </c>
      <c r="N11" s="190">
        <v>3</v>
      </c>
      <c r="O11" s="127"/>
      <c r="P11" s="190" t="s">
        <v>29</v>
      </c>
      <c r="Q11" s="190">
        <v>12</v>
      </c>
      <c r="R11" s="127"/>
      <c r="S11" s="128" t="s">
        <v>29</v>
      </c>
      <c r="T11" s="128">
        <v>6</v>
      </c>
    </row>
    <row r="12" spans="1:20" x14ac:dyDescent="0.25">
      <c r="A12" s="128" t="s">
        <v>30</v>
      </c>
      <c r="B12" s="128">
        <v>0</v>
      </c>
      <c r="C12" s="127"/>
      <c r="D12" s="128" t="s">
        <v>30</v>
      </c>
      <c r="E12" s="174">
        <v>0</v>
      </c>
      <c r="F12" s="127"/>
      <c r="G12" s="128" t="s">
        <v>30</v>
      </c>
      <c r="H12" s="128">
        <v>0</v>
      </c>
      <c r="I12" s="127"/>
      <c r="J12" s="128" t="s">
        <v>30</v>
      </c>
      <c r="K12" s="128">
        <v>0</v>
      </c>
      <c r="L12" s="127"/>
      <c r="M12" s="128" t="s">
        <v>30</v>
      </c>
      <c r="N12" s="128">
        <v>0</v>
      </c>
      <c r="O12" s="127"/>
      <c r="P12" s="128" t="s">
        <v>30</v>
      </c>
      <c r="Q12" s="128">
        <v>0</v>
      </c>
      <c r="R12" s="127"/>
      <c r="S12" s="128" t="s">
        <v>30</v>
      </c>
      <c r="T12" s="128">
        <v>0</v>
      </c>
    </row>
    <row r="13" spans="1:20" x14ac:dyDescent="0.25">
      <c r="A13" s="140" t="s">
        <v>125</v>
      </c>
      <c r="B13" s="140">
        <f>SUM(E13+H13+K13+N13+Q13+T13)</f>
        <v>92</v>
      </c>
      <c r="C13" s="127"/>
      <c r="D13" s="140" t="s">
        <v>125</v>
      </c>
      <c r="E13" s="140">
        <f>E11+E12</f>
        <v>47</v>
      </c>
      <c r="F13" s="127"/>
      <c r="G13" s="140" t="s">
        <v>125</v>
      </c>
      <c r="H13" s="140">
        <f>SUM(H11+H12)</f>
        <v>21</v>
      </c>
      <c r="I13" s="127"/>
      <c r="J13" s="140" t="s">
        <v>125</v>
      </c>
      <c r="K13" s="140">
        <v>3</v>
      </c>
      <c r="L13" s="127"/>
      <c r="M13" s="140" t="s">
        <v>125</v>
      </c>
      <c r="N13" s="140">
        <v>3</v>
      </c>
      <c r="O13" s="127"/>
      <c r="P13" s="140" t="s">
        <v>125</v>
      </c>
      <c r="Q13" s="140">
        <v>12</v>
      </c>
      <c r="R13" s="127"/>
      <c r="S13" s="140" t="s">
        <v>125</v>
      </c>
      <c r="T13" s="140">
        <v>6</v>
      </c>
    </row>
    <row r="14" spans="1:20" x14ac:dyDescent="0.25">
      <c r="A14" s="128" t="s">
        <v>66</v>
      </c>
      <c r="B14" s="141">
        <f>SUM(E14+H14+K14+N14+Q14+T14)</f>
        <v>16</v>
      </c>
      <c r="D14" s="128" t="s">
        <v>136</v>
      </c>
      <c r="E14" s="141">
        <v>10</v>
      </c>
      <c r="F14" s="127"/>
      <c r="G14" s="128" t="s">
        <v>136</v>
      </c>
      <c r="H14" s="141">
        <v>2</v>
      </c>
      <c r="I14" s="127"/>
      <c r="J14" s="128" t="s">
        <v>4</v>
      </c>
      <c r="K14" s="141">
        <v>1</v>
      </c>
      <c r="L14" s="127"/>
      <c r="M14" s="128" t="s">
        <v>136</v>
      </c>
      <c r="N14" s="141">
        <v>0</v>
      </c>
      <c r="O14" s="127"/>
      <c r="P14" s="128" t="s">
        <v>136</v>
      </c>
      <c r="Q14" s="141">
        <v>2</v>
      </c>
      <c r="R14" s="127"/>
      <c r="S14" s="128" t="s">
        <v>4</v>
      </c>
      <c r="T14" s="142">
        <v>1</v>
      </c>
    </row>
    <row r="15" spans="1:20" x14ac:dyDescent="0.25">
      <c r="A15" s="128" t="s">
        <v>5</v>
      </c>
      <c r="B15" s="143">
        <f>B14/B13*100</f>
        <v>17.391304347826086</v>
      </c>
      <c r="C15" s="127"/>
      <c r="D15" s="128" t="s">
        <v>5</v>
      </c>
      <c r="E15" s="143">
        <f>E14/E13*100</f>
        <v>21.276595744680851</v>
      </c>
      <c r="F15" s="127"/>
      <c r="G15" s="128" t="s">
        <v>5</v>
      </c>
      <c r="H15" s="143">
        <f>H14/H13*100</f>
        <v>9.5238095238095237</v>
      </c>
      <c r="I15" s="127"/>
      <c r="J15" s="128" t="s">
        <v>5</v>
      </c>
      <c r="K15" s="144">
        <f>K14/K13*100</f>
        <v>33.333333333333329</v>
      </c>
      <c r="L15" s="127"/>
      <c r="M15" s="128" t="s">
        <v>5</v>
      </c>
      <c r="N15" s="144">
        <f>N14/N13*100</f>
        <v>0</v>
      </c>
      <c r="O15" s="127"/>
      <c r="P15" s="128" t="s">
        <v>5</v>
      </c>
      <c r="Q15" s="145">
        <f>Q14/Q13*100</f>
        <v>16.666666666666664</v>
      </c>
      <c r="R15" s="127"/>
      <c r="S15" s="128" t="s">
        <v>5</v>
      </c>
      <c r="T15" s="144">
        <f>T14/T13*100</f>
        <v>16.666666666666664</v>
      </c>
    </row>
    <row r="16" spans="1:20" x14ac:dyDescent="0.25">
      <c r="A16" s="130"/>
      <c r="B16" s="130"/>
      <c r="D16" s="130"/>
      <c r="E16" s="146"/>
      <c r="F16" s="127"/>
      <c r="G16" s="148"/>
      <c r="H16" s="146"/>
      <c r="I16" s="127"/>
      <c r="J16" s="148"/>
      <c r="K16" s="149"/>
      <c r="L16" s="147"/>
      <c r="M16" s="130"/>
      <c r="N16" s="150"/>
      <c r="O16" s="127"/>
      <c r="P16" s="127"/>
      <c r="Q16" s="127"/>
      <c r="R16" s="127"/>
      <c r="S16" s="127"/>
      <c r="T16" s="127"/>
    </row>
    <row r="17" spans="1:20" x14ac:dyDescent="0.25">
      <c r="A17" s="127"/>
      <c r="B17" s="127"/>
      <c r="C17" s="127"/>
      <c r="D17" s="127"/>
      <c r="E17" s="130"/>
      <c r="F17" s="127"/>
      <c r="G17" s="147"/>
      <c r="H17" s="147"/>
      <c r="I17" s="127"/>
      <c r="J17" s="147"/>
      <c r="K17" s="147"/>
      <c r="L17" s="147"/>
      <c r="M17" s="151"/>
      <c r="N17" s="127"/>
      <c r="O17" s="127"/>
      <c r="P17" s="127"/>
      <c r="Q17" s="127"/>
      <c r="R17" s="127"/>
      <c r="S17" s="127"/>
      <c r="T17" s="127"/>
    </row>
    <row r="18" spans="1:20" ht="21" customHeight="1" x14ac:dyDescent="0.25">
      <c r="A18" s="317" t="s">
        <v>71</v>
      </c>
      <c r="B18" s="318"/>
      <c r="C18" s="127"/>
      <c r="D18" s="317" t="s">
        <v>61</v>
      </c>
      <c r="E18" s="318"/>
      <c r="F18" s="127"/>
      <c r="G18" s="317" t="s">
        <v>62</v>
      </c>
      <c r="H18" s="318"/>
      <c r="I18" s="127"/>
      <c r="J18" s="317" t="s">
        <v>92</v>
      </c>
      <c r="K18" s="318"/>
      <c r="L18" s="127"/>
      <c r="M18" s="313" t="s">
        <v>64</v>
      </c>
      <c r="N18" s="314"/>
      <c r="O18" s="127"/>
      <c r="P18" s="315" t="s">
        <v>90</v>
      </c>
      <c r="Q18" s="316"/>
      <c r="R18" s="127"/>
      <c r="S18" s="313" t="s">
        <v>91</v>
      </c>
      <c r="T18" s="314"/>
    </row>
    <row r="19" spans="1:20" x14ac:dyDescent="0.25">
      <c r="A19" s="152" t="s">
        <v>29</v>
      </c>
      <c r="B19" s="153">
        <f>SUM(E19+H19+K19+N19+Q19+T19)</f>
        <v>44</v>
      </c>
      <c r="C19" s="147"/>
      <c r="D19" s="154" t="s">
        <v>29</v>
      </c>
      <c r="E19" s="154">
        <v>25</v>
      </c>
      <c r="F19" s="127"/>
      <c r="G19" s="154" t="s">
        <v>29</v>
      </c>
      <c r="H19" s="60">
        <v>7</v>
      </c>
      <c r="I19" s="127"/>
      <c r="J19" s="154" t="s">
        <v>29</v>
      </c>
      <c r="K19" s="154">
        <v>1</v>
      </c>
      <c r="L19" s="127"/>
      <c r="M19" s="154" t="s">
        <v>29</v>
      </c>
      <c r="N19" s="154">
        <v>2</v>
      </c>
      <c r="O19" s="127"/>
      <c r="P19" s="154" t="s">
        <v>29</v>
      </c>
      <c r="Q19" s="154">
        <v>7</v>
      </c>
      <c r="R19" s="127"/>
      <c r="S19" s="154" t="s">
        <v>29</v>
      </c>
      <c r="T19" s="60">
        <v>2</v>
      </c>
    </row>
    <row r="20" spans="1:20" x14ac:dyDescent="0.25">
      <c r="A20" s="140" t="s">
        <v>125</v>
      </c>
      <c r="B20" s="155">
        <f>B19</f>
        <v>44</v>
      </c>
      <c r="C20" s="127"/>
      <c r="D20" s="140" t="s">
        <v>125</v>
      </c>
      <c r="E20" s="156">
        <v>25</v>
      </c>
      <c r="F20" s="127"/>
      <c r="G20" s="140" t="s">
        <v>125</v>
      </c>
      <c r="H20" s="156">
        <v>6</v>
      </c>
      <c r="I20" s="127"/>
      <c r="J20" s="140" t="s">
        <v>125</v>
      </c>
      <c r="K20" s="156">
        <v>1</v>
      </c>
      <c r="L20" s="127"/>
      <c r="M20" s="140" t="s">
        <v>125</v>
      </c>
      <c r="N20" s="156">
        <v>2</v>
      </c>
      <c r="O20" s="127"/>
      <c r="P20" s="140" t="s">
        <v>125</v>
      </c>
      <c r="Q20" s="156">
        <v>7</v>
      </c>
      <c r="R20" s="127"/>
      <c r="S20" s="155" t="s">
        <v>125</v>
      </c>
      <c r="T20" s="154">
        <v>2</v>
      </c>
    </row>
    <row r="21" spans="1:20" x14ac:dyDescent="0.25">
      <c r="A21" s="128" t="s">
        <v>72</v>
      </c>
      <c r="B21" s="141">
        <v>2</v>
      </c>
      <c r="C21" s="127"/>
      <c r="D21" s="128" t="s">
        <v>73</v>
      </c>
      <c r="E21" s="141">
        <v>1</v>
      </c>
      <c r="F21" s="127"/>
      <c r="G21" s="128" t="s">
        <v>74</v>
      </c>
      <c r="H21" s="140">
        <v>1</v>
      </c>
      <c r="I21" s="127"/>
      <c r="J21" s="128" t="s">
        <v>75</v>
      </c>
      <c r="K21" s="140">
        <v>0</v>
      </c>
      <c r="L21" s="127"/>
      <c r="M21" s="128" t="s">
        <v>76</v>
      </c>
      <c r="N21" s="140">
        <v>0</v>
      </c>
      <c r="O21" s="127"/>
      <c r="P21" s="191" t="s">
        <v>245</v>
      </c>
      <c r="Q21" s="142">
        <v>0</v>
      </c>
      <c r="R21" s="127"/>
      <c r="S21" s="193" t="s">
        <v>133</v>
      </c>
      <c r="T21" s="194">
        <v>0</v>
      </c>
    </row>
    <row r="22" spans="1:20" x14ac:dyDescent="0.25">
      <c r="A22" s="157" t="s">
        <v>5</v>
      </c>
      <c r="B22" s="145">
        <f>B21/B20*100</f>
        <v>4.5454545454545459</v>
      </c>
      <c r="C22" s="127"/>
      <c r="D22" s="128" t="s">
        <v>5</v>
      </c>
      <c r="E22" s="158">
        <f>E21/E20*100</f>
        <v>4</v>
      </c>
      <c r="F22" s="127"/>
      <c r="G22" s="128" t="s">
        <v>5</v>
      </c>
      <c r="H22" s="145">
        <f>H21/H20*100</f>
        <v>16.666666666666664</v>
      </c>
      <c r="I22" s="127"/>
      <c r="J22" s="128" t="s">
        <v>5</v>
      </c>
      <c r="K22" s="145">
        <f>K21/K20*100</f>
        <v>0</v>
      </c>
      <c r="L22" s="127"/>
      <c r="M22" s="128" t="s">
        <v>5</v>
      </c>
      <c r="N22" s="145">
        <f>N21/N20*100</f>
        <v>0</v>
      </c>
      <c r="O22" s="127"/>
      <c r="P22" s="128" t="s">
        <v>5</v>
      </c>
      <c r="Q22" s="144">
        <f>Q21/Q20*100</f>
        <v>0</v>
      </c>
      <c r="R22" s="127"/>
      <c r="S22" s="190" t="s">
        <v>5</v>
      </c>
      <c r="T22" s="192">
        <f>T21/T20*100</f>
        <v>0</v>
      </c>
    </row>
    <row r="23" spans="1:20" x14ac:dyDescent="0.25">
      <c r="A23" s="148"/>
      <c r="B23" s="159"/>
      <c r="C23" s="127"/>
      <c r="D23" s="127"/>
      <c r="E23" s="127"/>
      <c r="F23" s="127"/>
      <c r="G23" s="130"/>
      <c r="H23" s="150"/>
      <c r="I23" s="127"/>
      <c r="J23" s="130"/>
      <c r="K23" s="150"/>
      <c r="L23" s="127"/>
      <c r="M23" s="130"/>
      <c r="N23" s="150"/>
      <c r="O23" s="127"/>
      <c r="P23" s="127"/>
      <c r="Q23" s="127"/>
      <c r="R23" s="127"/>
      <c r="S23" s="127"/>
      <c r="T23" s="127"/>
    </row>
    <row r="24" spans="1:20" x14ac:dyDescent="0.25">
      <c r="A24" s="154" t="s">
        <v>126</v>
      </c>
      <c r="B24" s="154">
        <f>B13+B20</f>
        <v>136</v>
      </c>
      <c r="C24" s="127"/>
      <c r="D24" s="127"/>
      <c r="E24" s="127"/>
      <c r="F24" s="127"/>
      <c r="G24" s="130"/>
      <c r="H24" s="150"/>
      <c r="I24" s="127"/>
      <c r="J24" s="130"/>
      <c r="K24" s="150"/>
      <c r="L24" s="127"/>
      <c r="M24" s="130"/>
      <c r="N24" s="150"/>
      <c r="O24" s="127"/>
      <c r="P24" s="127"/>
      <c r="Q24" s="127"/>
      <c r="R24" s="127"/>
      <c r="S24" s="127"/>
      <c r="T24" s="127"/>
    </row>
    <row r="25" spans="1:20" x14ac:dyDescent="0.25">
      <c r="A25" s="154" t="s">
        <v>44</v>
      </c>
      <c r="B25" s="156">
        <f>B14+B21</f>
        <v>18</v>
      </c>
      <c r="C25" s="127"/>
      <c r="D25" s="127"/>
      <c r="E25" s="127"/>
      <c r="F25" s="127"/>
      <c r="G25" s="130"/>
      <c r="H25" s="150"/>
      <c r="I25" s="127"/>
      <c r="J25" s="130"/>
      <c r="K25" s="150"/>
      <c r="L25" s="127"/>
      <c r="M25" s="130"/>
      <c r="N25" s="150"/>
      <c r="O25" s="127"/>
      <c r="P25" s="127"/>
      <c r="Q25" s="127"/>
      <c r="R25" s="127"/>
      <c r="S25" s="127"/>
      <c r="T25" s="127"/>
    </row>
    <row r="26" spans="1:20" x14ac:dyDescent="0.25">
      <c r="A26" s="161" t="s">
        <v>83</v>
      </c>
      <c r="B26" s="162">
        <f>B25/B24*100</f>
        <v>13.23529411764706</v>
      </c>
      <c r="C26" s="127"/>
      <c r="D26" s="127"/>
      <c r="E26" s="127"/>
      <c r="F26" s="127"/>
      <c r="G26" s="130"/>
      <c r="H26" s="196"/>
      <c r="I26" s="127"/>
      <c r="J26" s="130"/>
      <c r="K26" s="150"/>
      <c r="L26" s="127"/>
      <c r="M26" s="130"/>
      <c r="N26" s="150"/>
      <c r="O26" s="127"/>
      <c r="P26" s="127"/>
      <c r="Q26" s="127"/>
      <c r="R26" s="127"/>
      <c r="S26" s="127"/>
      <c r="T26" s="127"/>
    </row>
    <row r="27" spans="1:20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47"/>
      <c r="L27" s="127"/>
      <c r="M27" s="151"/>
      <c r="N27" s="127"/>
      <c r="O27" s="127"/>
      <c r="P27" s="127"/>
      <c r="Q27" s="127"/>
      <c r="R27" s="127"/>
      <c r="S27" s="127"/>
      <c r="T27" s="127"/>
    </row>
    <row r="28" spans="1:20" ht="19.5" customHeight="1" x14ac:dyDescent="0.25">
      <c r="A28" s="313" t="s">
        <v>137</v>
      </c>
      <c r="B28" s="314"/>
      <c r="C28" s="127"/>
      <c r="D28" s="313" t="s">
        <v>104</v>
      </c>
      <c r="E28" s="313"/>
      <c r="F28" s="127"/>
      <c r="G28" s="313" t="s">
        <v>105</v>
      </c>
      <c r="H28" s="314"/>
      <c r="I28" s="127"/>
      <c r="J28" s="313" t="s">
        <v>106</v>
      </c>
      <c r="K28" s="314"/>
      <c r="L28" s="127"/>
      <c r="M28" s="313" t="s">
        <v>36</v>
      </c>
      <c r="N28" s="314"/>
      <c r="O28" s="127"/>
      <c r="P28" s="313" t="s">
        <v>93</v>
      </c>
      <c r="Q28" s="314"/>
      <c r="R28" s="127"/>
      <c r="S28" s="313" t="s">
        <v>94</v>
      </c>
      <c r="T28" s="314"/>
    </row>
    <row r="29" spans="1:20" x14ac:dyDescent="0.25">
      <c r="A29" s="214" t="s">
        <v>28</v>
      </c>
      <c r="B29" s="218">
        <v>261</v>
      </c>
      <c r="C29" s="127"/>
      <c r="D29" s="190" t="s">
        <v>28</v>
      </c>
      <c r="E29" s="190">
        <v>142</v>
      </c>
      <c r="F29" s="127"/>
      <c r="G29" s="190" t="s">
        <v>28</v>
      </c>
      <c r="H29" s="190">
        <v>60</v>
      </c>
      <c r="I29" s="127"/>
      <c r="J29" s="190" t="s">
        <v>28</v>
      </c>
      <c r="K29" s="190">
        <v>13</v>
      </c>
      <c r="L29" s="127"/>
      <c r="M29" s="190" t="s">
        <v>28</v>
      </c>
      <c r="N29" s="190">
        <v>11</v>
      </c>
      <c r="O29" s="127"/>
      <c r="P29" s="190" t="s">
        <v>28</v>
      </c>
      <c r="Q29" s="190">
        <v>25</v>
      </c>
      <c r="R29" s="127"/>
      <c r="S29" s="190" t="s">
        <v>28</v>
      </c>
      <c r="T29" s="190">
        <v>10</v>
      </c>
    </row>
    <row r="30" spans="1:20" x14ac:dyDescent="0.25">
      <c r="A30" s="215" t="s">
        <v>30</v>
      </c>
      <c r="B30" s="60">
        <v>1</v>
      </c>
      <c r="C30" s="127"/>
      <c r="D30" s="128" t="s">
        <v>30</v>
      </c>
      <c r="E30" s="174">
        <v>0</v>
      </c>
      <c r="F30" s="127"/>
      <c r="G30" s="128" t="s">
        <v>30</v>
      </c>
      <c r="H30" s="174">
        <v>1</v>
      </c>
      <c r="I30" s="127"/>
      <c r="J30" s="128" t="s">
        <v>30</v>
      </c>
      <c r="K30" s="128">
        <v>0</v>
      </c>
      <c r="L30" s="127"/>
      <c r="M30" s="128" t="s">
        <v>30</v>
      </c>
      <c r="N30" s="128">
        <v>0</v>
      </c>
      <c r="O30" s="127"/>
      <c r="P30" s="128" t="s">
        <v>30</v>
      </c>
      <c r="Q30" s="128">
        <v>0</v>
      </c>
      <c r="R30" s="127"/>
      <c r="S30" s="128" t="s">
        <v>30</v>
      </c>
      <c r="T30" s="128">
        <v>0</v>
      </c>
    </row>
    <row r="31" spans="1:20" x14ac:dyDescent="0.25">
      <c r="A31" s="216" t="s">
        <v>125</v>
      </c>
      <c r="B31" s="200">
        <f>SUM(B29+B30)</f>
        <v>262</v>
      </c>
      <c r="C31" s="127"/>
      <c r="D31" s="163" t="s">
        <v>125</v>
      </c>
      <c r="E31" s="163">
        <f>SUM(E29+E30)</f>
        <v>142</v>
      </c>
      <c r="F31" s="127"/>
      <c r="G31" s="163" t="s">
        <v>125</v>
      </c>
      <c r="H31" s="163">
        <v>61</v>
      </c>
      <c r="I31" s="127"/>
      <c r="J31" s="163" t="s">
        <v>125</v>
      </c>
      <c r="K31" s="163">
        <v>13</v>
      </c>
      <c r="L31" s="127"/>
      <c r="M31" s="163" t="s">
        <v>125</v>
      </c>
      <c r="N31" s="163">
        <v>11</v>
      </c>
      <c r="O31" s="127"/>
      <c r="P31" s="163" t="s">
        <v>125</v>
      </c>
      <c r="Q31" s="163">
        <v>20</v>
      </c>
      <c r="R31" s="127"/>
      <c r="S31" s="163" t="s">
        <v>125</v>
      </c>
      <c r="T31" s="163">
        <v>10</v>
      </c>
    </row>
    <row r="32" spans="1:20" x14ac:dyDescent="0.25">
      <c r="A32" s="217" t="s">
        <v>4</v>
      </c>
      <c r="B32" s="219">
        <v>41</v>
      </c>
      <c r="C32" s="127"/>
      <c r="D32" s="128" t="s">
        <v>4</v>
      </c>
      <c r="E32" s="165">
        <v>23</v>
      </c>
      <c r="F32" s="127"/>
      <c r="G32" s="128" t="s">
        <v>4</v>
      </c>
      <c r="H32" s="164">
        <v>11</v>
      </c>
      <c r="I32" s="127"/>
      <c r="J32" s="128" t="s">
        <v>4</v>
      </c>
      <c r="K32" s="166">
        <v>2</v>
      </c>
      <c r="L32" s="127"/>
      <c r="M32" s="128" t="s">
        <v>4</v>
      </c>
      <c r="N32" s="167">
        <v>1</v>
      </c>
      <c r="O32" s="127"/>
      <c r="P32" s="128" t="s">
        <v>4</v>
      </c>
      <c r="Q32" s="167">
        <v>2</v>
      </c>
      <c r="R32" s="127"/>
      <c r="S32" s="184" t="s">
        <v>4</v>
      </c>
      <c r="T32" s="167">
        <v>2</v>
      </c>
    </row>
    <row r="33" spans="1:20" x14ac:dyDescent="0.25">
      <c r="A33" s="215" t="s">
        <v>5</v>
      </c>
      <c r="B33" s="220">
        <f>B32/B31*100</f>
        <v>15.648854961832063</v>
      </c>
      <c r="C33" s="127"/>
      <c r="D33" s="128" t="s">
        <v>5</v>
      </c>
      <c r="E33" s="162">
        <f>E32/E31*100</f>
        <v>16.197183098591552</v>
      </c>
      <c r="G33" s="128" t="s">
        <v>5</v>
      </c>
      <c r="H33" s="145">
        <f>H32/H31*100</f>
        <v>18.032786885245901</v>
      </c>
      <c r="I33" s="127"/>
      <c r="J33" s="128" t="s">
        <v>5</v>
      </c>
      <c r="K33" s="145">
        <f>K32/K31*100</f>
        <v>15.384615384615385</v>
      </c>
      <c r="M33" s="128" t="s">
        <v>5</v>
      </c>
      <c r="N33" s="145">
        <f>N32/N31*100</f>
        <v>9.0909090909090917</v>
      </c>
      <c r="O33" s="127"/>
      <c r="P33" s="128" t="s">
        <v>5</v>
      </c>
      <c r="Q33" s="145">
        <f>Q32/Q31*100</f>
        <v>10</v>
      </c>
      <c r="R33" s="127"/>
      <c r="S33" s="128" t="s">
        <v>5</v>
      </c>
      <c r="T33" s="145">
        <f>T32/T31*100</f>
        <v>20</v>
      </c>
    </row>
    <row r="34" spans="1:20" x14ac:dyDescent="0.25">
      <c r="A34" s="127"/>
      <c r="B34" s="127"/>
      <c r="D34" s="127"/>
      <c r="E34" s="127"/>
      <c r="F34" s="147"/>
      <c r="G34" s="127"/>
      <c r="H34" s="127"/>
      <c r="I34" s="127"/>
      <c r="J34" s="127"/>
      <c r="K34" s="127"/>
      <c r="L34" s="127"/>
      <c r="M34" s="127"/>
      <c r="N34" s="130"/>
      <c r="O34" s="127"/>
      <c r="P34" s="127"/>
      <c r="Q34" s="127"/>
      <c r="R34" s="127"/>
      <c r="S34" s="127"/>
      <c r="T34" s="127"/>
    </row>
    <row r="35" spans="1:20" ht="23.25" customHeight="1" x14ac:dyDescent="0.25">
      <c r="A35" s="313" t="s">
        <v>77</v>
      </c>
      <c r="B35" s="314"/>
      <c r="C35" s="127"/>
      <c r="D35" s="313" t="s">
        <v>48</v>
      </c>
      <c r="E35" s="313"/>
      <c r="G35" s="313" t="s">
        <v>49</v>
      </c>
      <c r="H35" s="314"/>
      <c r="I35" s="127"/>
      <c r="J35" s="313" t="s">
        <v>108</v>
      </c>
      <c r="K35" s="314"/>
      <c r="L35" s="127"/>
      <c r="M35" s="313" t="s">
        <v>51</v>
      </c>
      <c r="N35" s="314"/>
      <c r="O35" s="127"/>
      <c r="P35" s="313" t="s">
        <v>98</v>
      </c>
      <c r="Q35" s="314"/>
      <c r="R35" s="127"/>
      <c r="S35" s="313" t="s">
        <v>97</v>
      </c>
      <c r="T35" s="314"/>
    </row>
    <row r="36" spans="1:20" x14ac:dyDescent="0.25">
      <c r="A36" s="211" t="s">
        <v>28</v>
      </c>
      <c r="B36" s="211">
        <f>SUM(E36+H36+K36+N36+Q36+T36)</f>
        <v>39</v>
      </c>
      <c r="C36" s="208"/>
      <c r="D36" s="200" t="s">
        <v>28</v>
      </c>
      <c r="E36" s="200">
        <v>22</v>
      </c>
      <c r="F36" s="127"/>
      <c r="G36" s="211" t="s">
        <v>28</v>
      </c>
      <c r="H36" s="211">
        <v>8</v>
      </c>
      <c r="I36" s="127"/>
      <c r="J36" s="211" t="s">
        <v>28</v>
      </c>
      <c r="K36" s="211">
        <v>1</v>
      </c>
      <c r="L36" s="127"/>
      <c r="M36" s="211" t="s">
        <v>28</v>
      </c>
      <c r="N36" s="211">
        <v>1</v>
      </c>
      <c r="O36" s="127"/>
      <c r="P36" s="211" t="s">
        <v>28</v>
      </c>
      <c r="Q36" s="211">
        <v>5</v>
      </c>
      <c r="R36" s="127"/>
      <c r="S36" s="200" t="s">
        <v>28</v>
      </c>
      <c r="T36" s="200">
        <v>2</v>
      </c>
    </row>
    <row r="37" spans="1:20" x14ac:dyDescent="0.25">
      <c r="A37" s="128" t="s">
        <v>78</v>
      </c>
      <c r="B37" s="169">
        <v>1</v>
      </c>
      <c r="C37" s="127"/>
      <c r="D37" s="193" t="s">
        <v>136</v>
      </c>
      <c r="E37" s="201">
        <v>0</v>
      </c>
      <c r="F37" s="127"/>
      <c r="G37" s="128" t="s">
        <v>4</v>
      </c>
      <c r="H37" s="167">
        <v>1</v>
      </c>
      <c r="I37" s="127"/>
      <c r="J37" s="128" t="s">
        <v>4</v>
      </c>
      <c r="K37" s="166">
        <v>0</v>
      </c>
      <c r="L37" s="127"/>
      <c r="M37" s="128" t="s">
        <v>4</v>
      </c>
      <c r="N37" s="166">
        <v>0</v>
      </c>
      <c r="O37" s="127"/>
      <c r="P37" s="128" t="s">
        <v>4</v>
      </c>
      <c r="Q37" s="166">
        <v>0</v>
      </c>
      <c r="R37" s="127"/>
      <c r="S37" s="190" t="s">
        <v>4</v>
      </c>
      <c r="T37" s="212">
        <v>0</v>
      </c>
    </row>
    <row r="38" spans="1:20" x14ac:dyDescent="0.25">
      <c r="A38" s="128" t="s">
        <v>5</v>
      </c>
      <c r="B38" s="158">
        <f>B37/B36*100</f>
        <v>2.5641025641025639</v>
      </c>
      <c r="C38" s="127"/>
      <c r="D38" s="193" t="s">
        <v>5</v>
      </c>
      <c r="E38" s="202">
        <f>E37/E36*100</f>
        <v>0</v>
      </c>
      <c r="F38" s="127"/>
      <c r="G38" s="128" t="s">
        <v>5</v>
      </c>
      <c r="H38" s="162">
        <f>H37/H36*100</f>
        <v>12.5</v>
      </c>
      <c r="I38" s="127"/>
      <c r="J38" s="128" t="s">
        <v>5</v>
      </c>
      <c r="K38" s="162">
        <f>K37/K36*100</f>
        <v>0</v>
      </c>
      <c r="L38" s="127"/>
      <c r="M38" s="128" t="s">
        <v>5</v>
      </c>
      <c r="N38" s="162">
        <f>N37/N36*100</f>
        <v>0</v>
      </c>
      <c r="O38" s="127"/>
      <c r="P38" s="128" t="s">
        <v>5</v>
      </c>
      <c r="Q38" s="162">
        <f>Q37/Q36*100</f>
        <v>0</v>
      </c>
      <c r="R38" s="127"/>
      <c r="S38" s="128" t="s">
        <v>5</v>
      </c>
      <c r="T38" s="162">
        <f>T37/T36*100</f>
        <v>0</v>
      </c>
    </row>
    <row r="39" spans="1:20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spans="1:20" ht="24" customHeight="1" x14ac:dyDescent="0.25">
      <c r="A40" s="315" t="s">
        <v>116</v>
      </c>
      <c r="B40" s="316"/>
      <c r="C40" s="127"/>
      <c r="D40" s="313" t="s">
        <v>117</v>
      </c>
      <c r="E40" s="313"/>
      <c r="F40" s="127"/>
      <c r="G40" s="313" t="s">
        <v>118</v>
      </c>
      <c r="H40" s="314"/>
      <c r="I40" s="127"/>
      <c r="J40" s="313" t="s">
        <v>119</v>
      </c>
      <c r="K40" s="314"/>
      <c r="L40" s="127"/>
      <c r="M40" s="313" t="s">
        <v>120</v>
      </c>
      <c r="N40" s="314"/>
      <c r="O40" s="127"/>
      <c r="P40" s="313" t="s">
        <v>127</v>
      </c>
      <c r="Q40" s="314"/>
      <c r="R40" s="127"/>
      <c r="S40" s="313" t="s">
        <v>128</v>
      </c>
      <c r="T40" s="314"/>
    </row>
    <row r="41" spans="1:20" x14ac:dyDescent="0.25">
      <c r="A41" s="163" t="s">
        <v>28</v>
      </c>
      <c r="B41" s="163">
        <f>SUM(E41+H41+K41+N41+Q41+T41)</f>
        <v>44</v>
      </c>
      <c r="C41" s="127"/>
      <c r="D41" s="211" t="s">
        <v>28</v>
      </c>
      <c r="E41" s="211">
        <v>20</v>
      </c>
      <c r="F41" s="127"/>
      <c r="G41" s="211" t="s">
        <v>28</v>
      </c>
      <c r="H41" s="211">
        <v>8</v>
      </c>
      <c r="I41" s="127"/>
      <c r="J41" s="211" t="s">
        <v>28</v>
      </c>
      <c r="K41" s="211">
        <v>1</v>
      </c>
      <c r="L41" s="127"/>
      <c r="M41" s="211" t="s">
        <v>28</v>
      </c>
      <c r="N41" s="211">
        <v>3</v>
      </c>
      <c r="O41" s="127"/>
      <c r="P41" s="211" t="s">
        <v>28</v>
      </c>
      <c r="Q41" s="211">
        <v>9</v>
      </c>
      <c r="R41" s="127"/>
      <c r="S41" s="200" t="s">
        <v>28</v>
      </c>
      <c r="T41" s="200">
        <v>3</v>
      </c>
    </row>
    <row r="42" spans="1:20" x14ac:dyDescent="0.25">
      <c r="A42" s="128" t="s">
        <v>121</v>
      </c>
      <c r="B42" s="167">
        <v>2</v>
      </c>
      <c r="C42" s="127"/>
      <c r="D42" s="128" t="s">
        <v>4</v>
      </c>
      <c r="E42" s="167">
        <v>1</v>
      </c>
      <c r="F42" s="127"/>
      <c r="G42" s="128" t="s">
        <v>4</v>
      </c>
      <c r="H42" s="167">
        <v>1</v>
      </c>
      <c r="I42" s="127"/>
      <c r="J42" s="128" t="s">
        <v>4</v>
      </c>
      <c r="K42" s="166">
        <v>0</v>
      </c>
      <c r="L42" s="127"/>
      <c r="M42" s="128" t="s">
        <v>4</v>
      </c>
      <c r="N42" s="166">
        <v>0</v>
      </c>
      <c r="O42" s="127"/>
      <c r="P42" s="128" t="s">
        <v>4</v>
      </c>
      <c r="Q42" s="166">
        <v>0</v>
      </c>
      <c r="R42" s="127"/>
      <c r="S42" s="190" t="s">
        <v>4</v>
      </c>
      <c r="T42" s="212">
        <v>0</v>
      </c>
    </row>
    <row r="43" spans="1:20" x14ac:dyDescent="0.25">
      <c r="A43" s="128" t="s">
        <v>5</v>
      </c>
      <c r="B43" s="158">
        <f>B42/B41*100</f>
        <v>4.5454545454545459</v>
      </c>
      <c r="C43" s="127"/>
      <c r="D43" s="128" t="s">
        <v>5</v>
      </c>
      <c r="E43" s="158">
        <f>E42/E41*100</f>
        <v>5</v>
      </c>
      <c r="F43" s="127"/>
      <c r="G43" s="128" t="s">
        <v>5</v>
      </c>
      <c r="H43" s="162">
        <f>H42/H41*100</f>
        <v>12.5</v>
      </c>
      <c r="I43" s="127"/>
      <c r="J43" s="128" t="s">
        <v>5</v>
      </c>
      <c r="K43" s="162">
        <f>K42/K41*100</f>
        <v>0</v>
      </c>
      <c r="L43" s="127"/>
      <c r="M43" s="128" t="s">
        <v>5</v>
      </c>
      <c r="N43" s="162">
        <f>N42/N41*100</f>
        <v>0</v>
      </c>
      <c r="O43" s="127"/>
      <c r="P43" s="128" t="s">
        <v>5</v>
      </c>
      <c r="Q43" s="162">
        <f>Q42/Q41*100</f>
        <v>0</v>
      </c>
      <c r="R43" s="127"/>
      <c r="S43" s="128" t="s">
        <v>5</v>
      </c>
      <c r="T43" s="162">
        <f>T42/T41*100</f>
        <v>0</v>
      </c>
    </row>
    <row r="44" spans="1:20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47"/>
      <c r="R44" s="127"/>
      <c r="S44" s="127"/>
      <c r="T44" s="127"/>
    </row>
    <row r="45" spans="1:20" x14ac:dyDescent="0.25">
      <c r="A45" s="154" t="s">
        <v>124</v>
      </c>
      <c r="B45" s="154">
        <f>SUM(B36+B41)</f>
        <v>83</v>
      </c>
      <c r="C45" s="127"/>
      <c r="D45" s="127"/>
      <c r="E45" s="127"/>
      <c r="F45" s="127"/>
      <c r="G45" s="154" t="s">
        <v>123</v>
      </c>
      <c r="H45" s="154">
        <f>SUM(B31+B45)</f>
        <v>345</v>
      </c>
      <c r="I45" s="204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spans="1:20" x14ac:dyDescent="0.25">
      <c r="A46" s="154" t="s">
        <v>44</v>
      </c>
      <c r="B46" s="170">
        <f>SUM(B37+B42)</f>
        <v>3</v>
      </c>
      <c r="C46" s="127"/>
      <c r="D46" s="127"/>
      <c r="E46" s="127"/>
      <c r="F46" s="127"/>
      <c r="G46" s="154" t="s">
        <v>44</v>
      </c>
      <c r="H46" s="170">
        <f>SUM(B32+B37+B42+B46)</f>
        <v>47</v>
      </c>
      <c r="I46" s="14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0" x14ac:dyDescent="0.25">
      <c r="A47" s="161" t="s">
        <v>132</v>
      </c>
      <c r="B47" s="158">
        <f>B46/B45*100</f>
        <v>3.6144578313253009</v>
      </c>
      <c r="C47" s="127"/>
      <c r="D47" s="127"/>
      <c r="E47" s="127"/>
      <c r="F47" s="127"/>
      <c r="G47" s="171" t="s">
        <v>11</v>
      </c>
      <c r="H47" s="158">
        <f>H46/H45*100</f>
        <v>13.623188405797102</v>
      </c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spans="1:20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spans="1:20" ht="21.75" customHeight="1" x14ac:dyDescent="0.25">
      <c r="A49" s="315" t="s">
        <v>58</v>
      </c>
      <c r="B49" s="316"/>
      <c r="C49" s="127"/>
      <c r="D49" s="315" t="s">
        <v>239</v>
      </c>
      <c r="E49" s="31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spans="1:20" x14ac:dyDescent="0.25">
      <c r="A50" s="163" t="s">
        <v>28</v>
      </c>
      <c r="B50" s="163">
        <v>33</v>
      </c>
      <c r="C50" s="127"/>
      <c r="D50" s="163" t="s">
        <v>28</v>
      </c>
      <c r="E50" s="163">
        <v>16</v>
      </c>
      <c r="F50" s="127"/>
      <c r="G50" s="127"/>
      <c r="H50" s="127"/>
      <c r="I50" s="127"/>
      <c r="J50" s="127"/>
    </row>
    <row r="51" spans="1:20" x14ac:dyDescent="0.25">
      <c r="A51" s="185" t="s">
        <v>228</v>
      </c>
      <c r="B51" s="167">
        <v>0</v>
      </c>
      <c r="C51" s="127"/>
      <c r="D51" s="187" t="s">
        <v>238</v>
      </c>
      <c r="E51" s="167">
        <v>0</v>
      </c>
      <c r="F51" s="127"/>
      <c r="G51" s="127"/>
      <c r="H51" s="127"/>
      <c r="I51" s="127"/>
      <c r="J51" s="127"/>
    </row>
    <row r="52" spans="1:20" x14ac:dyDescent="0.25">
      <c r="A52" s="128" t="s">
        <v>5</v>
      </c>
      <c r="B52" s="158">
        <f>B51/B50*100</f>
        <v>0</v>
      </c>
      <c r="C52" s="127"/>
      <c r="D52" s="128" t="s">
        <v>5</v>
      </c>
      <c r="E52" s="158">
        <f>E51/E50*100</f>
        <v>0</v>
      </c>
      <c r="F52" s="127"/>
      <c r="G52" s="127"/>
      <c r="H52" s="127"/>
      <c r="I52" s="127"/>
      <c r="J52" s="127"/>
    </row>
    <row r="53" spans="1:20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M53" s="210"/>
    </row>
    <row r="54" spans="1:20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  <row r="55" spans="1:20" ht="18" customHeight="1" x14ac:dyDescent="0.25">
      <c r="A55" s="342" t="s">
        <v>208</v>
      </c>
      <c r="B55" s="342"/>
      <c r="C55" s="342"/>
      <c r="D55" s="342"/>
      <c r="E55" s="342"/>
      <c r="F55" s="342"/>
      <c r="G55" s="342"/>
      <c r="H55" s="342"/>
      <c r="I55" s="342"/>
      <c r="J55" s="342"/>
    </row>
    <row r="56" spans="1:20" x14ac:dyDescent="0.25">
      <c r="A56" s="341" t="s">
        <v>261</v>
      </c>
      <c r="B56" s="341"/>
      <c r="C56" s="341"/>
      <c r="D56" s="341" t="s">
        <v>146</v>
      </c>
      <c r="E56" s="341"/>
      <c r="F56" s="341"/>
      <c r="G56" s="343"/>
      <c r="H56" s="344"/>
      <c r="I56" s="344"/>
      <c r="J56" s="345"/>
    </row>
    <row r="57" spans="1:20" x14ac:dyDescent="0.25">
      <c r="A57" s="341" t="s">
        <v>262</v>
      </c>
      <c r="B57" s="341"/>
      <c r="C57" s="341"/>
      <c r="D57" s="341" t="s">
        <v>45</v>
      </c>
      <c r="E57" s="341"/>
      <c r="F57" s="341"/>
      <c r="G57" s="338"/>
      <c r="H57" s="339"/>
      <c r="I57" s="339"/>
      <c r="J57" s="340"/>
    </row>
    <row r="58" spans="1:20" x14ac:dyDescent="0.25">
      <c r="A58" s="341" t="s">
        <v>263</v>
      </c>
      <c r="B58" s="341"/>
      <c r="C58" s="341"/>
      <c r="D58" s="341" t="s">
        <v>45</v>
      </c>
      <c r="E58" s="341"/>
      <c r="F58" s="341"/>
      <c r="G58" s="338"/>
      <c r="H58" s="339"/>
      <c r="I58" s="339"/>
      <c r="J58" s="340"/>
    </row>
    <row r="59" spans="1:20" x14ac:dyDescent="0.25">
      <c r="A59" s="338" t="s">
        <v>264</v>
      </c>
      <c r="B59" s="339"/>
      <c r="C59" s="340"/>
      <c r="D59" s="338" t="s">
        <v>265</v>
      </c>
      <c r="E59" s="339"/>
      <c r="F59" s="340"/>
      <c r="G59" s="338"/>
      <c r="H59" s="339"/>
      <c r="I59" s="339"/>
      <c r="J59" s="340"/>
    </row>
    <row r="60" spans="1:20" x14ac:dyDescent="0.25">
      <c r="A60" s="338" t="s">
        <v>266</v>
      </c>
      <c r="B60" s="339"/>
      <c r="C60" s="340"/>
      <c r="D60" s="338" t="s">
        <v>265</v>
      </c>
      <c r="E60" s="339"/>
      <c r="F60" s="340"/>
      <c r="G60" s="338"/>
      <c r="H60" s="339"/>
      <c r="I60" s="339"/>
      <c r="J60" s="340"/>
    </row>
    <row r="61" spans="1:20" x14ac:dyDescent="0.25">
      <c r="A61" s="338" t="s">
        <v>267</v>
      </c>
      <c r="B61" s="339"/>
      <c r="C61" s="340"/>
      <c r="D61" s="338" t="s">
        <v>247</v>
      </c>
      <c r="E61" s="339"/>
      <c r="F61" s="340"/>
      <c r="G61" s="338"/>
      <c r="H61" s="339"/>
      <c r="I61" s="339"/>
      <c r="J61" s="340"/>
    </row>
  </sheetData>
  <mergeCells count="58">
    <mergeCell ref="A60:C60"/>
    <mergeCell ref="D60:F60"/>
    <mergeCell ref="G59:J59"/>
    <mergeCell ref="A61:C61"/>
    <mergeCell ref="D61:F61"/>
    <mergeCell ref="G60:J60"/>
    <mergeCell ref="G61:J61"/>
    <mergeCell ref="A59:C59"/>
    <mergeCell ref="D59:F59"/>
    <mergeCell ref="A57:C57"/>
    <mergeCell ref="D57:F57"/>
    <mergeCell ref="A58:C58"/>
    <mergeCell ref="D58:F58"/>
    <mergeCell ref="G57:J57"/>
    <mergeCell ref="G58:J58"/>
    <mergeCell ref="S40:T40"/>
    <mergeCell ref="A49:B49"/>
    <mergeCell ref="D49:E49"/>
    <mergeCell ref="A55:J55"/>
    <mergeCell ref="A56:C56"/>
    <mergeCell ref="D56:F56"/>
    <mergeCell ref="G56:J56"/>
    <mergeCell ref="A40:B40"/>
    <mergeCell ref="D40:E40"/>
    <mergeCell ref="G40:H40"/>
    <mergeCell ref="J40:K40"/>
    <mergeCell ref="M40:N40"/>
    <mergeCell ref="P40:Q40"/>
    <mergeCell ref="S28:T28"/>
    <mergeCell ref="A35:B35"/>
    <mergeCell ref="D35:E35"/>
    <mergeCell ref="G35:H35"/>
    <mergeCell ref="J35:K35"/>
    <mergeCell ref="M35:N35"/>
    <mergeCell ref="P35:Q35"/>
    <mergeCell ref="S35:T35"/>
    <mergeCell ref="A28:B28"/>
    <mergeCell ref="D28:E28"/>
    <mergeCell ref="G28:H28"/>
    <mergeCell ref="J28:K28"/>
    <mergeCell ref="M28:N28"/>
    <mergeCell ref="P28:Q28"/>
    <mergeCell ref="M10:N10"/>
    <mergeCell ref="P10:Q10"/>
    <mergeCell ref="S10:T10"/>
    <mergeCell ref="A18:B18"/>
    <mergeCell ref="D18:E18"/>
    <mergeCell ref="G18:H18"/>
    <mergeCell ref="J18:K18"/>
    <mergeCell ref="M18:N18"/>
    <mergeCell ref="P18:Q18"/>
    <mergeCell ref="S18:T18"/>
    <mergeCell ref="J10:K10"/>
    <mergeCell ref="A1:B1"/>
    <mergeCell ref="D1:E1"/>
    <mergeCell ref="A10:B10"/>
    <mergeCell ref="D10:E10"/>
    <mergeCell ref="G10:H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ROTACION JULIO 2026</vt:lpstr>
      <vt:lpstr>ROTACION AGOSTO 2026</vt:lpstr>
      <vt:lpstr>ROTACION JUNIO 2026 </vt:lpstr>
      <vt:lpstr>ROTACIÓN JUNIO 2023</vt:lpstr>
      <vt:lpstr>ROTACIÓN JULIO 2023</vt:lpstr>
      <vt:lpstr>ROTACIÓN AGOSTO 20232</vt:lpstr>
      <vt:lpstr>ROTACIÓN SEPTIEMBRE</vt:lpstr>
      <vt:lpstr>ROTACIÓN OCTUBRE</vt:lpstr>
      <vt:lpstr>ROTACIÓN NOVIEMBRE</vt:lpstr>
      <vt:lpstr>ROTACIÓN DICIEMBRE</vt:lpstr>
      <vt:lpstr>ROTACIÓN ENERO 2024</vt:lpstr>
      <vt:lpstr>ROTACIÓN FEBRERO 2024</vt:lpstr>
      <vt:lpstr>ROTACIÓN MARZO 2024</vt:lpstr>
      <vt:lpstr>ROTACIÓN ABRIL 2024</vt:lpstr>
      <vt:lpstr>ROTACIÓN MAYO 2024</vt:lpstr>
      <vt:lpstr>ROTACIÓN JUNIO 2024</vt:lpstr>
      <vt:lpstr>ROTACIÓN JULIO 2024</vt:lpstr>
      <vt:lpstr>ROTACIÓN AGOSTO 2024</vt:lpstr>
      <vt:lpstr>ROTACIÓN SEP 2024</vt:lpstr>
      <vt:lpstr>ROTACIÓN OCT 2024</vt:lpstr>
      <vt:lpstr>ROTACIÓN NOV 2024</vt:lpstr>
      <vt:lpstr>ROTACIÓN DIC 2024</vt:lpstr>
      <vt:lpstr>ROTACIÓN ENE 2025</vt:lpstr>
      <vt:lpstr>ROTACIÓN FEB 2025</vt:lpstr>
      <vt:lpstr>ROTACIÓN MAR 2025</vt:lpstr>
      <vt:lpstr>ROTACIÓN ABR 2025</vt:lpstr>
      <vt:lpstr>ROTACIÓN MAYO 2025</vt:lpstr>
      <vt:lpstr>ROTACIÓN JUNIO 2025</vt:lpstr>
      <vt:lpstr>ROTACIÓN JULIO 2025</vt:lpstr>
      <vt:lpstr>ROTACIÓN AGOSTO 2025</vt:lpstr>
      <vt:lpstr>ROTACIÓN SEP 2025</vt:lpstr>
      <vt:lpstr>ROTACIÓN OCT 2025</vt:lpstr>
      <vt:lpstr>ROTACIÓN NOV 2025</vt:lpstr>
      <vt:lpstr>ROTACIÓN DIC 2025</vt:lpstr>
      <vt:lpstr>ROTACIÓN ENE 2026</vt:lpstr>
      <vt:lpstr>ROTACION FEBRERO 2026</vt:lpstr>
      <vt:lpstr>ROTACION MARZO 2026</vt:lpstr>
      <vt:lpstr>ROTACION ABRIL 2026 (2)</vt:lpstr>
      <vt:lpstr>ROTACION ABRIL 2026</vt:lpstr>
      <vt:lpstr>ROTACION MAYO 2026</vt:lpstr>
      <vt:lpstr>ROTACION JUNIO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Uribe Botero</cp:lastModifiedBy>
  <dcterms:created xsi:type="dcterms:W3CDTF">2023-08-31T16:19:37Z</dcterms:created>
  <dcterms:modified xsi:type="dcterms:W3CDTF">2026-09-05T14:27:31Z</dcterms:modified>
</cp:coreProperties>
</file>