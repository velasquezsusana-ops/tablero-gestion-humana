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tolivo\Dropbox\Asesorias PYMES\1. Proyectos Actuales\2. MONTOLIVO\2. Proyecto\Indicadores Montolivo\Gestion Humana\"/>
    </mc:Choice>
  </mc:AlternateContent>
  <xr:revisionPtr revIDLastSave="0" documentId="13_ncr:1_{4CC16934-196E-452A-9AEA-C5839BDBAE40}" xr6:coauthVersionLast="47" xr6:coauthVersionMax="47" xr10:uidLastSave="{00000000-0000-0000-0000-000000000000}"/>
  <bookViews>
    <workbookView xWindow="10140" yWindow="0" windowWidth="10455" windowHeight="10905" tabRatio="680" firstSheet="11" activeTab="11" xr2:uid="{3471022F-31D1-4E79-B978-1145CBBAB657}"/>
  </bookViews>
  <sheets>
    <sheet name="Indicadores (2)" sheetId="13" state="hidden" r:id="rId1"/>
    <sheet name="Indicadores" sheetId="1" r:id="rId2"/>
    <sheet name="Listas" sheetId="14" r:id="rId3"/>
    <sheet name="Clima organizacional" sheetId="2" r:id="rId4"/>
    <sheet name="Plan de formación" sheetId="3" r:id="rId5"/>
    <sheet name="Costo de capacitación" sheetId="12" r:id="rId6"/>
    <sheet name=" Costo de contratación " sheetId="8" r:id="rId7"/>
    <sheet name="SST" sheetId="10" r:id="rId8"/>
    <sheet name="Ausentismo" sheetId="15" r:id="rId9"/>
    <sheet name="Costo de Bonificación" sheetId="16" r:id="rId10"/>
    <sheet name="Cobro de incapacidades" sheetId="17" r:id="rId11"/>
    <sheet name="Depuración de Cartera" sheetId="19" r:id="rId12"/>
  </sheets>
  <externalReferences>
    <externalReference r:id="rId13"/>
  </externalReferences>
  <definedNames>
    <definedName name="_xlnm._FilterDatabase" localSheetId="5" hidden="1">'Costo de capacitación'!$P$2:$R$14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16" l="1"/>
  <c r="F20" i="16" s="1"/>
  <c r="E19" i="16"/>
  <c r="F19" i="16" s="1"/>
  <c r="F18" i="16"/>
  <c r="F17" i="16"/>
  <c r="D16" i="16"/>
  <c r="F15" i="16"/>
  <c r="E15" i="16"/>
  <c r="E14" i="16"/>
  <c r="F14" i="16" s="1"/>
  <c r="F13" i="16"/>
  <c r="F12" i="16"/>
  <c r="F10" i="16"/>
  <c r="E10" i="16"/>
  <c r="E9" i="16"/>
  <c r="F9" i="16" s="1"/>
  <c r="F8" i="16"/>
  <c r="F7" i="16"/>
  <c r="F6" i="16"/>
  <c r="E5" i="16"/>
  <c r="F5" i="16" s="1"/>
  <c r="E4" i="16"/>
  <c r="F4" i="16" s="1"/>
  <c r="F3" i="16"/>
  <c r="F2" i="16"/>
  <c r="O4" i="16"/>
  <c r="J4" i="8"/>
  <c r="I4" i="8"/>
  <c r="N4" i="8" s="1"/>
  <c r="H4" i="8"/>
  <c r="J3" i="8"/>
  <c r="I3" i="8"/>
  <c r="N3" i="8" s="1"/>
  <c r="H3" i="8"/>
  <c r="N2" i="12"/>
  <c r="K2" i="12"/>
  <c r="M2" i="12" s="1"/>
  <c r="K3" i="12"/>
  <c r="M3" i="12"/>
  <c r="N3" i="12"/>
  <c r="G2" i="3"/>
  <c r="E2" i="3"/>
  <c r="G5" i="8"/>
  <c r="I5" i="8" s="1"/>
  <c r="G6" i="8"/>
  <c r="I6" i="8" s="1"/>
  <c r="G7" i="8"/>
  <c r="I7" i="8" s="1"/>
  <c r="G8" i="8"/>
  <c r="I8" i="8" s="1"/>
  <c r="G9" i="8"/>
  <c r="I9" i="8" s="1"/>
  <c r="G10" i="8"/>
  <c r="I10" i="8" s="1"/>
  <c r="G11" i="8"/>
  <c r="I11" i="8" s="1"/>
  <c r="G12" i="8"/>
  <c r="I12" i="8" s="1"/>
  <c r="G13" i="8"/>
  <c r="I13" i="8" s="1"/>
  <c r="G14" i="8"/>
  <c r="I14" i="8" s="1"/>
  <c r="G15" i="8"/>
  <c r="I15" i="8" s="1"/>
  <c r="G16" i="8"/>
  <c r="I16" i="8" s="1"/>
  <c r="G17" i="8"/>
  <c r="I17" i="8" s="1"/>
  <c r="G18" i="8"/>
  <c r="I18" i="8" s="1"/>
  <c r="G19" i="8"/>
  <c r="I19" i="8" s="1"/>
  <c r="G20" i="8"/>
  <c r="I20" i="8" s="1"/>
  <c r="G21" i="8"/>
  <c r="I21" i="8" s="1"/>
  <c r="G22" i="8"/>
  <c r="I22" i="8" s="1"/>
  <c r="G23" i="8"/>
  <c r="I23" i="8" s="1"/>
  <c r="G24" i="8"/>
  <c r="I24" i="8" s="1"/>
  <c r="G25" i="8"/>
  <c r="I25" i="8" s="1"/>
  <c r="G26" i="8"/>
  <c r="I26" i="8" s="1"/>
  <c r="G27" i="8"/>
  <c r="I27" i="8" s="1"/>
  <c r="G28" i="8"/>
  <c r="I28" i="8" s="1"/>
  <c r="G29" i="8"/>
  <c r="I29" i="8" s="1"/>
  <c r="G30" i="8"/>
  <c r="I30" i="8" s="1"/>
  <c r="G31" i="8"/>
  <c r="I31" i="8" s="1"/>
  <c r="G32" i="8"/>
  <c r="I32" i="8" s="1"/>
  <c r="G33" i="8"/>
  <c r="I33" i="8" s="1"/>
  <c r="G34" i="8"/>
  <c r="I34" i="8" s="1"/>
  <c r="G35" i="8"/>
  <c r="I35" i="8" s="1"/>
  <c r="G36" i="8"/>
  <c r="I36" i="8" s="1"/>
  <c r="G37" i="8"/>
  <c r="I37" i="8" s="1"/>
  <c r="G38" i="8"/>
  <c r="I38" i="8" s="1"/>
  <c r="G39" i="8"/>
  <c r="I39" i="8" s="1"/>
  <c r="G40" i="8"/>
  <c r="I40" i="8" s="1"/>
  <c r="G41" i="8"/>
  <c r="I41" i="8" s="1"/>
  <c r="G42" i="8"/>
  <c r="I42" i="8" s="1"/>
  <c r="G43" i="8"/>
  <c r="I43" i="8" s="1"/>
  <c r="G44" i="8"/>
  <c r="I44" i="8" s="1"/>
  <c r="G45" i="8"/>
  <c r="I45" i="8" s="1"/>
  <c r="G46" i="8"/>
  <c r="I46" i="8" s="1"/>
  <c r="G47" i="8"/>
  <c r="I47" i="8" s="1"/>
  <c r="G48" i="8"/>
  <c r="I48" i="8" s="1"/>
  <c r="G49" i="8"/>
  <c r="I49" i="8" s="1"/>
  <c r="G50" i="8"/>
  <c r="I50" i="8" s="1"/>
  <c r="K4" i="12" l="1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N4" i="12" l="1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Y13" i="1"/>
  <c r="Z2" i="1"/>
  <c r="Y8" i="1" s="1"/>
  <c r="X80" i="1" l="1"/>
  <c r="AA8" i="1"/>
  <c r="AB8" i="1"/>
  <c r="Y7" i="1"/>
  <c r="Y6" i="1"/>
  <c r="Y4" i="1"/>
  <c r="Y5" i="1"/>
  <c r="P3" i="13"/>
  <c r="AB6" i="1" l="1"/>
  <c r="AA6" i="1"/>
  <c r="AB7" i="1"/>
  <c r="AA7" i="1"/>
  <c r="AB5" i="1"/>
  <c r="AA5" i="1"/>
  <c r="AB4" i="1"/>
  <c r="AA4" i="1"/>
  <c r="M13" i="12" l="1"/>
  <c r="Y33" i="1" s="1" a="1"/>
  <c r="M14" i="12"/>
  <c r="M15" i="12"/>
  <c r="M16" i="12"/>
  <c r="M17" i="12"/>
  <c r="M18" i="12"/>
  <c r="M19" i="12"/>
  <c r="M20" i="12"/>
  <c r="M21" i="12"/>
  <c r="M22" i="12"/>
  <c r="M23" i="12"/>
  <c r="M24" i="12"/>
  <c r="M25" i="12"/>
  <c r="M4" i="12"/>
  <c r="M5" i="12"/>
  <c r="M6" i="12"/>
  <c r="M7" i="12"/>
  <c r="M8" i="12"/>
  <c r="M9" i="12"/>
  <c r="M10" i="12"/>
  <c r="M11" i="12"/>
  <c r="M12" i="12"/>
  <c r="X41" i="1" l="1"/>
  <c r="X33" i="1"/>
  <c r="X39" i="1"/>
  <c r="X34" i="1"/>
  <c r="X43" i="1"/>
  <c r="X40" i="1"/>
  <c r="X42" i="1"/>
  <c r="X37" i="1"/>
  <c r="X36" i="1"/>
  <c r="X45" i="1"/>
  <c r="X44" i="1"/>
  <c r="X35" i="1"/>
  <c r="X38" i="1"/>
  <c r="Y82" i="1" a="1"/>
  <c r="X94" i="1" l="1"/>
  <c r="X82" i="1" s="1"/>
  <c r="X89" i="1"/>
  <c r="X87" i="1"/>
  <c r="X88" i="1"/>
  <c r="X93" i="1"/>
  <c r="X86" i="1"/>
  <c r="X83" i="1"/>
  <c r="X92" i="1"/>
  <c r="X91" i="1"/>
  <c r="X85" i="1"/>
  <c r="X90" i="1"/>
  <c r="X84" i="1"/>
  <c r="Y52" i="1" a="1"/>
  <c r="Y15" i="1" a="1"/>
  <c r="X60" i="1"/>
  <c r="X64" i="1"/>
  <c r="X52" i="1"/>
  <c r="X57" i="1"/>
  <c r="X61" i="1"/>
  <c r="X54" i="1"/>
  <c r="X56" i="1"/>
  <c r="X58" i="1"/>
  <c r="X62" i="1"/>
  <c r="X55" i="1"/>
  <c r="X59" i="1"/>
  <c r="X63" i="1"/>
  <c r="X53" i="1"/>
  <c r="P3" i="1"/>
  <c r="X27" i="1" l="1"/>
  <c r="X22" i="1"/>
  <c r="X24" i="1"/>
  <c r="X16" i="1"/>
  <c r="X15" i="1" s="1"/>
  <c r="X17" i="1"/>
  <c r="X26" i="1"/>
  <c r="X21" i="1"/>
  <c r="X19" i="1"/>
  <c r="X25" i="1"/>
  <c r="X23" i="1"/>
  <c r="X18" i="1"/>
  <c r="X2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<sst xmlns="http://schemas.openxmlformats.org/spreadsheetml/2006/main" count="1501" uniqueCount="378">
  <si>
    <t>Mes</t>
  </si>
  <si>
    <t>Año</t>
  </si>
  <si>
    <t>Enero</t>
  </si>
  <si>
    <t>Área</t>
  </si>
  <si>
    <t>Respondientes</t>
  </si>
  <si>
    <t>% área</t>
  </si>
  <si>
    <t>Objetivo</t>
  </si>
  <si>
    <t>Operaciones</t>
  </si>
  <si>
    <t>Mantenimiento</t>
  </si>
  <si>
    <t>Administración</t>
  </si>
  <si>
    <t>Ventas / Comercial</t>
  </si>
  <si>
    <t>RRHH y Calidad</t>
  </si>
  <si>
    <t>Capacitaciones Planificadas</t>
  </si>
  <si>
    <t>Capacitaciones Realizadas</t>
  </si>
  <si>
    <t>Cumplimiento (%)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</si>
  <si>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</si>
  <si>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</si>
  <si>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</si>
  <si>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</si>
  <si>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</si>
  <si>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</si>
  <si>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</si>
  <si>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</si>
  <si>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</si>
  <si>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</si>
  <si>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</si>
  <si>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Empleados capacitados</t>
  </si>
  <si>
    <t>Vacante</t>
  </si>
  <si>
    <t>Días</t>
  </si>
  <si>
    <t>Auxiliar de cocina</t>
  </si>
  <si>
    <t>Auxiliar de servicio</t>
  </si>
  <si>
    <t># Empleados</t>
  </si>
  <si>
    <t># Accidentes</t>
  </si>
  <si>
    <t>Índice de accidentes</t>
  </si>
  <si>
    <t xml:space="preserve">Mes </t>
  </si>
  <si>
    <t>Papelería ($)</t>
  </si>
  <si>
    <t>Cursos ($)</t>
  </si>
  <si>
    <t>Exámenes ($)</t>
  </si>
  <si>
    <t>Total capacitación ($)</t>
  </si>
  <si>
    <t>Costo por empleado ($)</t>
  </si>
  <si>
    <t>Clima organizacional</t>
  </si>
  <si>
    <t>Plan de formación</t>
  </si>
  <si>
    <t>Costo de capacitación por empleado</t>
  </si>
  <si>
    <t>Tiempo promedio de capacitación (días)</t>
  </si>
  <si>
    <t>Índice de accidentes laborales</t>
  </si>
  <si>
    <t>Trimestre</t>
  </si>
  <si>
    <t>Trimestre 1</t>
  </si>
  <si>
    <t>Trimestre 2</t>
  </si>
  <si>
    <t>Trimestre 3</t>
  </si>
  <si>
    <t>Trimestre 4</t>
  </si>
  <si>
    <t>Promedio pts</t>
  </si>
  <si>
    <t>Objetivo%</t>
  </si>
  <si>
    <t xml:space="preserve">Costos de capacitacion </t>
  </si>
  <si>
    <t>Accidentes laborales</t>
  </si>
  <si>
    <t>Tiempo promedio de contratación (días)</t>
  </si>
  <si>
    <t>Vacantes Cubiertas</t>
  </si>
  <si>
    <t>Tiempo de contratación</t>
  </si>
  <si>
    <t>Promedio de días</t>
  </si>
  <si>
    <t>Observaciones</t>
  </si>
  <si>
    <t>Fecha</t>
  </si>
  <si>
    <t>Papelería o material de cursos ($)</t>
  </si>
  <si>
    <t>Traslados Internos ($)</t>
  </si>
  <si>
    <t>Locativos ($)</t>
  </si>
  <si>
    <t>Plan padrino PDV ($)</t>
  </si>
  <si>
    <t>Cursos de Alturas ($)</t>
  </si>
  <si>
    <t>Curso coord. Altura ($)</t>
  </si>
  <si>
    <t>Curso BPM ($)</t>
  </si>
  <si>
    <t>Concepto</t>
  </si>
  <si>
    <t>Administradora de Salud</t>
  </si>
  <si>
    <t>Accidente</t>
  </si>
  <si>
    <t>Cargo</t>
  </si>
  <si>
    <t>Nombre</t>
  </si>
  <si>
    <t>Día del accidente</t>
  </si>
  <si>
    <t>Cedula</t>
  </si>
  <si>
    <t>Administradoras de pensión</t>
  </si>
  <si>
    <t>Cajas de compensación</t>
  </si>
  <si>
    <t>porvenir</t>
  </si>
  <si>
    <t>Proteccion</t>
  </si>
  <si>
    <t>colpensiones</t>
  </si>
  <si>
    <t>comfama</t>
  </si>
  <si>
    <t>comfenalco</t>
  </si>
  <si>
    <t>Comfamiliar</t>
  </si>
  <si>
    <t>Comfelnaco de cali</t>
  </si>
  <si>
    <t>Cafam</t>
  </si>
  <si>
    <t>Comfamilar barranquilla</t>
  </si>
  <si>
    <t>Estado de cuenta</t>
  </si>
  <si>
    <t>Valor Correción</t>
  </si>
  <si>
    <t>Valor a Pagar</t>
  </si>
  <si>
    <t xml:space="preserve">Valor Devolución </t>
  </si>
  <si>
    <t xml:space="preserve">Año </t>
  </si>
  <si>
    <t>ARL</t>
  </si>
  <si>
    <t>Valor($)</t>
  </si>
  <si>
    <t>Costo examenes medicos Mujer</t>
  </si>
  <si>
    <t>Costo examenes medicos Hombre</t>
  </si>
  <si>
    <t>Estudio de confiabilidad</t>
  </si>
  <si>
    <t xml:space="preserve">Dotacion </t>
  </si>
  <si>
    <t>Total costo contracion</t>
  </si>
  <si>
    <t>total costo  contra mujer</t>
  </si>
  <si>
    <t>total costo hombre</t>
  </si>
  <si>
    <t>empleados mujer</t>
  </si>
  <si>
    <t>empleados hombre</t>
  </si>
  <si>
    <t>total empleados contratados</t>
  </si>
  <si>
    <t>Sabado</t>
  </si>
  <si>
    <t>Loizy  Jailen Arzuaga Vasquez</t>
  </si>
  <si>
    <t>PDV</t>
  </si>
  <si>
    <t>Aventura</t>
  </si>
  <si>
    <t>Golpeado por objeto que cae</t>
  </si>
  <si>
    <t>Manipulación de platos ubicados en una repisa a una altura elevada, generando caída de los objetos</t>
  </si>
  <si>
    <t>Leve</t>
  </si>
  <si>
    <t>Jueves</t>
  </si>
  <si>
    <t>Santiago José Hoyos Barilla</t>
  </si>
  <si>
    <t>Auxiliar de logistica</t>
  </si>
  <si>
    <t>Logisitca</t>
  </si>
  <si>
    <t>Caida de objetos por manipulación en area de logisitca</t>
  </si>
  <si>
    <t>Angie Karelly Mora Garcia</t>
  </si>
  <si>
    <t>Jardin Plaza</t>
  </si>
  <si>
    <t>Contacto con sustancia caliente</t>
  </si>
  <si>
    <t>Manipulación de recipiente con aceite caliente ubicado en la parte superior del horno, ocasionando derrame de aceite</t>
  </si>
  <si>
    <t>Andy Luz Vergara Lambraño</t>
  </si>
  <si>
    <t>Viva Laureles</t>
  </si>
  <si>
    <t>Caida al mismo nivel</t>
  </si>
  <si>
    <t xml:space="preserve">Caida a nivel por resbalon </t>
  </si>
  <si>
    <t>Miercoles</t>
  </si>
  <si>
    <t>Santiago Gil Maldonado</t>
  </si>
  <si>
    <t>Aprendiz de mantenimiento</t>
  </si>
  <si>
    <t>Administrativo</t>
  </si>
  <si>
    <t>Contacto con elementos cortopunzantes</t>
  </si>
  <si>
    <t>Manipuación de laminas de aluminio con bordes expuestos ocasionando corte</t>
  </si>
  <si>
    <t>Proceso</t>
  </si>
  <si>
    <t>Punto de venta</t>
  </si>
  <si>
    <t xml:space="preserve">Causal </t>
  </si>
  <si>
    <t>tipo de accidente</t>
  </si>
  <si>
    <t>severidad</t>
  </si>
  <si>
    <t>JUNIO</t>
  </si>
  <si>
    <t>AUSENCIA SIN SOPORTE</t>
  </si>
  <si>
    <t>CALAMIDAD DOMESTICA</t>
  </si>
  <si>
    <t>INCAPACIDAD ACC LABORAL</t>
  </si>
  <si>
    <t>INCAPACIDAD EMPR DIAS</t>
  </si>
  <si>
    <t>INCAPACIDAD GENERAL</t>
  </si>
  <si>
    <t>LICENCIA DE MATERNIDAD</t>
  </si>
  <si>
    <t>LICENCIA DE PATERNIDAD</t>
  </si>
  <si>
    <t> </t>
  </si>
  <si>
    <t>LICENCIA NO REMUNERADA</t>
  </si>
  <si>
    <t>LICENCIA POR LUTO</t>
  </si>
  <si>
    <t>PERDIDA DOMINICAL</t>
  </si>
  <si>
    <t>PERMISO REMUNERADO</t>
  </si>
  <si>
    <t>SUSPENSION</t>
  </si>
  <si>
    <t>VACACIONES</t>
  </si>
  <si>
    <t>VACACIONES DIAS NO HABILES</t>
  </si>
  <si>
    <t>JULIO</t>
  </si>
  <si>
    <t>AGOSTO</t>
  </si>
  <si>
    <t>BONIFICACION  NO SALARIAL</t>
  </si>
  <si>
    <t>BONIFICACION  RECREACION ALIMENTACION</t>
  </si>
  <si>
    <t>BONIFICACION POR ADICIONES</t>
  </si>
  <si>
    <t>BONIFICACION POR CUMPLIMIENTO</t>
  </si>
  <si>
    <t xml:space="preserve">PRIMA EXTRALEGAL TRIMESTRAL </t>
  </si>
  <si>
    <t>MAYO</t>
  </si>
  <si>
    <t>20 % adiciones y bonificación de Junior de produccion y Logistica y ajustes de meses pasados</t>
  </si>
  <si>
    <t>Se pagará en Octubre</t>
  </si>
  <si>
    <t>Pagada en Julio</t>
  </si>
  <si>
    <t>FACTOR PRESTACIONAL</t>
  </si>
  <si>
    <t>CESANTIAS</t>
  </si>
  <si>
    <t>CAJA</t>
  </si>
  <si>
    <t>INTERESES</t>
  </si>
  <si>
    <t>PENSION</t>
  </si>
  <si>
    <t>PRIMA</t>
  </si>
  <si>
    <t xml:space="preserve">ARL </t>
  </si>
  <si>
    <t>TOTAL</t>
  </si>
  <si>
    <t>valor</t>
  </si>
  <si>
    <t>factor prestacional</t>
  </si>
  <si>
    <t>total costo</t>
  </si>
  <si>
    <t>nota</t>
  </si>
  <si>
    <t>Salud Total</t>
  </si>
  <si>
    <t>Nueva eps</t>
  </si>
  <si>
    <t>Eps Sura</t>
  </si>
  <si>
    <t>Arl sura</t>
  </si>
  <si>
    <t>Sanitas</t>
  </si>
  <si>
    <t>Cédula del empleado con novedad</t>
  </si>
  <si>
    <t>Nombre del colaborador</t>
  </si>
  <si>
    <t>Tipo de Novedad</t>
  </si>
  <si>
    <t>Fecha inicio de Novedad</t>
  </si>
  <si>
    <t>Fecha fin de Novedad</t>
  </si>
  <si>
    <t>Dias de novedad</t>
  </si>
  <si>
    <t>Eps</t>
  </si>
  <si>
    <t>Radicado / Tramite</t>
  </si>
  <si>
    <t>Gestiona S/N</t>
  </si>
  <si>
    <t>Fecha de radicado</t>
  </si>
  <si>
    <t>Observación</t>
  </si>
  <si>
    <t>Salario</t>
  </si>
  <si>
    <t>Dias a cobrar</t>
  </si>
  <si>
    <t>Valor a recuperar</t>
  </si>
  <si>
    <t>Valor pagado</t>
  </si>
  <si>
    <t>Fecha de pago</t>
  </si>
  <si>
    <t>Estado del pago</t>
  </si>
  <si>
    <t>TULANDE GUERRERO MAIRA ISABELA</t>
  </si>
  <si>
    <t>COMFENALCO VALLE EPS</t>
  </si>
  <si>
    <t>RADICADO POR CORREO</t>
  </si>
  <si>
    <t>SI</t>
  </si>
  <si>
    <t>servicioalcliente@comfenalcovalle.com.co</t>
  </si>
  <si>
    <t>ROJAS ORTIZ LINDA STEFANNY</t>
  </si>
  <si>
    <t>COMPENSAR</t>
  </si>
  <si>
    <t>EN20260000479180</t>
  </si>
  <si>
    <t>PAGADA</t>
  </si>
  <si>
    <t>GAVIRIA GARCIA CHRISTIAM ALEJANDRO</t>
  </si>
  <si>
    <t>ENTIDAD PROMOTORA DE SALUD FAMISANAR LTDA CAFAM-COLSUBSIDIO</t>
  </si>
  <si>
    <t>correspondencia@famisanar.com.co</t>
  </si>
  <si>
    <t>AGUIAR ARBELAEZ NEVER ANDRES</t>
  </si>
  <si>
    <t>MELO VARGAS KELLY JAZMIN</t>
  </si>
  <si>
    <t>ARL SURA</t>
  </si>
  <si>
    <t>210383928734</t>
  </si>
  <si>
    <t xml:space="preserve">TORRES BORRERO IVONNE NATALIA </t>
  </si>
  <si>
    <t>ENTIDAD PROMOTORA DE SALUD SANITAS S.A</t>
  </si>
  <si>
    <t>61899186</t>
  </si>
  <si>
    <t>REPISO GUZMAN ESTEFANIA</t>
  </si>
  <si>
    <t>61899188</t>
  </si>
  <si>
    <t>OSPINA RAMIREZ STEFANNY</t>
  </si>
  <si>
    <t>ENTIDAD PROMOTORA DE SALUD SERVICIO OCCIDENTAL DE SALUD S.A</t>
  </si>
  <si>
    <t>20260531-330869</t>
  </si>
  <si>
    <t>RODRIGUES MARTINEZ JHON MICHEL.</t>
  </si>
  <si>
    <t>EPS SURA</t>
  </si>
  <si>
    <t>SOLICITADA TRANSCRITA POR LA PAGINA</t>
  </si>
  <si>
    <t>RINCON GIRALDO DORA LISSETH</t>
  </si>
  <si>
    <t>11721058</t>
  </si>
  <si>
    <t>GARCIA AGUIRRE DANIEL</t>
  </si>
  <si>
    <t>daguirre0602@gmail.com</t>
  </si>
  <si>
    <t>MONTILLA GONZALEZ MARLON HENRIQUE</t>
  </si>
  <si>
    <t>220219438833</t>
  </si>
  <si>
    <t>11721054</t>
  </si>
  <si>
    <t>RAMIREZ VANEGAS DARLYN JOANNA.</t>
  </si>
  <si>
    <t>290188919869</t>
  </si>
  <si>
    <t>MADRIGAL LOPEZ JUAN CAMILO</t>
  </si>
  <si>
    <t>158833687294</t>
  </si>
  <si>
    <t>DUEÑAS OSORIO JHON ALEXANDER</t>
  </si>
  <si>
    <t>NUEVA EPS</t>
  </si>
  <si>
    <t>2484215</t>
  </si>
  <si>
    <t>LUJAN CARMEN LADY JOHANA</t>
  </si>
  <si>
    <t>312637033005</t>
  </si>
  <si>
    <t>11721075</t>
  </si>
  <si>
    <t>11721065</t>
  </si>
  <si>
    <t>VILLAMIL VIDAL ANGELLY SOFIA</t>
  </si>
  <si>
    <t>EPS-S COOSALUD MOVILIDAD</t>
  </si>
  <si>
    <t>INC-00826854</t>
  </si>
  <si>
    <t>INC-00826855</t>
  </si>
  <si>
    <t>INC-00826856</t>
  </si>
  <si>
    <t>INC-00826858</t>
  </si>
  <si>
    <t>JARAMILLO OSSA SARA PAULINA.</t>
  </si>
  <si>
    <t>INC-00826859</t>
  </si>
  <si>
    <t>BURGOS CASTILLO VALENTINA</t>
  </si>
  <si>
    <t>2484221</t>
  </si>
  <si>
    <t>BELLO GUZMAN CARLOS DAVID</t>
  </si>
  <si>
    <t>2484228</t>
  </si>
  <si>
    <t>HERNANDEZ GRANADILLO WENDY JOHANA</t>
  </si>
  <si>
    <t>942491794501</t>
  </si>
  <si>
    <t>CASTILLO RAMOS LESLI JHOJARA</t>
  </si>
  <si>
    <t>2489061</t>
  </si>
  <si>
    <t>CASTAÑEDA ROJAS YADILTHON FABIAN</t>
  </si>
  <si>
    <t>2489062</t>
  </si>
  <si>
    <t>RAMIREZ BERRIO SUGEIDIS ANA MARIA</t>
  </si>
  <si>
    <t>2489064</t>
  </si>
  <si>
    <t>ORTIZ GONZALEZ WILMER EDUARDO</t>
  </si>
  <si>
    <t>156219407001</t>
  </si>
  <si>
    <t>TORRES SANCHEZ YUNNIA YENSIER.</t>
  </si>
  <si>
    <t>2489065</t>
  </si>
  <si>
    <t>RODRIGUEZ HERNANDEZ LULY GABRIELA</t>
  </si>
  <si>
    <t>2489066</t>
  </si>
  <si>
    <t>RODRIGUEZ GARCIA DANNA VALENTINA</t>
  </si>
  <si>
    <t>RECAUDO SGP CAPITAL SALUD</t>
  </si>
  <si>
    <t>prestaciones@capitalsalud.gov.co</t>
  </si>
  <si>
    <t>RUIZ  RODRIGUEZ NICOLE VANESSA</t>
  </si>
  <si>
    <t>CARMONA OROZCO VALENTINA.</t>
  </si>
  <si>
    <t>SALUD TOTAL S.A ENTIDAD PROMOTORA DE SALUD</t>
  </si>
  <si>
    <t>0531261469</t>
  </si>
  <si>
    <t>Por medio de una PQR</t>
  </si>
  <si>
    <t>OSPINA MERCADO MAYRA ALEJANDRA</t>
  </si>
  <si>
    <t>0531261478</t>
  </si>
  <si>
    <t>HERNANDEZ OVIEDO MISAEL ROLANDO</t>
  </si>
  <si>
    <t>0531261488</t>
  </si>
  <si>
    <t>SANCHEZ OTALVARO JOHAN MATEO.</t>
  </si>
  <si>
    <t>0531261501</t>
  </si>
  <si>
    <t>RUIZ CEREN BEATRIZ ELENA</t>
  </si>
  <si>
    <t>0531261506</t>
  </si>
  <si>
    <t>OSORIO MARTINEZ KINWERLIS ESTEFHANI.</t>
  </si>
  <si>
    <t>531261532</t>
  </si>
  <si>
    <t>BALDOVINO ENCIZO DARLENIS.</t>
  </si>
  <si>
    <t>0531261540</t>
  </si>
  <si>
    <t>531261516</t>
  </si>
  <si>
    <t>531261521</t>
  </si>
  <si>
    <t>ARROYAVE YEPES JOHAN ALEXIS</t>
  </si>
  <si>
    <t>SAVIA SALUD</t>
  </si>
  <si>
    <t>RODRIGUEZ HERNANDEZ LULY GABRIELA.</t>
  </si>
  <si>
    <t>ORTIZ MOLINA ALBERTO RAFAEL</t>
  </si>
  <si>
    <t>ORTIZ RODRIGUEZ YUSELYS</t>
  </si>
  <si>
    <t>LEGUIZAMON ACOSTA CAMILO ANDRES</t>
  </si>
  <si>
    <t>TORRES SANCHEZ YUNNIA YENSIER</t>
  </si>
  <si>
    <t>ESQUIVEL MONROY YESICA MILENA</t>
  </si>
  <si>
    <t>COLON BERRIO YESICA PATRICIA.</t>
  </si>
  <si>
    <t>AYALA AYALA MARIA CAMILA</t>
  </si>
  <si>
    <t>ZAPATA PINEDA SANTIAGO</t>
  </si>
  <si>
    <t>NO</t>
  </si>
  <si>
    <t>20260705-343325</t>
  </si>
  <si>
    <t>BETANCUR RENDON LUISA FERNANDA</t>
  </si>
  <si>
    <t>PEÑA VALERO JHON EDISON</t>
  </si>
  <si>
    <t>EN20260000587418</t>
  </si>
  <si>
    <t>PEÑALOZA DURANGO DANITZA JUDITH</t>
  </si>
  <si>
    <t>RADICAD</t>
  </si>
  <si>
    <t>ORTIZ  SANCHEZ DIANA YINED</t>
  </si>
  <si>
    <t>MORENO  CHIQUILLO DEISY MARIA</t>
  </si>
  <si>
    <t>MOLINA BELLO PAOLA ABDIELA</t>
  </si>
  <si>
    <t>SIERRA GAMBOA YEN ESTELA</t>
  </si>
  <si>
    <t>MADRID CARDONA DIEGO</t>
  </si>
  <si>
    <t>SOLICITADA TRANSCRITA</t>
  </si>
  <si>
    <t>dmadridcardona@gmail.com</t>
  </si>
  <si>
    <t>YAIMA CHILATRA MARIA ALEJANDRA</t>
  </si>
  <si>
    <t>ALIANSALUD EPS S.A</t>
  </si>
  <si>
    <t>ARBOLEDA VARGAS ANDRY YURINA</t>
  </si>
  <si>
    <t>VALENCIA CAÑAS TALI NACARI.</t>
  </si>
  <si>
    <t>MARTINEZ FLOREZ YUDIS SAMIRA</t>
  </si>
  <si>
    <t>MAZO RUIZ ANYELIZ ELIANA</t>
  </si>
  <si>
    <t>DURANGO RAMOS ANGELICA VANESA</t>
  </si>
  <si>
    <t>POLO LOPEZ YULISA ISABEL</t>
  </si>
  <si>
    <t>ASOCIACION MUTUAL SER EMPRESA SOLIDARIA DE SALUD ESS</t>
  </si>
  <si>
    <t>GONZALEZ SINISTIERRA LAURA VANESA.</t>
  </si>
  <si>
    <t>BENITEZ ARCOS YIMMY ANDRES</t>
  </si>
  <si>
    <t>LONDOÑO GUERRA ANDRES FELIPE</t>
  </si>
  <si>
    <t>RODELO PEREZ MARIA CAMILA</t>
  </si>
  <si>
    <t>ACEVEDO RUA CRISTIAN CAMILO.</t>
  </si>
  <si>
    <t>MENDOZA TORRES LUISA FERNANDA</t>
  </si>
  <si>
    <t>CANDELO POSADA JAIRO ENRIQUE</t>
  </si>
  <si>
    <t>ARIAS BUSTAMANTE CAMILA</t>
  </si>
  <si>
    <t>ARTEAGA MADRID NICOLAS ESTEBAN</t>
  </si>
  <si>
    <t>CIRO SOTO CINDY BIBIANA</t>
  </si>
  <si>
    <t>GARCIA BENITEZ LUZ MARINA</t>
  </si>
  <si>
    <t>sOLICITADA TRANSCRITA</t>
  </si>
  <si>
    <t>luzg81928@gmail.com</t>
  </si>
  <si>
    <t>COCHERO MONTIEL SACRA ISABEL</t>
  </si>
  <si>
    <t>BELTRAN  REYES DANIEL FELIPE</t>
  </si>
  <si>
    <t>pipereyes20005@hotmail.com</t>
  </si>
  <si>
    <t>RODRIGUEZ ORTIZ CAMILO ANDRES</t>
  </si>
  <si>
    <t>CORREA VALENCIA MARLON STEVEN</t>
  </si>
  <si>
    <t>PEÑA TAFUTO FRANCISCO JAVIER.</t>
  </si>
  <si>
    <t>BUELVAS SIERRA EDUARDO JOSE</t>
  </si>
  <si>
    <t>eduardojosebuelvassierra@gmail.com</t>
  </si>
  <si>
    <t>RESTREPO GOMEZ JUAN FELIPE</t>
  </si>
  <si>
    <t>MONTOYA CAÑAS MONICA MARCELA</t>
  </si>
  <si>
    <t>PIEDRAHITA RODRIGUEZ ANGIE LUCIA</t>
  </si>
  <si>
    <t>MORENO MOSQUERA ANYI LORENA.</t>
  </si>
  <si>
    <t>lorenamorenomosquera@gmail.com</t>
  </si>
  <si>
    <t>SALGADO  MATOS YORLEDIS</t>
  </si>
  <si>
    <t>BEDOYA GIL MARISELA</t>
  </si>
  <si>
    <t>CARDENAS VERGARA ROBINSON DAVID</t>
  </si>
  <si>
    <t>HOYOS IMITOLA VICTOR DANILO</t>
  </si>
  <si>
    <t xml:space="preserve">ESQUIVEL MONROY YESICA MILENA </t>
  </si>
  <si>
    <t>LOPEZ BETANCUR JENIFER ANDREA</t>
  </si>
  <si>
    <t>FUENTES NARANJO NICK MICHELL</t>
  </si>
  <si>
    <t>YEPES ISAZA CLEIDER ALEXANDER</t>
  </si>
  <si>
    <t>VERGARA LAMBRAÑO ANDY LUZ</t>
  </si>
  <si>
    <t>HERNANDEZ ANGULO NAUDITH</t>
  </si>
  <si>
    <t>ALCARAZ NAVALES ANGIE MELISA</t>
  </si>
  <si>
    <t>EN20260000786351</t>
  </si>
  <si>
    <t>JARAMILLO ROLDAN WILLIAM ANDRES</t>
  </si>
  <si>
    <t>RADICADA</t>
  </si>
  <si>
    <t>RODRIGUEZ SALAZAR JHON ANDERSON</t>
  </si>
  <si>
    <t>HOYOS BARILLA SANTIAGO JOSE</t>
  </si>
  <si>
    <t>SOLIS RAMOS MARIA ISODENIS</t>
  </si>
  <si>
    <t>GUERRA VASQUEZ EUCARIS ELIANA</t>
  </si>
  <si>
    <t>GAVIRIA OSORIO DAHIANA</t>
  </si>
  <si>
    <t>BELTRAN REYES DANIEL FELIPE</t>
  </si>
  <si>
    <t>MORA GARCIA ANGIE KARELLY</t>
  </si>
  <si>
    <t>SANCHEZ PENAGOS VALERIA</t>
  </si>
  <si>
    <t>GARCIA  ANTHONY MANUEL</t>
  </si>
  <si>
    <t>ARZUAGA VASQUEZ LOIZY JAILEN</t>
  </si>
  <si>
    <t>CARMONA OROZCO VALENTINA</t>
  </si>
  <si>
    <t>GAVIRIA MORENO YOSELIN</t>
  </si>
  <si>
    <t>GARCIA SANCHEZ JUAN CAMILO</t>
  </si>
  <si>
    <t>CMRC RECAUDO FOSYGA-EMSSANAR E.S.S</t>
  </si>
  <si>
    <t>BERRIO GUEVARA MARIA ISABEL</t>
  </si>
  <si>
    <t>CUERO HINESTROZA ROSIRY</t>
  </si>
  <si>
    <t>LUJAN GARCIA SANDRA 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</si>
</sst>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%"/>
    <numFmt numFmtId="165" formatCode="0.000"/>
    <numFmt numFmtId="166" formatCode="_-&quot;$&quot;\ * #,##0_-;\-&quot;$&quot;\ * #,##0_-;_-&quot;$&quot;\ * &quot;-&quot;??_-;_-@_-"/>
    <numFmt numFmtId="167" formatCode="##\ &quot;días&quot;"/>
    <numFmt numFmtId="168" formatCode="_-&quot;$&quot;* #,##0_-;\-&quot;$&quot;* #,##0_-;_-&quot;$&quot;* &quot;-&quot;_-;_-@_-"/>
    <numFmt numFmtId="169" formatCode="_(* #,##0_);_(* \(#,##0\);_(* &quot;-&quot;??_);_(@_)"/>
    <numFmt numFmtId="170" formatCode="_(&quot;$&quot;\ * #,##0_);_(&quot;$&quot;\ * \(#,##0\);_(&quot;$&quot;\ * &quot;-&quot;??_);_(@_)"/>
    <numFmt numFmtId="171" formatCode="_-* #,##0_-;\-* #,##0_-;_-* &quot;-&quot;??_-;_-@_-"/>
    <numFmt numFmtId="172" formatCode="yyyy\-mm\-dd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22"/>
      <color rgb="FFEEEDEA"/>
      <name val="Aptos Narrow"/>
      <family val="2"/>
      <scheme val="minor"/>
    </font>
    <font>
      <sz val="11"/>
      <color rgb="FFEEEDEA"/>
      <name val="Aptos Narrow"/>
      <family val="2"/>
      <scheme val="minor"/>
    </font>
    <font>
      <sz val="11"/>
      <color theme="0"/>
      <name val="Century Gothic"/>
      <family val="2"/>
    </font>
    <font>
      <b/>
      <sz val="11"/>
      <color theme="0"/>
      <name val="Century Gothic"/>
      <family val="2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</font>
    <font>
      <b/>
      <sz val="11"/>
      <color rgb="FF000000"/>
      <name val="Aptos Narrow"/>
    </font>
    <font>
      <u/>
      <sz val="11"/>
      <color theme="10"/>
      <name val="Aptos Narrow"/>
      <family val="2"/>
      <scheme val="minor"/>
    </font>
    <font>
      <sz val="12"/>
      <color rgb="FF212529"/>
      <name val="Segoe UI"/>
      <family val="2"/>
    </font>
    <font>
      <sz val="11"/>
      <color rgb="FF666666"/>
      <name val="Arial"/>
      <family val="2"/>
    </font>
    <font>
      <sz val="12"/>
      <color rgb="FF7F7F7F"/>
      <name val="Open_Sans-Medium"/>
    </font>
    <font>
      <sz val="11"/>
      <color rgb="FF8A95A1"/>
      <name val="Arial"/>
      <family val="2"/>
    </font>
    <font>
      <b/>
      <sz val="12"/>
      <color rgb="FF126163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612022"/>
        <bgColor indexed="64"/>
      </patternFill>
    </fill>
    <fill>
      <patternFill patternType="solid">
        <fgColor rgb="FFEEEDEA"/>
        <bgColor indexed="64"/>
      </patternFill>
    </fill>
    <fill>
      <patternFill patternType="solid">
        <fgColor rgb="FF777E5A"/>
        <bgColor indexed="64"/>
      </patternFill>
    </fill>
    <fill>
      <patternFill patternType="solid">
        <fgColor rgb="FF7A1E2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17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0" fillId="3" borderId="0" xfId="0" applyNumberFormat="1" applyFill="1"/>
    <xf numFmtId="0" fontId="2" fillId="3" borderId="0" xfId="0" applyFont="1" applyFill="1"/>
    <xf numFmtId="9" fontId="0" fillId="0" borderId="1" xfId="1" applyFont="1" applyBorder="1"/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0" fillId="0" borderId="1" xfId="0" applyNumberFormat="1" applyBorder="1"/>
    <xf numFmtId="14" fontId="0" fillId="0" borderId="1" xfId="0" applyNumberFormat="1" applyBorder="1"/>
    <xf numFmtId="0" fontId="7" fillId="4" borderId="0" xfId="0" applyFont="1" applyFill="1"/>
    <xf numFmtId="166" fontId="0" fillId="0" borderId="1" xfId="2" applyNumberFormat="1" applyFont="1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0" fontId="7" fillId="0" borderId="0" xfId="0" applyFont="1"/>
    <xf numFmtId="0" fontId="9" fillId="0" borderId="0" xfId="0" applyFont="1"/>
    <xf numFmtId="0" fontId="10" fillId="4" borderId="0" xfId="0" applyFont="1" applyFill="1"/>
    <xf numFmtId="0" fontId="11" fillId="4" borderId="0" xfId="0" applyFont="1" applyFill="1"/>
    <xf numFmtId="0" fontId="10" fillId="4" borderId="0" xfId="0" applyFont="1" applyFill="1" applyAlignment="1">
      <alignment horizontal="center"/>
    </xf>
    <xf numFmtId="0" fontId="10" fillId="4" borderId="0" xfId="0" applyFont="1" applyFill="1" applyAlignment="1">
      <alignment horizontal="center" vertical="center"/>
    </xf>
    <xf numFmtId="167" fontId="10" fillId="4" borderId="0" xfId="0" applyNumberFormat="1" applyFont="1" applyFill="1" applyAlignment="1">
      <alignment horizontal="center"/>
    </xf>
    <xf numFmtId="0" fontId="10" fillId="4" borderId="0" xfId="0" applyFont="1" applyFill="1" applyAlignment="1">
      <alignment horizontal="right"/>
    </xf>
    <xf numFmtId="42" fontId="10" fillId="4" borderId="0" xfId="4" applyFont="1" applyFill="1" applyBorder="1" applyAlignment="1">
      <alignment horizontal="center"/>
    </xf>
    <xf numFmtId="42" fontId="10" fillId="4" borderId="0" xfId="4" applyFont="1" applyFill="1" applyBorder="1"/>
    <xf numFmtId="9" fontId="10" fillId="4" borderId="0" xfId="1" applyFont="1" applyFill="1"/>
    <xf numFmtId="9" fontId="10" fillId="4" borderId="0" xfId="1" applyFont="1" applyFill="1" applyBorder="1" applyAlignment="1">
      <alignment horizontal="center"/>
    </xf>
    <xf numFmtId="169" fontId="10" fillId="4" borderId="0" xfId="3" applyNumberFormat="1" applyFont="1" applyFill="1" applyBorder="1" applyAlignment="1">
      <alignment horizontal="center"/>
    </xf>
    <xf numFmtId="168" fontId="10" fillId="4" borderId="0" xfId="0" applyNumberFormat="1" applyFont="1" applyFill="1"/>
    <xf numFmtId="1" fontId="10" fillId="4" borderId="0" xfId="0" applyNumberFormat="1" applyFont="1" applyFill="1"/>
    <xf numFmtId="170" fontId="10" fillId="4" borderId="0" xfId="2" applyNumberFormat="1" applyFont="1" applyFill="1" applyBorder="1" applyAlignment="1">
      <alignment horizontal="center"/>
    </xf>
    <xf numFmtId="42" fontId="10" fillId="4" borderId="0" xfId="4" applyFont="1" applyFill="1"/>
    <xf numFmtId="169" fontId="10" fillId="4" borderId="0" xfId="3" applyNumberFormat="1" applyFont="1" applyFill="1"/>
    <xf numFmtId="0" fontId="12" fillId="4" borderId="0" xfId="0" applyFont="1" applyFill="1"/>
    <xf numFmtId="9" fontId="0" fillId="0" borderId="1" xfId="0" applyNumberFormat="1" applyBorder="1"/>
    <xf numFmtId="0" fontId="5" fillId="0" borderId="0" xfId="0" applyFont="1" applyAlignment="1">
      <alignment horizontal="center" vertical="center"/>
    </xf>
    <xf numFmtId="14" fontId="0" fillId="0" borderId="0" xfId="0" applyNumberFormat="1"/>
    <xf numFmtId="0" fontId="6" fillId="0" borderId="0" xfId="0" applyFont="1" applyAlignment="1">
      <alignment horizontal="center" vertical="center"/>
    </xf>
    <xf numFmtId="164" fontId="0" fillId="0" borderId="0" xfId="1" applyNumberFormat="1" applyFont="1" applyBorder="1"/>
    <xf numFmtId="9" fontId="0" fillId="0" borderId="0" xfId="1" applyFont="1" applyBorder="1"/>
    <xf numFmtId="166" fontId="0" fillId="0" borderId="0" xfId="2" applyNumberFormat="1" applyFont="1" applyBorder="1"/>
    <xf numFmtId="165" fontId="0" fillId="0" borderId="0" xfId="0" applyNumberFormat="1"/>
    <xf numFmtId="0" fontId="7" fillId="3" borderId="0" xfId="0" applyFont="1" applyFill="1"/>
    <xf numFmtId="0" fontId="9" fillId="3" borderId="0" xfId="0" applyFont="1" applyFill="1"/>
    <xf numFmtId="9" fontId="12" fillId="3" borderId="0" xfId="1" applyFont="1" applyFill="1" applyBorder="1" applyAlignment="1">
      <alignment horizontal="center" vertical="center"/>
    </xf>
    <xf numFmtId="9" fontId="12" fillId="3" borderId="0" xfId="1" applyFont="1" applyFill="1" applyBorder="1"/>
    <xf numFmtId="166" fontId="12" fillId="3" borderId="0" xfId="2" applyNumberFormat="1" applyFont="1" applyFill="1" applyBorder="1"/>
    <xf numFmtId="0" fontId="12" fillId="3" borderId="0" xfId="1" applyNumberFormat="1" applyFont="1" applyFill="1" applyBorder="1"/>
    <xf numFmtId="0" fontId="12" fillId="3" borderId="0" xfId="0" applyFont="1" applyFill="1"/>
    <xf numFmtId="14" fontId="12" fillId="3" borderId="0" xfId="0" applyNumberFormat="1" applyFont="1" applyFill="1"/>
    <xf numFmtId="0" fontId="12" fillId="3" borderId="0" xfId="0" applyFont="1" applyFill="1" applyAlignment="1">
      <alignment horizontal="center" vertical="center"/>
    </xf>
    <xf numFmtId="0" fontId="7" fillId="0" borderId="1" xfId="0" applyFont="1" applyBorder="1"/>
    <xf numFmtId="14" fontId="0" fillId="0" borderId="2" xfId="1" applyNumberFormat="1" applyFont="1" applyBorder="1"/>
    <xf numFmtId="0" fontId="0" fillId="0" borderId="3" xfId="0" applyBorder="1"/>
    <xf numFmtId="0" fontId="0" fillId="6" borderId="1" xfId="0" applyFill="1" applyBorder="1"/>
    <xf numFmtId="3" fontId="0" fillId="6" borderId="1" xfId="0" applyNumberFormat="1" applyFill="1" applyBorder="1"/>
    <xf numFmtId="0" fontId="0" fillId="6" borderId="0" xfId="0" applyFill="1"/>
    <xf numFmtId="0" fontId="0" fillId="0" borderId="3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4" fillId="0" borderId="6" xfId="0" applyFont="1" applyBorder="1"/>
    <xf numFmtId="0" fontId="14" fillId="0" borderId="9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3" fontId="14" fillId="0" borderId="6" xfId="0" applyNumberFormat="1" applyFont="1" applyBorder="1" applyAlignment="1">
      <alignment horizontal="center"/>
    </xf>
    <xf numFmtId="3" fontId="14" fillId="0" borderId="6" xfId="0" applyNumberFormat="1" applyFont="1" applyBorder="1"/>
    <xf numFmtId="3" fontId="14" fillId="7" borderId="6" xfId="0" applyNumberFormat="1" applyFont="1" applyFill="1" applyBorder="1"/>
    <xf numFmtId="0" fontId="14" fillId="0" borderId="4" xfId="0" applyFont="1" applyBorder="1"/>
    <xf numFmtId="3" fontId="14" fillId="0" borderId="4" xfId="0" applyNumberFormat="1" applyFont="1" applyBorder="1"/>
    <xf numFmtId="3" fontId="15" fillId="0" borderId="6" xfId="0" applyNumberFormat="1" applyFont="1" applyBorder="1"/>
    <xf numFmtId="3" fontId="14" fillId="7" borderId="4" xfId="0" applyNumberFormat="1" applyFont="1" applyFill="1" applyBorder="1"/>
    <xf numFmtId="0" fontId="15" fillId="0" borderId="6" xfId="0" applyFont="1" applyBorder="1"/>
    <xf numFmtId="0" fontId="0" fillId="0" borderId="6" xfId="0" applyBorder="1"/>
    <xf numFmtId="3" fontId="15" fillId="7" borderId="6" xfId="0" applyNumberFormat="1" applyFont="1" applyFill="1" applyBorder="1"/>
    <xf numFmtId="0" fontId="0" fillId="0" borderId="0" xfId="0" applyAlignment="1">
      <alignment wrapText="1"/>
    </xf>
    <xf numFmtId="0" fontId="14" fillId="0" borderId="6" xfId="0" applyFont="1" applyBorder="1" applyAlignment="1">
      <alignment wrapText="1"/>
    </xf>
    <xf numFmtId="0" fontId="15" fillId="0" borderId="12" xfId="0" applyFont="1" applyBorder="1"/>
    <xf numFmtId="10" fontId="15" fillId="0" borderId="13" xfId="0" applyNumberFormat="1" applyFont="1" applyBorder="1"/>
    <xf numFmtId="0" fontId="15" fillId="0" borderId="13" xfId="0" applyFont="1" applyBorder="1"/>
    <xf numFmtId="3" fontId="14" fillId="0" borderId="1" xfId="0" applyNumberFormat="1" applyFont="1" applyBorder="1"/>
    <xf numFmtId="0" fontId="14" fillId="0" borderId="1" xfId="0" applyFont="1" applyBorder="1"/>
    <xf numFmtId="0" fontId="0" fillId="9" borderId="1" xfId="0" applyFill="1" applyBorder="1"/>
    <xf numFmtId="1" fontId="0" fillId="9" borderId="1" xfId="0" applyNumberFormat="1" applyFill="1" applyBorder="1"/>
    <xf numFmtId="171" fontId="0" fillId="9" borderId="1" xfId="3" applyNumberFormat="1" applyFont="1" applyFill="1" applyBorder="1"/>
    <xf numFmtId="1" fontId="0" fillId="0" borderId="1" xfId="0" applyNumberFormat="1" applyBorder="1"/>
    <xf numFmtId="0" fontId="17" fillId="0" borderId="1" xfId="5" applyBorder="1"/>
    <xf numFmtId="171" fontId="0" fillId="0" borderId="1" xfId="3" applyNumberFormat="1" applyFont="1" applyBorder="1"/>
    <xf numFmtId="171" fontId="0" fillId="0" borderId="1" xfId="0" applyNumberForma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0" fontId="21" fillId="0" borderId="1" xfId="0" applyFont="1" applyBorder="1"/>
    <xf numFmtId="0" fontId="0" fillId="10" borderId="1" xfId="0" applyFill="1" applyBorder="1"/>
    <xf numFmtId="14" fontId="0" fillId="10" borderId="1" xfId="0" applyNumberFormat="1" applyFill="1" applyBorder="1"/>
    <xf numFmtId="1" fontId="0" fillId="10" borderId="1" xfId="0" applyNumberFormat="1" applyFill="1" applyBorder="1"/>
    <xf numFmtId="171" fontId="0" fillId="10" borderId="1" xfId="3" applyNumberFormat="1" applyFont="1" applyFill="1" applyBorder="1"/>
    <xf numFmtId="0" fontId="22" fillId="0" borderId="1" xfId="0" applyFont="1" applyBorder="1"/>
    <xf numFmtId="0" fontId="0" fillId="11" borderId="1" xfId="0" applyFill="1" applyBorder="1"/>
    <xf numFmtId="14" fontId="0" fillId="11" borderId="1" xfId="0" applyNumberFormat="1" applyFill="1" applyBorder="1"/>
    <xf numFmtId="1" fontId="0" fillId="11" borderId="1" xfId="0" applyNumberFormat="1" applyFill="1" applyBorder="1"/>
    <xf numFmtId="171" fontId="0" fillId="11" borderId="1" xfId="3" applyNumberFormat="1" applyFont="1" applyFill="1" applyBorder="1"/>
    <xf numFmtId="172" fontId="0" fillId="0" borderId="1" xfId="0" applyNumberFormat="1" applyBorder="1"/>
    <xf numFmtId="0" fontId="8" fillId="5" borderId="0" xfId="0" applyFont="1" applyFill="1" applyAlignment="1">
      <alignment horizontal="center" vertical="center"/>
    </xf>
    <xf numFmtId="0" fontId="16" fillId="8" borderId="9" xfId="0" applyFont="1" applyFill="1" applyBorder="1" applyAlignment="1">
      <alignment horizontal="center"/>
    </xf>
    <xf numFmtId="0" fontId="16" fillId="8" borderId="10" xfId="0" applyFont="1" applyFill="1" applyBorder="1" applyAlignment="1">
      <alignment horizontal="center"/>
    </xf>
    <xf numFmtId="0" fontId="16" fillId="8" borderId="11" xfId="0" applyFont="1" applyFill="1" applyBorder="1" applyAlignment="1">
      <alignment horizontal="center"/>
    </xf>
  </cellXfs>
  <cellStyles count="6">
    <cellStyle name="Hipervínculo" xfId="5" builtinId="8"/>
    <cellStyle name="Millares" xfId="3" builtinId="3"/>
    <cellStyle name="Moneda" xfId="2" builtinId="4"/>
    <cellStyle name="Moneda [0]" xfId="4" builtinId="7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EEEDEA"/>
      <color rgb="FF7A1E23"/>
      <color rgb="FF2F4F4F"/>
      <color rgb="FF612022"/>
      <color rgb="FF777E5A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'Clima organizacional'!#REF!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'Clima organizacional'!#REF!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'Clima organizacional'!#REF!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84C-4399-A2C7-9A88BB54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151023"/>
        <c:axId val="1223154383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'Clima organizacional'!#REF!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'Clima organizacional'!#REF!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'Clima organizacional'!#REF!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E84C-4399-A2C7-9A88BB54A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151023"/>
        <c:axId val="1223154383"/>
      </c:lineChart>
      <c:catAx>
        <c:axId val="122315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3154383"/>
        <c:crosses val="autoZero"/>
        <c:auto val="1"/>
        <c:lblAlgn val="ctr"/>
        <c:lblOffset val="100"/>
        <c:noMultiLvlLbl val="0"/>
      </c:catAx>
      <c:valAx>
        <c:axId val="1223154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315102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'Plan de formación'!$K$2</c:f>
              <c:strCache>
                <c:ptCount val="1"/>
              </c:strCache>
            </c:strRef>
          </c:tx>
          <c:spPr>
            <a:solidFill>
              <a:srgbClr val="2F4F4F"/>
            </a:solidFill>
            <a:ln>
              <a:noFill/>
            </a:ln>
            <a:effectLst/>
          </c:spPr>
          <c:invertIfNegative val="0"/>
          <c:cat>
            <c:numRef>
              <c:f>'Plan de formación'!$J$3:$J$14</c:f>
              <c:numCache>
                <c:formatCode>General</c:formatCode>
                <c:ptCount val="12"/>
              </c:numCache>
            </c:numRef>
          </c:cat>
          <c:val>
            <c:numRef>
              <c:f>'Plan de formación'!$K$3:$K$14</c:f>
              <c:numCache>
                <c:formatCode>0.0%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0C8-4D20-8EBF-39C20699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139503"/>
        <c:axId val="1223147183"/>
      </c:barChart>
      <c:lineChart>
        <c:grouping val="standard"/>
        <c:varyColors val="0"/>
        <c:ser>
          <c:idx val="1"/>
          <c:order val="1"/>
          <c:tx>
            <c:strRef>
              <c:f>'Plan de formación'!$L$2</c:f>
              <c:strCache>
                <c:ptCount val="1"/>
              </c:strCache>
            </c:strRef>
          </c:tx>
          <c:spPr>
            <a:ln w="28575" cap="rnd">
              <a:solidFill>
                <a:srgbClr val="7A1E23"/>
              </a:solidFill>
              <a:round/>
            </a:ln>
            <a:effectLst/>
          </c:spPr>
          <c:marker>
            <c:symbol val="none"/>
          </c:marker>
          <c:cat>
            <c:numRef>
              <c:f>'Plan de formación'!$J$3:$J$14</c:f>
              <c:numCache>
                <c:formatCode>General</c:formatCode>
                <c:ptCount val="12"/>
              </c:numCache>
            </c:numRef>
          </c:cat>
          <c:val>
            <c:numRef>
              <c:f>'Plan de formación'!$L$3:$L$14</c:f>
              <c:numCache>
                <c:formatCode>0%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C8-4D20-8EBF-39C206992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139503"/>
        <c:axId val="1223147183"/>
      </c:lineChart>
      <c:catAx>
        <c:axId val="1223139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3147183"/>
        <c:crosses val="autoZero"/>
        <c:auto val="1"/>
        <c:lblAlgn val="ctr"/>
        <c:lblOffset val="100"/>
        <c:noMultiLvlLbl val="0"/>
      </c:catAx>
      <c:valAx>
        <c:axId val="1223147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31395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'Costo de capacitación'!$R$2</c:f>
              <c:strCache>
                <c:ptCount val="1"/>
              </c:strCache>
            </c:strRef>
          </c:tx>
          <c:spPr>
            <a:solidFill>
              <a:srgbClr val="2F4F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'Costo de capacitación'!$P$3:$P$14</c:f>
              <c:numCache>
                <c:formatCode>General</c:formatCode>
                <c:ptCount val="12"/>
              </c:numCache>
            </c:numRef>
          </c:cat>
          <c:val>
            <c:numRef>
              <c:f>'Costo de capacitación'!$R$3:$R$14</c:f>
              <c:numCache>
                <c:formatCode>_-"$"\ * #,##0_-;\-"$"\ * #,##0_-;_-"$"\ * "-"??_-;_-@_-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C0D4-4CBE-8961-E110E4DFF7A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7747871"/>
        <c:axId val="67748351"/>
      </c:barChart>
      <c:catAx>
        <c:axId val="6774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748351"/>
        <c:crosses val="autoZero"/>
        <c:auto val="1"/>
        <c:lblAlgn val="ctr"/>
        <c:lblOffset val="100"/>
        <c:noMultiLvlLbl val="0"/>
      </c:catAx>
      <c:valAx>
        <c:axId val="6774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77478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F4F4F"/>
            </a:solidFill>
            <a:ln>
              <a:noFill/>
            </a:ln>
            <a:effectLst/>
          </c:spPr>
          <c:invertIfNegative val="0"/>
          <c:val>
            <c:numRef>
              <c:f>'Tiempo de contratación '!#REF!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'Tiempo de contratación 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'Tiempo de contratación '!#REF!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BFB1-4260-89EA-9E7D0DC0C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820095"/>
        <c:axId val="1216822015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rgbClr val="7A1E23"/>
              </a:solidFill>
              <a:round/>
            </a:ln>
            <a:effectLst/>
          </c:spPr>
          <c:marker>
            <c:symbol val="none"/>
          </c:marker>
          <c:val>
            <c:numRef>
              <c:f>'Tiempo de contratación '!#REF!</c:f>
              <c:numCache>
                <c:formatCode>0.0</c:formatCode>
                <c:ptCount val="12"/>
                <c:pt idx="0">
                  <c:v>17.5</c:v>
                </c:pt>
                <c:pt idx="1">
                  <c:v>16.5</c:v>
                </c:pt>
                <c:pt idx="2">
                  <c:v>17.5</c:v>
                </c:pt>
                <c:pt idx="3">
                  <c:v>14</c:v>
                </c:pt>
                <c:pt idx="4">
                  <c:v>18</c:v>
                </c:pt>
                <c:pt idx="5">
                  <c:v>15.5</c:v>
                </c:pt>
                <c:pt idx="6">
                  <c:v>16</c:v>
                </c:pt>
                <c:pt idx="7">
                  <c:v>17.5</c:v>
                </c:pt>
                <c:pt idx="8">
                  <c:v>17.5</c:v>
                </c:pt>
                <c:pt idx="9">
                  <c:v>17.5</c:v>
                </c:pt>
                <c:pt idx="10">
                  <c:v>16</c:v>
                </c:pt>
                <c:pt idx="11">
                  <c:v>14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'Tiempo de contratación 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'Tiempo de contratación '!#REF!</c15:sqref>
                        </c15:formulaRef>
                      </c:ext>
                    </c:extLst>
                    <c:strCache>
                      <c:ptCount val="12"/>
                      <c:pt idx="0">
                        <c:v>Enero</c:v>
                      </c:pt>
                      <c:pt idx="1">
                        <c:v>Febrero</c:v>
                      </c:pt>
                      <c:pt idx="2">
                        <c:v>Marzo</c:v>
                      </c:pt>
                      <c:pt idx="3">
                        <c:v>Abril</c:v>
                      </c:pt>
                      <c:pt idx="4">
                        <c:v>Mayo</c:v>
                      </c:pt>
                      <c:pt idx="5">
                        <c:v>Junio</c:v>
                      </c:pt>
                      <c:pt idx="6">
                        <c:v>Julio</c:v>
                      </c:pt>
                      <c:pt idx="7">
                        <c:v>Agosto</c:v>
                      </c:pt>
                      <c:pt idx="8">
                        <c:v>Septiembre</c:v>
                      </c:pt>
                      <c:pt idx="9">
                        <c:v>Octubre</c:v>
                      </c:pt>
                      <c:pt idx="10">
                        <c:v>Noviembre</c:v>
                      </c:pt>
                      <c:pt idx="11">
                        <c:v>Diciembre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BFB1-4260-89EA-9E7D0DC0CA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9337983"/>
        <c:axId val="1216286591"/>
      </c:lineChart>
      <c:catAx>
        <c:axId val="121682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822015"/>
        <c:crosses val="autoZero"/>
        <c:auto val="1"/>
        <c:lblAlgn val="ctr"/>
        <c:lblOffset val="100"/>
        <c:noMultiLvlLbl val="0"/>
      </c:catAx>
      <c:valAx>
        <c:axId val="121682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16820095"/>
        <c:crosses val="autoZero"/>
        <c:crossBetween val="between"/>
      </c:valAx>
      <c:valAx>
        <c:axId val="1216286591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89337983"/>
        <c:crosses val="max"/>
        <c:crossBetween val="between"/>
      </c:valAx>
      <c:catAx>
        <c:axId val="188933798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16286591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80871600859157"/>
          <c:y val="5.700289867594497E-2"/>
          <c:w val="0.86081495943797215"/>
          <c:h val="0.842666389132868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SST!$N$2</c:f>
              <c:strCache>
                <c:ptCount val="1"/>
              </c:strCache>
            </c:strRef>
          </c:tx>
          <c:spPr>
            <a:solidFill>
              <a:srgbClr val="2F4F4F"/>
            </a:solidFill>
            <a:ln>
              <a:noFill/>
            </a:ln>
            <a:effectLst/>
          </c:spPr>
          <c:invertIfNegative val="0"/>
          <c:cat>
            <c:numRef>
              <c:f>SST!$M$3:$M$14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30</c:v>
                </c:pt>
              </c:numCache>
            </c:numRef>
          </c:cat>
          <c:val>
            <c:numRef>
              <c:f>SST!$N$3:$N$14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246E-4D6B-B687-BC6277D8F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3153903"/>
        <c:axId val="1223145743"/>
      </c:barChart>
      <c:catAx>
        <c:axId val="1223153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3145743"/>
        <c:crosses val="autoZero"/>
        <c:auto val="1"/>
        <c:lblAlgn val="ctr"/>
        <c:lblOffset val="100"/>
        <c:noMultiLvlLbl val="0"/>
      </c:catAx>
      <c:valAx>
        <c:axId val="122314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315390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Indicadores!$AA$3</c:f>
              <c:strCache>
                <c:ptCount val="1"/>
                <c:pt idx="0">
                  <c:v>% área</c:v>
                </c:pt>
              </c:strCache>
            </c:strRef>
          </c:tx>
          <c:spPr>
            <a:solidFill>
              <a:srgbClr val="2F4F4F"/>
            </a:solidFill>
            <a:ln>
              <a:noFill/>
            </a:ln>
            <a:effectLst/>
          </c:spPr>
          <c:invertIfNegative val="0"/>
          <c:cat>
            <c:strRef>
              <c:f>Indicadores!$Z$4:$Z$8</c:f>
              <c:strCache>
                <c:ptCount val="5"/>
                <c:pt idx="0">
                  <c:v>Operaciones</c:v>
                </c:pt>
                <c:pt idx="1">
                  <c:v>Mantenimiento</c:v>
                </c:pt>
                <c:pt idx="2">
                  <c:v>Administración</c:v>
                </c:pt>
                <c:pt idx="3">
                  <c:v>Ventas / Comercial</c:v>
                </c:pt>
                <c:pt idx="4">
                  <c:v>RRHH y Calidad</c:v>
                </c:pt>
              </c:strCache>
            </c:strRef>
          </c:cat>
          <c:val>
            <c:numRef>
              <c:f>Indicadores!$AA$4:$AA$8</c:f>
              <c:numCache>
                <c:formatCode>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D-4D5B-AD5C-55BB2AB51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1586543"/>
        <c:axId val="961586063"/>
      </c:barChart>
      <c:lineChart>
        <c:grouping val="standard"/>
        <c:varyColors val="0"/>
        <c:ser>
          <c:idx val="1"/>
          <c:order val="1"/>
          <c:tx>
            <c:strRef>
              <c:f>Indicadores!$AB$3</c:f>
              <c:strCache>
                <c:ptCount val="1"/>
                <c:pt idx="0">
                  <c:v>Objetivo</c:v>
                </c:pt>
              </c:strCache>
            </c:strRef>
          </c:tx>
          <c:spPr>
            <a:ln w="28575" cap="rnd">
              <a:solidFill>
                <a:srgbClr val="7A1E23"/>
              </a:solidFill>
              <a:round/>
            </a:ln>
            <a:effectLst/>
          </c:spPr>
          <c:marker>
            <c:symbol val="none"/>
          </c:marker>
          <c:cat>
            <c:strRef>
              <c:f>Indicadores!$Z$4:$Z$8</c:f>
              <c:strCache>
                <c:ptCount val="5"/>
                <c:pt idx="0">
                  <c:v>Operaciones</c:v>
                </c:pt>
                <c:pt idx="1">
                  <c:v>Mantenimiento</c:v>
                </c:pt>
                <c:pt idx="2">
                  <c:v>Administración</c:v>
                </c:pt>
                <c:pt idx="3">
                  <c:v>Ventas / Comercial</c:v>
                </c:pt>
                <c:pt idx="4">
                  <c:v>RRHH y Calidad</c:v>
                </c:pt>
              </c:strCache>
            </c:strRef>
          </c:cat>
          <c:val>
            <c:numRef>
              <c:f>Indicadores!$AB$4:$AB$8</c:f>
              <c:numCache>
                <c:formatCode>0%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DD-4D5B-AD5C-55BB2AB51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586543"/>
        <c:axId val="961586063"/>
      </c:lineChart>
      <c:catAx>
        <c:axId val="961586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1586063"/>
        <c:crosses val="autoZero"/>
        <c:auto val="1"/>
        <c:lblAlgn val="ctr"/>
        <c:lblOffset val="100"/>
        <c:noMultiLvlLbl val="0"/>
      </c:catAx>
      <c:valAx>
        <c:axId val="961586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61586543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Indicadores!$AC$14</c:f>
              <c:strCache>
                <c:ptCount val="1"/>
                <c:pt idx="0">
                  <c:v>Cumplimiento (%)</c:v>
                </c:pt>
              </c:strCache>
            </c:strRef>
          </c:tx>
          <c:spPr>
            <a:solidFill>
              <a:srgbClr val="2F4F4F"/>
            </a:solidFill>
            <a:ln>
              <a:noFill/>
            </a:ln>
            <a:effectLst/>
          </c:spPr>
          <c:invertIfNegative val="0"/>
          <c:cat>
            <c:strRef>
              <c:f>Indicadores!$X$15:$X$27</c:f>
              <c:strCache>
                <c:ptCount val="13"/>
                <c:pt idx="0">
                  <c:v> Sin datos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</c:strCache>
            </c:strRef>
          </c:cat>
          <c:val>
            <c:numRef>
              <c:f>Indicadores!$AC$15:$AC$27</c:f>
              <c:numCache>
                <c:formatCode>0%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637B-4052-93E1-724EE8E7A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503711"/>
        <c:axId val="944501791"/>
      </c:barChart>
      <c:lineChart>
        <c:grouping val="standard"/>
        <c:varyColors val="0"/>
        <c:ser>
          <c:idx val="1"/>
          <c:order val="1"/>
          <c:tx>
            <c:strRef>
              <c:f>Indicadores!$AD$14</c:f>
              <c:strCache>
                <c:ptCount val="1"/>
                <c:pt idx="0">
                  <c:v>Objetivo</c:v>
                </c:pt>
              </c:strCache>
            </c:strRef>
          </c:tx>
          <c:spPr>
            <a:ln w="28575" cap="rnd">
              <a:solidFill>
                <a:srgbClr val="612022"/>
              </a:solidFill>
              <a:round/>
            </a:ln>
            <a:effectLst/>
          </c:spPr>
          <c:marker>
            <c:symbol val="none"/>
          </c:marker>
          <c:cat>
            <c:strRef>
              <c:f>Indicadores!$X$15:$X$27</c:f>
              <c:strCache>
                <c:ptCount val="13"/>
                <c:pt idx="0">
                  <c:v> Sin datos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</c:strCache>
            </c:strRef>
          </c:cat>
          <c:val>
            <c:numRef>
              <c:f>Indicadores!$AD$15:$AD$27</c:f>
              <c:numCache>
                <c:formatCode>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7B-4052-93E1-724EE8E7A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4503711"/>
        <c:axId val="944501791"/>
      </c:lineChart>
      <c:catAx>
        <c:axId val="94450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4501791"/>
        <c:crosses val="autoZero"/>
        <c:auto val="1"/>
        <c:lblAlgn val="ctr"/>
        <c:lblOffset val="100"/>
        <c:noMultiLvlLbl val="0"/>
      </c:catAx>
      <c:valAx>
        <c:axId val="9445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4450371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Indicadores!$AF$32</c:f>
              <c:strCache>
                <c:ptCount val="1"/>
                <c:pt idx="0">
                  <c:v>Costo por empleado ($)</c:v>
                </c:pt>
              </c:strCache>
            </c:strRef>
          </c:tx>
          <c:spPr>
            <a:solidFill>
              <a:srgbClr val="2F4F4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Indicadores!$X$33:$X$45</c:f>
              <c:strCache>
                <c:ptCount val="13"/>
                <c:pt idx="0">
                  <c:v> Sin datos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</c:strCache>
            </c:strRef>
          </c:cat>
          <c:val>
            <c:numRef>
              <c:f>Indicadores!$AF$33:$AF$45</c:f>
              <c:numCache>
                <c:formatCode>_-"$"\ * #,##0_-;\-"$"\ * #,##0_-;_-"$"\ * "-"??_-;_-@_-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ACD5-44C9-AED7-B441E4DFE7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9644175"/>
        <c:axId val="1879649455"/>
      </c:barChart>
      <c:catAx>
        <c:axId val="1879644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9649455"/>
        <c:crosses val="autoZero"/>
        <c:auto val="1"/>
        <c:lblAlgn val="ctr"/>
        <c:lblOffset val="100"/>
        <c:noMultiLvlLbl val="0"/>
      </c:catAx>
      <c:valAx>
        <c:axId val="1879649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796441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398119779571263E-2"/>
          <c:y val="9.8064475566374751E-2"/>
          <c:w val="0.96409402560809654"/>
          <c:h val="0.84081174984141449"/>
        </c:manualLayout>
      </c:layout>
      <c:lineChart>
        <c:grouping val="standard"/>
        <c:varyColors val="0"/>
        <c:ser>
          <c:idx val="0"/>
          <c:order val="0"/>
          <c:tx>
            <c:strRef>
              <c:f>Indicadores!$AC$81</c:f>
              <c:strCache>
                <c:ptCount val="1"/>
                <c:pt idx="0">
                  <c:v>Índice de accidentes</c:v>
                </c:pt>
              </c:strCache>
            </c:strRef>
          </c:tx>
          <c:spPr>
            <a:ln w="28575" cap="rnd">
              <a:solidFill>
                <a:srgbClr val="2F4F4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Indicadores!$X$82:$X$94</c:f>
              <c:strCache>
                <c:ptCount val="13"/>
                <c:pt idx="0">
                  <c:v> Sin datos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</c:strCache>
            </c:strRef>
          </c:cat>
          <c:val>
            <c:numRef>
              <c:f>Indicadores!$AC$82:$AC$94</c:f>
              <c:numCache>
                <c:formatCode>0%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D-4DB7-9365-A0F11A00A36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896642607"/>
        <c:axId val="1066715295"/>
      </c:lineChart>
      <c:catAx>
        <c:axId val="1896642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66715295"/>
        <c:crosses val="autoZero"/>
        <c:auto val="1"/>
        <c:lblAlgn val="ctr"/>
        <c:lblOffset val="100"/>
        <c:noMultiLvlLbl val="0"/>
      </c:catAx>
      <c:valAx>
        <c:axId val="1066715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966426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Indicadores!$AB$51</c:f>
              <c:strCache>
                <c:ptCount val="1"/>
                <c:pt idx="0">
                  <c:v>Promedio de días</c:v>
                </c:pt>
              </c:strCache>
            </c:strRef>
          </c:tx>
          <c:spPr>
            <a:solidFill>
              <a:srgbClr val="2F4F4F"/>
            </a:solidFill>
            <a:ln>
              <a:noFill/>
            </a:ln>
            <a:effectLst/>
          </c:spPr>
          <c:invertIfNegative val="0"/>
          <c:cat>
            <c:strRef>
              <c:f>Indicadores!$X$52:$X$64</c:f>
              <c:strCache>
                <c:ptCount val="13"/>
                <c:pt idx="0">
                  <c:v> Sin datos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</c:strCache>
            </c:strRef>
          </c:cat>
          <c:val>
            <c:numRef>
              <c:f>Indicadores!$AB$52:$AB$64</c:f>
              <c:numCache>
                <c:formatCode>General</c:formatCode>
                <c:ptCount val="13"/>
              </c:numCache>
            </c:numRef>
          </c:val>
          <c:extLst>
            <c:ext xmlns:c16="http://schemas.microsoft.com/office/drawing/2014/chart" uri="{C3380CC4-5D6E-409C-BE32-E72D297353CC}">
              <c16:uniqueId val="{00000000-9406-498B-B2E9-D2CA81F50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4052655"/>
        <c:axId val="1084051695"/>
      </c:barChart>
      <c:lineChart>
        <c:grouping val="standard"/>
        <c:varyColors val="0"/>
        <c:ser>
          <c:idx val="1"/>
          <c:order val="1"/>
          <c:tx>
            <c:strRef>
              <c:f>Indicadores!$AC$51</c:f>
              <c:strCache>
                <c:ptCount val="1"/>
                <c:pt idx="0">
                  <c:v>Objetivo</c:v>
                </c:pt>
              </c:strCache>
            </c:strRef>
          </c:tx>
          <c:spPr>
            <a:ln w="28575" cap="rnd">
              <a:solidFill>
                <a:srgbClr val="7A1E23"/>
              </a:solidFill>
              <a:round/>
            </a:ln>
            <a:effectLst/>
          </c:spPr>
          <c:marker>
            <c:symbol val="none"/>
          </c:marker>
          <c:cat>
            <c:strRef>
              <c:f>Indicadores!$X$52:$X$64</c:f>
              <c:strCache>
                <c:ptCount val="13"/>
                <c:pt idx="0">
                  <c:v> Sin datos</c:v>
                </c:pt>
                <c:pt idx="1">
                  <c:v> </c:v>
                </c:pt>
                <c:pt idx="2">
                  <c:v> </c:v>
                </c:pt>
                <c:pt idx="3">
                  <c:v> </c:v>
                </c:pt>
                <c:pt idx="4">
                  <c:v> </c:v>
                </c:pt>
                <c:pt idx="5">
                  <c:v> </c:v>
                </c:pt>
                <c:pt idx="6">
                  <c:v> </c:v>
                </c:pt>
                <c:pt idx="7">
                  <c:v> </c:v>
                </c:pt>
                <c:pt idx="8">
                  <c:v> </c:v>
                </c:pt>
                <c:pt idx="9">
                  <c:v> </c:v>
                </c:pt>
                <c:pt idx="10">
                  <c:v> </c:v>
                </c:pt>
                <c:pt idx="11">
                  <c:v> </c:v>
                </c:pt>
                <c:pt idx="12">
                  <c:v> </c:v>
                </c:pt>
              </c:strCache>
            </c:strRef>
          </c:cat>
          <c:val>
            <c:numRef>
              <c:f>Indicadores!$AC$52:$AC$64</c:f>
              <c:numCache>
                <c:formatCode>General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06-498B-B2E9-D2CA81F502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4052655"/>
        <c:axId val="1084051695"/>
      </c:lineChart>
      <c:catAx>
        <c:axId val="1084052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4051695"/>
        <c:crosses val="autoZero"/>
        <c:auto val="1"/>
        <c:lblAlgn val="ctr"/>
        <c:lblOffset val="100"/>
        <c:noMultiLvlLbl val="0"/>
      </c:catAx>
      <c:valAx>
        <c:axId val="108405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8405265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image" Target="../media/image1.png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226218</xdr:colOff>
      <xdr:row>0</xdr:row>
      <xdr:rowOff>107156</xdr:rowOff>
    </xdr:from>
    <xdr:to>
      <xdr:col>12</xdr:col>
      <xdr:colOff>35718</xdr:colOff>
      <xdr:row>4</xdr:row>
      <xdr:rowOff>183356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E15CB9D-E87E-471A-B59B-E5DF3E744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1643" y="107156"/>
          <a:ext cx="2857500" cy="1038225"/>
        </a:xfrm>
        <a:prstGeom prst="rect">
          <a:avLst/>
        </a:prstGeom>
      </xdr:spPr>
    </xdr:pic>
    <xdr:clientData/>
  </xdr:twoCellAnchor>
  <xdr:twoCellAnchor>
    <xdr:from>
      <xdr:col>2</xdr:col>
      <xdr:colOff>57149</xdr:colOff>
      <xdr:row>9</xdr:row>
      <xdr:rowOff>42861</xdr:rowOff>
    </xdr:from>
    <xdr:to>
      <xdr:col>18</xdr:col>
      <xdr:colOff>702468</xdr:colOff>
      <xdr:row>30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AA59CC9-F843-420E-88A8-BACCF0C7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97631</xdr:colOff>
      <xdr:row>34</xdr:row>
      <xdr:rowOff>42863</xdr:rowOff>
    </xdr:from>
    <xdr:to>
      <xdr:col>18</xdr:col>
      <xdr:colOff>690561</xdr:colOff>
      <xdr:row>57</xdr:row>
      <xdr:rowOff>107156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976D7C1-92CE-491F-B41E-825B0F35C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78581</xdr:colOff>
      <xdr:row>61</xdr:row>
      <xdr:rowOff>69058</xdr:rowOff>
    </xdr:from>
    <xdr:to>
      <xdr:col>18</xdr:col>
      <xdr:colOff>666749</xdr:colOff>
      <xdr:row>84</xdr:row>
      <xdr:rowOff>107156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E9AE68D-AADC-4EF9-9B90-5EEDF0D4CD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121443</xdr:colOff>
      <xdr:row>88</xdr:row>
      <xdr:rowOff>88106</xdr:rowOff>
    </xdr:from>
    <xdr:to>
      <xdr:col>18</xdr:col>
      <xdr:colOff>690562</xdr:colOff>
      <xdr:row>113</xdr:row>
      <xdr:rowOff>107156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5156F6D-B434-4B02-965B-3E1D6749E2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76199</xdr:colOff>
      <xdr:row>117</xdr:row>
      <xdr:rowOff>11906</xdr:rowOff>
    </xdr:from>
    <xdr:to>
      <xdr:col>18</xdr:col>
      <xdr:colOff>726281</xdr:colOff>
      <xdr:row>140</xdr:row>
      <xdr:rowOff>154781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7FAA66E-4828-4B69-BBC2-BC1D16535B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226218</xdr:colOff>
      <xdr:row>0</xdr:row>
      <xdr:rowOff>107156</xdr:rowOff>
    </xdr:from>
    <xdr:to>
      <xdr:col>12</xdr:col>
      <xdr:colOff>35718</xdr:colOff>
      <xdr:row>5</xdr:row>
      <xdr:rowOff>40481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45DB1F-978F-1C9C-1C51-D71A2AE65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6406" y="107156"/>
          <a:ext cx="2857500" cy="1028700"/>
        </a:xfrm>
        <a:prstGeom prst="rect">
          <a:avLst/>
        </a:prstGeom>
      </xdr:spPr>
    </xdr:pic>
    <xdr:clientData/>
  </xdr:twoCellAnchor>
  <xdr:twoCellAnchor>
    <xdr:from>
      <xdr:col>2</xdr:col>
      <xdr:colOff>172639</xdr:colOff>
      <xdr:row>11</xdr:row>
      <xdr:rowOff>3571</xdr:rowOff>
    </xdr:from>
    <xdr:to>
      <xdr:col>18</xdr:col>
      <xdr:colOff>511968</xdr:colOff>
      <xdr:row>29</xdr:row>
      <xdr:rowOff>35719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AD855F-30DD-A2C9-85E9-350851B9A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77391</xdr:colOff>
      <xdr:row>32</xdr:row>
      <xdr:rowOff>51195</xdr:rowOff>
    </xdr:from>
    <xdr:to>
      <xdr:col>18</xdr:col>
      <xdr:colOff>690563</xdr:colOff>
      <xdr:row>55</xdr:row>
      <xdr:rowOff>130968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24ACF9A-FA49-4D05-D04D-4C607AB2C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141684</xdr:colOff>
      <xdr:row>58</xdr:row>
      <xdr:rowOff>132159</xdr:rowOff>
    </xdr:from>
    <xdr:to>
      <xdr:col>18</xdr:col>
      <xdr:colOff>704850</xdr:colOff>
      <xdr:row>81</xdr:row>
      <xdr:rowOff>19050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202877FD-3143-8223-43CC-363CEB45D2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116258</xdr:colOff>
      <xdr:row>112</xdr:row>
      <xdr:rowOff>29135</xdr:rowOff>
    </xdr:from>
    <xdr:to>
      <xdr:col>18</xdr:col>
      <xdr:colOff>686360</xdr:colOff>
      <xdr:row>136</xdr:row>
      <xdr:rowOff>126065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57FDF5CD-0B61-A265-7B39-36A8369547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79375</xdr:colOff>
      <xdr:row>84</xdr:row>
      <xdr:rowOff>42861</xdr:rowOff>
    </xdr:from>
    <xdr:to>
      <xdr:col>18</xdr:col>
      <xdr:colOff>682625</xdr:colOff>
      <xdr:row>109</xdr:row>
      <xdr:rowOff>15874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0E593A5-E99C-7636-7DCA-B6B914089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ownloads/4%20de%20septiembre.xlsx" TargetMode="External"/><Relationship Id="rId2" Type="http://schemas.openxmlformats.org/officeDocument/2006/relationships/externalLinkPath" Target="file:///C:\Users\Montolivo\Downloads\4%20de%20septiembre.xlsx" TargetMode="External"/><Relationship Id="rId1" Type="http://schemas.openxmlformats.org/officeDocument/2006/relationships/externalLinkPath" Target="/Users/Montolivo/Downloads/4%20de%20septiem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icadores (2)"/>
      <sheetName val="Indicadores"/>
      <sheetName val="Listas"/>
      <sheetName val="Clima organizacional"/>
      <sheetName val="Plan de formación"/>
      <sheetName val="Costo de capacitación"/>
      <sheetName val=" Costo de contratación "/>
      <sheetName val="Hoja1"/>
      <sheetName val="SST"/>
      <sheetName val="Ausentismo"/>
      <sheetName val="Costo de Bonificación"/>
      <sheetName val="Rotación de pesonal "/>
      <sheetName val="Cobro de incapacidades"/>
      <sheetName val="Depuración de Cartera"/>
    </sheetNames>
    <sheetDataSet>
      <sheetData sheetId="0"/>
      <sheetData sheetId="1"/>
      <sheetData sheetId="2">
        <row r="2">
          <cell r="C2" t="str">
            <v>Enero</v>
          </cell>
        </row>
        <row r="3">
          <cell r="C3" t="str">
            <v>Febrero</v>
          </cell>
        </row>
        <row r="4">
          <cell r="C4" t="str">
            <v>Marzo</v>
          </cell>
        </row>
        <row r="5">
          <cell r="C5" t="str">
            <v>Abril</v>
          </cell>
        </row>
        <row r="6">
          <cell r="C6" t="str">
            <v>Mayo</v>
          </cell>
        </row>
        <row r="7">
          <cell r="C7" t="str">
            <v>Junio</v>
          </cell>
        </row>
        <row r="8">
          <cell r="C8" t="str">
            <v>Julio</v>
          </cell>
        </row>
        <row r="9">
          <cell r="C9" t="str">
            <v>Agosto</v>
          </cell>
        </row>
        <row r="10">
          <cell r="C10" t="str">
            <v>Septiembre</v>
          </cell>
        </row>
        <row r="11">
          <cell r="C11" t="str">
            <v>Octubre</v>
          </cell>
        </row>
        <row r="12">
          <cell r="C12" t="str">
            <v>Noviembre</v>
          </cell>
        </row>
        <row r="13">
          <cell r="C13" t="str">
            <v>Diciembre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mailto:servicioalcliente@comfenalcovalle.com.co" TargetMode="External"/><Relationship Id="rId2" Type="http://schemas.openxmlformats.org/officeDocument/2006/relationships/hyperlink" Target="mailto:prestaciones@capitalsalud.gov.co" TargetMode="External"/><Relationship Id="rId1" Type="http://schemas.openxmlformats.org/officeDocument/2006/relationships/hyperlink" Target="mailto:correspondencia@famisanar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C150-6F86-4601-B42A-BA7A1D07C00E}">
  <dimension ref="A1:BB159"/>
  <sheetViews>
    <sheetView showGridLines="0" topLeftCell="K1" zoomScale="80" zoomScaleNormal="80" workbookViewId="0">
      <selection activeCell="W4" sqref="W4"/>
    </sheetView>
  </sheetViews>
  <sheetFormatPr baseColWidth="10" defaultRowHeight="15"/>
  <cols>
    <col min="1" max="1" width="4.85546875" customWidth="1"/>
    <col min="2" max="2" width="1.42578125" customWidth="1"/>
    <col min="4" max="4" width="16" customWidth="1"/>
    <col min="20" max="20" width="1.42578125" customWidth="1"/>
    <col min="21" max="21" width="4.85546875" customWidth="1"/>
  </cols>
  <sheetData>
    <row r="1" spans="1:54" s="2" customFormat="1" ht="16.5">
      <c r="V1" s="14"/>
      <c r="W1" s="14"/>
      <c r="X1" s="14"/>
      <c r="Y1" s="36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</row>
    <row r="2" spans="1:54" s="2" customFormat="1" ht="21">
      <c r="C2" s="6" t="s">
        <v>0</v>
      </c>
      <c r="D2" s="6" t="s">
        <v>16</v>
      </c>
      <c r="P2" s="7"/>
      <c r="V2" s="14"/>
      <c r="W2" s="14"/>
      <c r="X2" s="14"/>
      <c r="Y2" s="14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</row>
    <row r="3" spans="1:54" s="2" customFormat="1" ht="21">
      <c r="C3" s="6" t="s">
        <v>1</v>
      </c>
      <c r="D3" s="6">
        <v>2024</v>
      </c>
      <c r="P3" s="8" t="str">
        <f ca="1">UPPER(LEFT(TEXT(TODAY(),"dddd dd ""de"" mmmm ""de"" yyyy"),1))&amp;
RIGHT(TEXT(TODAY(),"dddd dd ""de"" mmmm ""de"" yyyy"),
LEN(TEXT(TODAY(),"dddd dd ""de"" mmmm ""de"" yyyy"))-1)</f>
        <v>Sábado 05 de septiembre de 2026</v>
      </c>
      <c r="V3" s="14"/>
      <c r="W3" s="14"/>
      <c r="X3" s="14"/>
      <c r="Y3" s="14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</row>
    <row r="4" spans="1:54" s="2" customFormat="1" ht="16.5">
      <c r="V4" s="14"/>
      <c r="W4" s="14"/>
      <c r="X4" s="14"/>
      <c r="Y4" s="14"/>
      <c r="Z4" s="20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0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</row>
    <row r="5" spans="1:54" s="2" customFormat="1" ht="16.5">
      <c r="V5" s="14"/>
      <c r="W5" s="14"/>
      <c r="X5" s="14"/>
      <c r="Y5" s="14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</row>
    <row r="6" spans="1:54" s="2" customFormat="1" ht="16.5">
      <c r="V6" s="14"/>
      <c r="W6" s="14"/>
      <c r="X6" s="14"/>
      <c r="Y6" s="14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</row>
    <row r="7" spans="1:54" s="1" customFormat="1" ht="6.75" customHeight="1">
      <c r="A7" s="2"/>
      <c r="U7" s="2"/>
      <c r="V7" s="14"/>
      <c r="W7" s="14"/>
      <c r="X7" s="14"/>
      <c r="Y7" s="14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</row>
    <row r="8" spans="1:54" ht="21">
      <c r="A8" s="2"/>
      <c r="B8" s="113" t="s">
        <v>40</v>
      </c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5"/>
      <c r="U8" s="2"/>
      <c r="V8" s="14"/>
      <c r="W8" s="14"/>
      <c r="X8" s="14"/>
      <c r="Y8" s="14"/>
      <c r="Z8" s="20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</row>
    <row r="9" spans="1:54" ht="21">
      <c r="A9" s="2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5"/>
      <c r="U9" s="2"/>
      <c r="V9" s="14"/>
      <c r="W9" s="14"/>
      <c r="X9" s="14"/>
      <c r="Y9" s="14"/>
      <c r="Z9" s="25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7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</row>
    <row r="10" spans="1:54" ht="16.5">
      <c r="A10" s="2"/>
      <c r="B10" s="1"/>
      <c r="T10" s="1"/>
      <c r="U10" s="2"/>
      <c r="V10" s="14"/>
      <c r="W10" s="14"/>
      <c r="X10" s="14"/>
      <c r="Y10" s="14"/>
      <c r="Z10" s="25"/>
      <c r="AA10" s="28"/>
      <c r="AB10" s="28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0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</row>
    <row r="11" spans="1:54" ht="16.5">
      <c r="A11" s="2"/>
      <c r="B11" s="1"/>
      <c r="T11" s="1"/>
      <c r="U11" s="2"/>
      <c r="V11" s="14"/>
      <c r="W11" s="14"/>
      <c r="X11" s="14"/>
      <c r="Y11" s="14"/>
      <c r="Z11" s="25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7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</row>
    <row r="12" spans="1:54" ht="16.5">
      <c r="A12" s="2"/>
      <c r="B12" s="1"/>
      <c r="T12" s="1"/>
      <c r="U12" s="2"/>
      <c r="V12" s="14"/>
      <c r="W12" s="14"/>
      <c r="X12" s="14"/>
      <c r="Y12" s="14"/>
      <c r="Z12" s="25"/>
      <c r="AA12" s="28"/>
      <c r="AB12" s="28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0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</row>
    <row r="13" spans="1:54" ht="16.5">
      <c r="A13" s="2"/>
      <c r="B13" s="1"/>
      <c r="T13" s="1"/>
      <c r="U13" s="2"/>
      <c r="V13" s="14"/>
      <c r="W13" s="14"/>
      <c r="X13" s="14"/>
      <c r="Y13" s="14"/>
      <c r="Z13" s="25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7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</row>
    <row r="14" spans="1:54" ht="16.5">
      <c r="A14" s="2"/>
      <c r="B14" s="1"/>
      <c r="T14" s="1"/>
      <c r="U14" s="2"/>
      <c r="V14" s="14"/>
      <c r="W14" s="14"/>
      <c r="X14" s="14"/>
      <c r="Y14" s="14"/>
      <c r="Z14" s="25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7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</row>
    <row r="15" spans="1:54" ht="16.5">
      <c r="A15" s="2"/>
      <c r="B15" s="1"/>
      <c r="T15" s="1"/>
      <c r="U15" s="2"/>
      <c r="V15" s="14"/>
      <c r="W15" s="14"/>
      <c r="X15" s="14"/>
      <c r="Y15" s="14"/>
      <c r="Z15" s="25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7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</row>
    <row r="16" spans="1:54" ht="16.5">
      <c r="A16" s="2"/>
      <c r="B16" s="1"/>
      <c r="T16" s="1"/>
      <c r="U16" s="2"/>
      <c r="V16" s="14"/>
      <c r="W16" s="14"/>
      <c r="X16" s="14"/>
      <c r="Y16" s="14"/>
      <c r="Z16" s="25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30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</row>
    <row r="17" spans="1:54" ht="16.5">
      <c r="A17" s="2"/>
      <c r="B17" s="1"/>
      <c r="T17" s="1"/>
      <c r="U17" s="2"/>
      <c r="V17" s="14"/>
      <c r="W17" s="14"/>
      <c r="X17" s="14"/>
      <c r="Y17" s="14"/>
      <c r="Z17" s="25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</row>
    <row r="18" spans="1:54" ht="16.5">
      <c r="A18" s="2"/>
      <c r="B18" s="1"/>
      <c r="T18" s="1"/>
      <c r="U18" s="2"/>
      <c r="V18" s="14"/>
      <c r="W18" s="14"/>
      <c r="X18" s="14"/>
      <c r="Y18" s="14"/>
      <c r="Z18" s="2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</row>
    <row r="19" spans="1:54" ht="16.5">
      <c r="A19" s="2"/>
      <c r="B19" s="1"/>
      <c r="T19" s="1"/>
      <c r="U19" s="2"/>
      <c r="V19" s="14"/>
      <c r="W19" s="14"/>
      <c r="X19" s="14"/>
      <c r="Y19" s="14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</row>
    <row r="20" spans="1:54" ht="16.5">
      <c r="A20" s="2"/>
      <c r="B20" s="1"/>
      <c r="T20" s="1"/>
      <c r="U20" s="2"/>
      <c r="V20" s="14"/>
      <c r="W20" s="14"/>
      <c r="X20" s="14"/>
      <c r="Y20" s="14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</row>
    <row r="21" spans="1:54" ht="16.5">
      <c r="A21" s="2"/>
      <c r="B21" s="1"/>
      <c r="T21" s="1"/>
      <c r="U21" s="2"/>
      <c r="V21" s="14"/>
      <c r="W21" s="14"/>
      <c r="X21" s="14"/>
      <c r="Y21" s="14"/>
      <c r="Z21" s="20"/>
      <c r="AA21" s="25"/>
      <c r="AB21" s="20"/>
      <c r="AC21" s="20"/>
      <c r="AD21" s="25"/>
      <c r="AE21" s="20"/>
      <c r="AF21" s="22"/>
      <c r="AG21" s="20"/>
      <c r="AH21" s="20"/>
      <c r="AI21" s="20"/>
      <c r="AJ21" s="20"/>
      <c r="AK21" s="31"/>
      <c r="AL21" s="20"/>
      <c r="AM21" s="20"/>
      <c r="AN21" s="20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</row>
    <row r="22" spans="1:54" ht="16.5">
      <c r="A22" s="2"/>
      <c r="B22" s="1"/>
      <c r="T22" s="1"/>
      <c r="U22" s="2"/>
      <c r="V22" s="14"/>
      <c r="W22" s="14"/>
      <c r="X22" s="14"/>
      <c r="Y22" s="14"/>
      <c r="Z22" s="20"/>
      <c r="AA22" s="20"/>
      <c r="AB22" s="20"/>
      <c r="AC22" s="20"/>
      <c r="AD22" s="14"/>
      <c r="AE22" s="20"/>
      <c r="AF22" s="20"/>
      <c r="AG22" s="20"/>
      <c r="AH22" s="20"/>
      <c r="AI22" s="20"/>
      <c r="AJ22" s="20"/>
      <c r="AK22" s="31"/>
      <c r="AL22" s="20"/>
      <c r="AM22" s="20"/>
      <c r="AN22" s="20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</row>
    <row r="23" spans="1:54" ht="16.5">
      <c r="A23" s="2"/>
      <c r="B23" s="1"/>
      <c r="T23" s="1"/>
      <c r="U23" s="2"/>
      <c r="V23" s="14"/>
      <c r="W23" s="14"/>
      <c r="X23" s="14"/>
      <c r="Y23" s="14"/>
      <c r="Z23" s="20"/>
      <c r="AA23" s="20"/>
      <c r="AB23" s="20"/>
      <c r="AC23" s="20"/>
      <c r="AD23" s="14"/>
      <c r="AE23" s="20"/>
      <c r="AF23" s="20"/>
      <c r="AG23" s="20"/>
      <c r="AH23" s="20"/>
      <c r="AI23" s="20"/>
      <c r="AJ23" s="20"/>
      <c r="AK23" s="31"/>
      <c r="AL23" s="20"/>
      <c r="AM23" s="20"/>
      <c r="AN23" s="20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  <c r="BB23" s="14"/>
    </row>
    <row r="24" spans="1:54" ht="16.5">
      <c r="A24" s="2"/>
      <c r="B24" s="1"/>
      <c r="T24" s="1"/>
      <c r="U24" s="2"/>
      <c r="V24" s="14"/>
      <c r="W24" s="14"/>
      <c r="X24" s="14"/>
      <c r="Y24" s="14"/>
      <c r="Z24" s="20"/>
      <c r="AA24" s="20"/>
      <c r="AB24" s="20"/>
      <c r="AC24" s="20"/>
      <c r="AD24" s="14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  <c r="BB24" s="14"/>
    </row>
    <row r="25" spans="1:54" ht="16.5">
      <c r="A25" s="2"/>
      <c r="B25" s="1"/>
      <c r="T25" s="1"/>
      <c r="U25" s="2"/>
      <c r="V25" s="14"/>
      <c r="W25" s="14"/>
      <c r="X25" s="14"/>
      <c r="Y25" s="14"/>
      <c r="Z25" s="20"/>
      <c r="AA25" s="20"/>
      <c r="AB25" s="20"/>
      <c r="AC25" s="20"/>
      <c r="AD25" s="14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</row>
    <row r="26" spans="1:54" ht="16.5">
      <c r="A26" s="2"/>
      <c r="B26" s="1"/>
      <c r="T26" s="1"/>
      <c r="U26" s="2"/>
      <c r="V26" s="14"/>
      <c r="W26" s="14"/>
      <c r="X26" s="14"/>
      <c r="Y26" s="14"/>
      <c r="Z26" s="20"/>
      <c r="AA26" s="32"/>
      <c r="AB26" s="20"/>
      <c r="AC26" s="20"/>
      <c r="AD26" s="14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</row>
    <row r="27" spans="1:54" ht="16.5">
      <c r="A27" s="2"/>
      <c r="B27" s="1"/>
      <c r="T27" s="1"/>
      <c r="U27" s="2"/>
      <c r="V27" s="14"/>
      <c r="W27" s="14"/>
      <c r="X27" s="14"/>
      <c r="Y27" s="14"/>
      <c r="Z27" s="20"/>
      <c r="AA27" s="20"/>
      <c r="AB27" s="20"/>
      <c r="AC27" s="20"/>
      <c r="AD27" s="14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</row>
    <row r="28" spans="1:54" ht="16.5">
      <c r="A28" s="2"/>
      <c r="B28" s="1"/>
      <c r="T28" s="1"/>
      <c r="U28" s="2"/>
      <c r="V28" s="14"/>
      <c r="W28" s="14"/>
      <c r="X28" s="14"/>
      <c r="Y28" s="14"/>
      <c r="Z28" s="20"/>
      <c r="AA28" s="25"/>
      <c r="AB28" s="20"/>
      <c r="AC28" s="20"/>
      <c r="AD28" s="14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</row>
    <row r="29" spans="1:54" ht="16.5">
      <c r="A29" s="2"/>
      <c r="B29" s="1"/>
      <c r="T29" s="1"/>
      <c r="U29" s="2"/>
      <c r="V29" s="14"/>
      <c r="W29" s="14"/>
      <c r="X29" s="14"/>
      <c r="Y29" s="14"/>
      <c r="Z29" s="20"/>
      <c r="AA29" s="33"/>
      <c r="AB29" s="20"/>
      <c r="AC29" s="20"/>
      <c r="AD29" s="14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</row>
    <row r="30" spans="1:54" ht="16.5">
      <c r="A30" s="2"/>
      <c r="B30" s="1"/>
      <c r="T30" s="1"/>
      <c r="U30" s="2"/>
      <c r="V30" s="14"/>
      <c r="W30" s="14"/>
      <c r="X30" s="14"/>
      <c r="Y30" s="14"/>
      <c r="Z30" s="20"/>
      <c r="AA30" s="25"/>
      <c r="AB30" s="20"/>
      <c r="AC30" s="20"/>
      <c r="AD30" s="14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4"/>
      <c r="BB30" s="14"/>
    </row>
    <row r="31" spans="1:54" ht="16.5">
      <c r="A31" s="2"/>
      <c r="B31" s="1"/>
      <c r="T31" s="1"/>
      <c r="U31" s="2"/>
      <c r="V31" s="14"/>
      <c r="W31" s="14"/>
      <c r="X31" s="14"/>
      <c r="Y31" s="14"/>
      <c r="Z31" s="20"/>
      <c r="AA31" s="20"/>
      <c r="AB31" s="20"/>
      <c r="AC31" s="20"/>
      <c r="AD31" s="14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4"/>
      <c r="BB31" s="14"/>
    </row>
    <row r="32" spans="1:54" s="1" customFormat="1" ht="6.75" customHeight="1">
      <c r="A32" s="2"/>
      <c r="U32" s="2"/>
      <c r="V32" s="14"/>
      <c r="W32" s="14"/>
      <c r="X32" s="14"/>
      <c r="Y32" s="14"/>
      <c r="Z32" s="20"/>
      <c r="AA32" s="20"/>
      <c r="AB32" s="20"/>
      <c r="AC32" s="20"/>
      <c r="AD32" s="14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</row>
    <row r="33" spans="1:54" ht="21">
      <c r="A33" s="2"/>
      <c r="B33" s="113" t="s">
        <v>41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5"/>
      <c r="U33" s="2"/>
      <c r="V33" s="14"/>
      <c r="W33" s="14"/>
      <c r="X33" s="14"/>
      <c r="Y33" s="14"/>
      <c r="Z33" s="20"/>
      <c r="AA33" s="34"/>
      <c r="AB33" s="34"/>
      <c r="AC33" s="20"/>
      <c r="AD33" s="14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4"/>
      <c r="BB33" s="14"/>
    </row>
    <row r="34" spans="1:54" ht="21">
      <c r="A34" s="2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5"/>
      <c r="U34" s="2"/>
      <c r="V34" s="14"/>
      <c r="W34" s="14"/>
      <c r="X34" s="14"/>
      <c r="Y34" s="14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4"/>
      <c r="BB34" s="14"/>
    </row>
    <row r="35" spans="1:54" ht="16.5">
      <c r="A35" s="2"/>
      <c r="B35" s="1"/>
      <c r="T35" s="1"/>
      <c r="U35" s="2"/>
      <c r="V35" s="14"/>
      <c r="W35" s="14"/>
      <c r="X35" s="14"/>
      <c r="Y35" s="14"/>
      <c r="Z35" s="20"/>
      <c r="AA35" s="35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4"/>
      <c r="BB35" s="14"/>
    </row>
    <row r="36" spans="1:54" ht="16.5">
      <c r="A36" s="2"/>
      <c r="B36" s="1"/>
      <c r="T36" s="1"/>
      <c r="U36" s="2"/>
      <c r="V36" s="14"/>
      <c r="W36" s="14"/>
      <c r="X36" s="14"/>
      <c r="Y36" s="14"/>
      <c r="Z36" s="20"/>
      <c r="AA36" s="25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</row>
    <row r="37" spans="1:54">
      <c r="A37" s="2"/>
      <c r="B37" s="1"/>
      <c r="T37" s="1"/>
      <c r="U37" s="2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</row>
    <row r="38" spans="1:54">
      <c r="A38" s="2"/>
      <c r="B38" s="1"/>
      <c r="T38" s="1"/>
      <c r="U38" s="2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</row>
    <row r="39" spans="1:54">
      <c r="A39" s="2"/>
      <c r="B39" s="1"/>
      <c r="T39" s="1"/>
      <c r="U39" s="2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4"/>
      <c r="BB39" s="14"/>
    </row>
    <row r="40" spans="1:54">
      <c r="A40" s="2"/>
      <c r="B40" s="1"/>
      <c r="T40" s="1"/>
      <c r="U40" s="2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4"/>
      <c r="BB40" s="14"/>
    </row>
    <row r="41" spans="1:54">
      <c r="A41" s="2"/>
      <c r="B41" s="1"/>
      <c r="T41" s="1"/>
      <c r="U41" s="2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4"/>
      <c r="BB41" s="14"/>
    </row>
    <row r="42" spans="1:54">
      <c r="A42" s="2"/>
      <c r="B42" s="1"/>
      <c r="T42" s="1"/>
      <c r="U42" s="2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4"/>
      <c r="BB42" s="14"/>
    </row>
    <row r="43" spans="1:54">
      <c r="A43" s="2"/>
      <c r="B43" s="1"/>
      <c r="T43" s="1"/>
      <c r="U43" s="2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4"/>
      <c r="BB43" s="14"/>
    </row>
    <row r="44" spans="1:54">
      <c r="A44" s="2"/>
      <c r="B44" s="1"/>
      <c r="T44" s="1"/>
      <c r="U44" s="2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</row>
    <row r="45" spans="1:54">
      <c r="A45" s="2"/>
      <c r="B45" s="1"/>
      <c r="T45" s="1"/>
      <c r="U45" s="2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</row>
    <row r="46" spans="1:54">
      <c r="A46" s="2"/>
      <c r="B46" s="1"/>
      <c r="T46" s="1"/>
      <c r="U46" s="2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</row>
    <row r="47" spans="1:54">
      <c r="A47" s="2"/>
      <c r="B47" s="1"/>
      <c r="T47" s="1"/>
      <c r="U47" s="2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</row>
    <row r="48" spans="1:54">
      <c r="A48" s="2"/>
      <c r="B48" s="1"/>
      <c r="T48" s="1"/>
      <c r="U48" s="2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</row>
    <row r="49" spans="1:54">
      <c r="A49" s="2"/>
      <c r="B49" s="1"/>
      <c r="T49" s="1"/>
      <c r="U49" s="2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</row>
    <row r="50" spans="1:54">
      <c r="A50" s="2"/>
      <c r="B50" s="1"/>
      <c r="T50" s="1"/>
      <c r="U50" s="2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</row>
    <row r="51" spans="1:54">
      <c r="A51" s="2"/>
      <c r="B51" s="1"/>
      <c r="T51" s="1"/>
      <c r="U51" s="2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</row>
    <row r="52" spans="1:54">
      <c r="A52" s="2"/>
      <c r="B52" s="1"/>
      <c r="T52" s="1"/>
      <c r="U52" s="2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</row>
    <row r="53" spans="1:54">
      <c r="A53" s="2"/>
      <c r="B53" s="1"/>
      <c r="T53" s="1"/>
      <c r="U53" s="2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</row>
    <row r="54" spans="1:54">
      <c r="A54" s="2"/>
      <c r="B54" s="1"/>
      <c r="T54" s="1"/>
      <c r="U54" s="2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</row>
    <row r="55" spans="1:54">
      <c r="A55" s="2"/>
      <c r="B55" s="1"/>
      <c r="T55" s="1"/>
      <c r="U55" s="2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</row>
    <row r="56" spans="1:54">
      <c r="A56" s="2"/>
      <c r="B56" s="1"/>
      <c r="T56" s="1"/>
      <c r="U56" s="2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</row>
    <row r="57" spans="1:54">
      <c r="A57" s="2"/>
      <c r="B57" s="1"/>
      <c r="T57" s="1"/>
      <c r="U57" s="2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</row>
    <row r="58" spans="1:54">
      <c r="A58" s="2"/>
      <c r="B58" s="1"/>
      <c r="T58" s="1"/>
      <c r="U58" s="2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</row>
    <row r="59" spans="1:54" s="1" customFormat="1" ht="6.75" customHeight="1">
      <c r="A59" s="2"/>
      <c r="U59" s="2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</row>
    <row r="60" spans="1:54" ht="21">
      <c r="A60" s="2"/>
      <c r="B60" s="113" t="s">
        <v>42</v>
      </c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5"/>
      <c r="U60" s="2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</row>
    <row r="61" spans="1:54" ht="21">
      <c r="A61" s="2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5"/>
      <c r="U61" s="2"/>
      <c r="V61" s="14"/>
      <c r="W61" s="14"/>
      <c r="X61" s="14" t="s">
        <v>0</v>
      </c>
      <c r="Y61" s="14" t="s">
        <v>1</v>
      </c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</row>
    <row r="62" spans="1:54">
      <c r="A62" s="2"/>
      <c r="B62" s="1"/>
      <c r="T62" s="1"/>
      <c r="U62" s="2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</row>
    <row r="63" spans="1:54">
      <c r="A63" s="2"/>
      <c r="B63" s="1"/>
      <c r="T63" s="1"/>
      <c r="U63" s="2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</row>
    <row r="64" spans="1:54">
      <c r="A64" s="2"/>
      <c r="B64" s="1"/>
      <c r="T64" s="1"/>
      <c r="U64" s="2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</row>
    <row r="65" spans="1:54">
      <c r="A65" s="2"/>
      <c r="B65" s="1"/>
      <c r="T65" s="1"/>
      <c r="U65" s="2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</row>
    <row r="66" spans="1:54">
      <c r="A66" s="2"/>
      <c r="B66" s="1"/>
      <c r="T66" s="1"/>
      <c r="U66" s="2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</row>
    <row r="67" spans="1:54">
      <c r="A67" s="2"/>
      <c r="B67" s="1"/>
      <c r="T67" s="1"/>
      <c r="U67" s="2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</row>
    <row r="68" spans="1:54">
      <c r="A68" s="2"/>
      <c r="B68" s="1"/>
      <c r="T68" s="1"/>
      <c r="U68" s="2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</row>
    <row r="69" spans="1:54">
      <c r="A69" s="2"/>
      <c r="B69" s="1"/>
      <c r="T69" s="1"/>
      <c r="U69" s="2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</row>
    <row r="70" spans="1:54">
      <c r="A70" s="2"/>
      <c r="B70" s="1"/>
      <c r="T70" s="1"/>
      <c r="U70" s="2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</row>
    <row r="71" spans="1:54">
      <c r="A71" s="2"/>
      <c r="B71" s="1"/>
      <c r="T71" s="1"/>
      <c r="U71" s="2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</row>
    <row r="72" spans="1:54">
      <c r="A72" s="2"/>
      <c r="B72" s="1"/>
      <c r="T72" s="1"/>
      <c r="U72" s="2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</row>
    <row r="73" spans="1:54">
      <c r="A73" s="2"/>
      <c r="B73" s="1"/>
      <c r="T73" s="1"/>
      <c r="U73" s="2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</row>
    <row r="74" spans="1:54">
      <c r="A74" s="2"/>
      <c r="B74" s="1"/>
      <c r="T74" s="1"/>
      <c r="U74" s="2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</row>
    <row r="75" spans="1:54">
      <c r="A75" s="2"/>
      <c r="B75" s="1"/>
      <c r="T75" s="1"/>
      <c r="U75" s="2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</row>
    <row r="76" spans="1:54">
      <c r="A76" s="2"/>
      <c r="B76" s="1"/>
      <c r="T76" s="1"/>
      <c r="U76" s="2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</row>
    <row r="77" spans="1:54">
      <c r="A77" s="2"/>
      <c r="B77" s="1"/>
      <c r="T77" s="1"/>
      <c r="U77" s="2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</row>
    <row r="78" spans="1:54">
      <c r="A78" s="2"/>
      <c r="B78" s="1"/>
      <c r="T78" s="1"/>
      <c r="U78" s="2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</row>
    <row r="79" spans="1:54">
      <c r="A79" s="2"/>
      <c r="B79" s="1"/>
      <c r="T79" s="1"/>
      <c r="U79" s="2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</row>
    <row r="80" spans="1:54">
      <c r="A80" s="2"/>
      <c r="B80" s="1"/>
      <c r="T80" s="1"/>
      <c r="U80" s="2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</row>
    <row r="81" spans="1:54">
      <c r="A81" s="2"/>
      <c r="B81" s="1"/>
      <c r="T81" s="1"/>
      <c r="U81" s="2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</row>
    <row r="82" spans="1:54">
      <c r="A82" s="2"/>
      <c r="B82" s="1"/>
      <c r="T82" s="1"/>
      <c r="U82" s="2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</row>
    <row r="83" spans="1:54">
      <c r="A83" s="2"/>
      <c r="B83" s="1"/>
      <c r="T83" s="1"/>
      <c r="U83" s="2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</row>
    <row r="84" spans="1:54">
      <c r="A84" s="2"/>
      <c r="B84" s="1"/>
      <c r="T84" s="1"/>
      <c r="U84" s="2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</row>
    <row r="85" spans="1:54">
      <c r="A85" s="2"/>
      <c r="B85" s="1"/>
      <c r="T85" s="1"/>
      <c r="U85" s="2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</row>
    <row r="86" spans="1:54" s="1" customFormat="1" ht="6.75" customHeight="1">
      <c r="A86" s="2"/>
      <c r="U86" s="2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</row>
    <row r="87" spans="1:54" ht="21">
      <c r="A87" s="2"/>
      <c r="B87" s="113" t="s">
        <v>43</v>
      </c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5"/>
      <c r="U87" s="2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</row>
    <row r="88" spans="1:54" ht="21">
      <c r="A88" s="2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5"/>
      <c r="U88" s="2"/>
      <c r="V88" s="14"/>
      <c r="W88" s="14"/>
      <c r="X88" s="14" t="s">
        <v>0</v>
      </c>
      <c r="Y88" s="14" t="s">
        <v>1</v>
      </c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</row>
    <row r="89" spans="1:54">
      <c r="A89" s="2"/>
      <c r="B89" s="1"/>
      <c r="T89" s="1"/>
      <c r="U89" s="2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</row>
    <row r="90" spans="1:54">
      <c r="A90" s="2"/>
      <c r="B90" s="1"/>
      <c r="T90" s="1"/>
      <c r="U90" s="2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</row>
    <row r="91" spans="1:54">
      <c r="A91" s="2"/>
      <c r="B91" s="1"/>
      <c r="T91" s="1"/>
      <c r="U91" s="2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</row>
    <row r="92" spans="1:54">
      <c r="A92" s="2"/>
      <c r="B92" s="1"/>
      <c r="T92" s="1"/>
      <c r="U92" s="2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</row>
    <row r="93" spans="1:54">
      <c r="A93" s="2"/>
      <c r="B93" s="1"/>
      <c r="T93" s="1"/>
      <c r="U93" s="2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</row>
    <row r="94" spans="1:54">
      <c r="A94" s="2"/>
      <c r="B94" s="1"/>
      <c r="T94" s="1"/>
      <c r="U94" s="2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</row>
    <row r="95" spans="1:54">
      <c r="A95" s="2"/>
      <c r="B95" s="1"/>
      <c r="T95" s="1"/>
      <c r="U95" s="2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</row>
    <row r="96" spans="1:54">
      <c r="A96" s="2"/>
      <c r="B96" s="1"/>
      <c r="T96" s="1"/>
      <c r="U96" s="2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</row>
    <row r="97" spans="1:54">
      <c r="A97" s="2"/>
      <c r="B97" s="1"/>
      <c r="T97" s="1"/>
      <c r="U97" s="2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</row>
    <row r="98" spans="1:54">
      <c r="A98" s="2"/>
      <c r="B98" s="1"/>
      <c r="T98" s="1"/>
      <c r="U98" s="2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</row>
    <row r="99" spans="1:54">
      <c r="A99" s="2"/>
      <c r="B99" s="1"/>
      <c r="T99" s="1"/>
      <c r="U99" s="2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</row>
    <row r="100" spans="1:54">
      <c r="A100" s="2"/>
      <c r="B100" s="1"/>
      <c r="T100" s="1"/>
      <c r="U100" s="2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</row>
    <row r="101" spans="1:54">
      <c r="A101" s="2"/>
      <c r="B101" s="1"/>
      <c r="T101" s="1"/>
      <c r="U101" s="2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</row>
    <row r="102" spans="1:54">
      <c r="A102" s="2"/>
      <c r="B102" s="1"/>
      <c r="T102" s="1"/>
      <c r="U102" s="2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</row>
    <row r="103" spans="1:54">
      <c r="A103" s="2"/>
      <c r="B103" s="1"/>
      <c r="T103" s="1"/>
      <c r="U103" s="2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</row>
    <row r="104" spans="1:54">
      <c r="A104" s="2"/>
      <c r="B104" s="1"/>
      <c r="T104" s="1"/>
      <c r="U104" s="2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</row>
    <row r="105" spans="1:54">
      <c r="A105" s="2"/>
      <c r="B105" s="1"/>
      <c r="T105" s="1"/>
      <c r="U105" s="2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</row>
    <row r="106" spans="1:54">
      <c r="A106" s="2"/>
      <c r="B106" s="1"/>
      <c r="T106" s="1"/>
      <c r="U106" s="2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</row>
    <row r="107" spans="1:54">
      <c r="A107" s="2"/>
      <c r="B107" s="1"/>
      <c r="T107" s="1"/>
      <c r="U107" s="2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</row>
    <row r="108" spans="1:54">
      <c r="A108" s="2"/>
      <c r="B108" s="1"/>
      <c r="T108" s="1"/>
      <c r="U108" s="2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</row>
    <row r="109" spans="1:54">
      <c r="A109" s="2"/>
      <c r="B109" s="1"/>
      <c r="T109" s="1"/>
      <c r="U109" s="2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</row>
    <row r="110" spans="1:54">
      <c r="A110" s="2"/>
      <c r="B110" s="1"/>
      <c r="T110" s="1"/>
      <c r="U110" s="2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</row>
    <row r="111" spans="1:54">
      <c r="A111" s="2"/>
      <c r="B111" s="1"/>
      <c r="T111" s="1"/>
      <c r="U111" s="2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</row>
    <row r="112" spans="1:54">
      <c r="A112" s="2"/>
      <c r="B112" s="1"/>
      <c r="T112" s="1"/>
      <c r="U112" s="2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</row>
    <row r="113" spans="1:54">
      <c r="A113" s="2"/>
      <c r="B113" s="1"/>
      <c r="T113" s="1"/>
      <c r="U113" s="2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</row>
    <row r="114" spans="1:54">
      <c r="A114" s="2"/>
      <c r="B114" s="1"/>
      <c r="T114" s="1"/>
      <c r="U114" s="2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</row>
    <row r="115" spans="1:54" s="1" customFormat="1" ht="6.75" customHeight="1">
      <c r="A115" s="2"/>
      <c r="U115" s="2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</row>
    <row r="116" spans="1:54" ht="21">
      <c r="A116" s="2"/>
      <c r="B116" s="113" t="s">
        <v>44</v>
      </c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5"/>
      <c r="U116" s="2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</row>
    <row r="117" spans="1:54" ht="21">
      <c r="A117" s="2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5"/>
      <c r="U117" s="2"/>
      <c r="V117" s="14"/>
      <c r="W117" s="14"/>
      <c r="X117" s="14" t="s">
        <v>0</v>
      </c>
      <c r="Y117" s="14" t="s">
        <v>1</v>
      </c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</row>
    <row r="118" spans="1:54">
      <c r="A118" s="2"/>
      <c r="B118" s="1"/>
      <c r="T118" s="1"/>
      <c r="U118" s="2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</row>
    <row r="119" spans="1:54">
      <c r="A119" s="2"/>
      <c r="B119" s="1"/>
      <c r="T119" s="1"/>
      <c r="U119" s="2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</row>
    <row r="120" spans="1:54">
      <c r="A120" s="2"/>
      <c r="B120" s="1"/>
      <c r="T120" s="1"/>
      <c r="U120" s="2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</row>
    <row r="121" spans="1:54">
      <c r="A121" s="2"/>
      <c r="B121" s="1"/>
      <c r="T121" s="1"/>
      <c r="U121" s="2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</row>
    <row r="122" spans="1:54">
      <c r="A122" s="2"/>
      <c r="B122" s="1"/>
      <c r="T122" s="1"/>
      <c r="U122" s="2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</row>
    <row r="123" spans="1:54">
      <c r="A123" s="2"/>
      <c r="B123" s="1"/>
      <c r="T123" s="1"/>
      <c r="U123" s="2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</row>
    <row r="124" spans="1:54">
      <c r="A124" s="2"/>
      <c r="B124" s="1"/>
      <c r="T124" s="1"/>
      <c r="U124" s="2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</row>
    <row r="125" spans="1:54">
      <c r="A125" s="2"/>
      <c r="B125" s="1"/>
      <c r="T125" s="1"/>
      <c r="U125" s="2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</row>
    <row r="126" spans="1:54">
      <c r="A126" s="2"/>
      <c r="B126" s="1"/>
      <c r="T126" s="1"/>
      <c r="U126" s="2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</row>
    <row r="127" spans="1:54">
      <c r="A127" s="2"/>
      <c r="B127" s="1"/>
      <c r="T127" s="1"/>
      <c r="U127" s="2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</row>
    <row r="128" spans="1:54">
      <c r="A128" s="2"/>
      <c r="B128" s="1"/>
      <c r="T128" s="1"/>
      <c r="U128" s="2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</row>
    <row r="129" spans="1:54">
      <c r="A129" s="2"/>
      <c r="B129" s="1"/>
      <c r="T129" s="1"/>
      <c r="U129" s="2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</row>
    <row r="130" spans="1:54">
      <c r="A130" s="2"/>
      <c r="B130" s="1"/>
      <c r="T130" s="1"/>
      <c r="U130" s="2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</row>
    <row r="131" spans="1:54">
      <c r="A131" s="2"/>
      <c r="B131" s="1"/>
      <c r="T131" s="1"/>
      <c r="U131" s="2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</row>
    <row r="132" spans="1:54">
      <c r="A132" s="2"/>
      <c r="B132" s="1"/>
      <c r="T132" s="1"/>
      <c r="U132" s="2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</row>
    <row r="133" spans="1:54">
      <c r="A133" s="2"/>
      <c r="B133" s="1"/>
      <c r="T133" s="1"/>
      <c r="U133" s="2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</row>
    <row r="134" spans="1:54">
      <c r="A134" s="2"/>
      <c r="B134" s="1"/>
      <c r="T134" s="1"/>
      <c r="U134" s="2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</row>
    <row r="135" spans="1:54">
      <c r="A135" s="2"/>
      <c r="B135" s="1"/>
      <c r="T135" s="1"/>
      <c r="U135" s="2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</row>
    <row r="136" spans="1:54">
      <c r="A136" s="2"/>
      <c r="B136" s="1"/>
      <c r="T136" s="1"/>
      <c r="U136" s="2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</row>
    <row r="137" spans="1:54">
      <c r="A137" s="2"/>
      <c r="B137" s="1"/>
      <c r="T137" s="1"/>
      <c r="U137" s="2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</row>
    <row r="138" spans="1:54">
      <c r="A138" s="2"/>
      <c r="B138" s="1"/>
      <c r="T138" s="1"/>
      <c r="U138" s="2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</row>
    <row r="139" spans="1:54">
      <c r="A139" s="2"/>
      <c r="B139" s="1"/>
      <c r="T139" s="1"/>
      <c r="U139" s="2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</row>
    <row r="140" spans="1:54">
      <c r="A140" s="2"/>
      <c r="B140" s="1"/>
      <c r="T140" s="1"/>
      <c r="U140" s="2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</row>
    <row r="141" spans="1:54">
      <c r="A141" s="2"/>
      <c r="B141" s="1"/>
      <c r="T141" s="1"/>
      <c r="U141" s="2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</row>
    <row r="142" spans="1:54">
      <c r="A142" s="2"/>
      <c r="B142" s="1"/>
      <c r="T142" s="1"/>
      <c r="U142" s="2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</row>
    <row r="143" spans="1:54" s="1" customFormat="1" ht="6.75" customHeight="1">
      <c r="A143" s="2"/>
      <c r="U143" s="2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</row>
    <row r="144" spans="1:54" ht="21">
      <c r="A144" s="2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5"/>
      <c r="U144" s="2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</row>
    <row r="145" spans="1:54" ht="21">
      <c r="A145" s="2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5"/>
      <c r="U145" s="2"/>
      <c r="V145" s="14"/>
      <c r="W145" s="14"/>
      <c r="X145" s="14" t="s">
        <v>0</v>
      </c>
      <c r="Y145" s="14" t="s">
        <v>1</v>
      </c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</row>
    <row r="146" spans="1:54"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</row>
    <row r="147" spans="1:54"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</row>
    <row r="148" spans="1:54"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</row>
    <row r="149" spans="1:54"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</row>
    <row r="150" spans="1:54"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</row>
    <row r="151" spans="1:54"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</row>
    <row r="152" spans="1:54"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</row>
    <row r="153" spans="1:54"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</row>
    <row r="154" spans="1:54"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</row>
    <row r="155" spans="1:54"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</row>
    <row r="156" spans="1:54" s="19" customFormat="1"/>
    <row r="157" spans="1:54" s="19" customFormat="1"/>
    <row r="158" spans="1:54" s="19" customFormat="1"/>
    <row r="159" spans="1:54" s="19" customFormat="1"/>
  </sheetData>
  <mergeCells count="6">
    <mergeCell ref="B144:S145"/>
    <mergeCell ref="B8:S9"/>
    <mergeCell ref="B33:S34"/>
    <mergeCell ref="B60:S61"/>
    <mergeCell ref="B87:S88"/>
    <mergeCell ref="B116:S117"/>
  </mergeCells>
  <dataValidations count="2">
    <dataValidation type="list" allowBlank="1" showInputMessage="1" showErrorMessage="1" sqref="D3" xr:uid="{A8D4E4CD-64E5-4A2B-B32F-BB66DCDA9EA3}">
      <formula1>$AF$22:$AF$28</formula1>
    </dataValidation>
    <dataValidation type="list" allowBlank="1" showInputMessage="1" showErrorMessage="1" sqref="D2" xr:uid="{E9C7D66F-80D5-4A6F-865C-630F8EE0986F}">
      <formula1>$AD$22:$AD$33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E2017-ACD7-4653-870D-C1B455AE8633}">
  <dimension ref="A1:BB153"/>
  <sheetViews>
    <sheetView showGridLines="0" zoomScale="80" zoomScaleNormal="80" workbookViewId="0">
      <selection activeCell="N2" sqref="N2"/>
    </sheetView>
  </sheetViews>
  <sheetFormatPr baseColWidth="10" defaultRowHeight="15"/>
  <cols>
    <col min="1" max="1" width="4.85546875" customWidth="1"/>
    <col min="2" max="2" width="1.42578125" customWidth="1"/>
    <col min="3" max="3" width="14.140625" customWidth="1"/>
    <col min="4" max="4" width="16" customWidth="1"/>
    <col min="20" max="20" width="1.42578125" customWidth="1"/>
    <col min="21" max="21" width="4.85546875" customWidth="1"/>
    <col min="22" max="23" width="11" style="2"/>
    <col min="24" max="24" width="23.42578125" style="51" customWidth="1"/>
    <col min="25" max="25" width="22.28515625" style="51" customWidth="1"/>
    <col min="26" max="26" width="11" style="51"/>
    <col min="27" max="27" width="13.7109375" style="51" bestFit="1" customWidth="1"/>
    <col min="28" max="30" width="15.28515625" style="51" bestFit="1" customWidth="1"/>
    <col min="31" max="31" width="11" style="51"/>
    <col min="32" max="32" width="13.7109375" style="51" bestFit="1" customWidth="1"/>
    <col min="33" max="33" width="11" style="51"/>
    <col min="34" max="35" width="11" style="2"/>
    <col min="36" max="36" width="17.42578125" style="2" customWidth="1"/>
    <col min="37" max="54" width="11" style="2"/>
  </cols>
  <sheetData>
    <row r="1" spans="1:54" s="2" customFormat="1"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</row>
    <row r="2" spans="1:54" s="2" customFormat="1" ht="21">
      <c r="C2" s="6" t="s">
        <v>0</v>
      </c>
      <c r="D2" s="6" t="s">
        <v>25</v>
      </c>
      <c r="P2" s="7"/>
      <c r="V2" s="45"/>
      <c r="W2" s="45"/>
      <c r="X2" s="51"/>
      <c r="Y2" s="51"/>
      <c r="Z2" s="51" t="str">
        <f>D9&amp;D10</f>
        <v>Trimestre 12025</v>
      </c>
      <c r="AA2" s="51"/>
      <c r="AB2" s="51"/>
      <c r="AC2" s="51"/>
      <c r="AD2" s="51"/>
      <c r="AE2" s="51"/>
      <c r="AF2" s="51"/>
      <c r="AG2" s="51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</row>
    <row r="3" spans="1:54" s="2" customFormat="1" ht="21">
      <c r="C3" s="6" t="s">
        <v>1</v>
      </c>
      <c r="D3" s="6">
        <v>2025</v>
      </c>
      <c r="P3" s="8" t="str">
        <f ca="1">UPPER(LEFT(TEXT(TODAY(),"dddd dd ""de"" mmmm ""de"" yyyy"),1))&amp;
RIGHT(TEXT(TODAY(),"dddd dd ""de"" mmmm ""de"" yyyy"),
LEN(TEXT(TODAY(),"dddd dd ""de"" mmmm ""de"" yyyy"))-1)</f>
        <v>Sábado 05 de septiembre de 2026</v>
      </c>
      <c r="V3" s="45"/>
      <c r="W3" s="45"/>
      <c r="X3" s="51"/>
      <c r="Y3" s="51"/>
      <c r="Z3" s="51" t="s">
        <v>3</v>
      </c>
      <c r="AA3" s="51" t="s">
        <v>5</v>
      </c>
      <c r="AB3" s="51" t="s">
        <v>6</v>
      </c>
      <c r="AC3" s="51"/>
      <c r="AD3" s="51"/>
      <c r="AE3" s="51"/>
      <c r="AF3" s="51"/>
      <c r="AG3" s="51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</row>
    <row r="4" spans="1:54" s="2" customFormat="1">
      <c r="V4" s="45"/>
      <c r="W4" s="45"/>
      <c r="X4" s="51"/>
      <c r="Y4" s="51" t="str">
        <f>+$Z$2&amp;Z4</f>
        <v>Trimestre 12025Operaciones</v>
      </c>
      <c r="Z4" s="51" t="s">
        <v>7</v>
      </c>
      <c r="AA4" s="48" t="e">
        <f>+VLOOKUP(Y4,'Clima organizacional'!A:I,7,FALSE)</f>
        <v>#N/A</v>
      </c>
      <c r="AB4" s="48" t="e">
        <f>+VLOOKUP(Y4,'Clima organizacional'!A:I,9,FALSE)</f>
        <v>#N/A</v>
      </c>
      <c r="AC4" s="51"/>
      <c r="AD4" s="51"/>
      <c r="AE4" s="51"/>
      <c r="AF4" s="51"/>
      <c r="AG4" s="51"/>
      <c r="AH4" s="45"/>
      <c r="AI4" s="45"/>
      <c r="AJ4" s="45"/>
      <c r="AK4" s="45"/>
      <c r="AL4" s="45"/>
      <c r="AM4" s="45"/>
      <c r="AN4" s="45"/>
      <c r="AO4" s="45"/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5"/>
    </row>
    <row r="5" spans="1:54" s="2" customFormat="1">
      <c r="V5" s="45"/>
      <c r="W5" s="45"/>
      <c r="X5" s="51"/>
      <c r="Y5" s="51" t="str">
        <f t="shared" ref="Y5:Y8" si="0">+$Z$2&amp;Z5</f>
        <v>Trimestre 12025Mantenimiento</v>
      </c>
      <c r="Z5" s="51" t="s">
        <v>8</v>
      </c>
      <c r="AA5" s="48" t="e">
        <f>+VLOOKUP(Y5,'Clima organizacional'!A:I,7,FALSE)</f>
        <v>#N/A</v>
      </c>
      <c r="AB5" s="48" t="e">
        <f>+VLOOKUP(Y5,'Clima organizacional'!A:I,9,FALSE)</f>
        <v>#N/A</v>
      </c>
      <c r="AC5" s="51"/>
      <c r="AD5" s="51"/>
      <c r="AE5" s="51"/>
      <c r="AF5" s="51"/>
      <c r="AG5" s="51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</row>
    <row r="6" spans="1:54" s="2" customFormat="1">
      <c r="V6" s="45"/>
      <c r="W6" s="45"/>
      <c r="X6" s="51"/>
      <c r="Y6" s="51" t="str">
        <f t="shared" si="0"/>
        <v>Trimestre 12025Administración</v>
      </c>
      <c r="Z6" s="51" t="s">
        <v>9</v>
      </c>
      <c r="AA6" s="48" t="e">
        <f>+VLOOKUP(Y6,'Clima organizacional'!A:I,7,FALSE)</f>
        <v>#N/A</v>
      </c>
      <c r="AB6" s="48" t="e">
        <f>+VLOOKUP(Y6,'Clima organizacional'!A:I,9,FALSE)</f>
        <v>#N/A</v>
      </c>
      <c r="AC6" s="51"/>
      <c r="AD6" s="51"/>
      <c r="AE6" s="51"/>
      <c r="AF6" s="51"/>
      <c r="AG6" s="51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</row>
    <row r="7" spans="1:54" ht="21">
      <c r="A7" s="2"/>
      <c r="B7" s="113" t="s">
        <v>40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5"/>
      <c r="U7" s="2"/>
      <c r="V7" s="45"/>
      <c r="W7" s="45"/>
      <c r="Y7" s="51" t="str">
        <f t="shared" si="0"/>
        <v>Trimestre 12025Ventas / Comercial</v>
      </c>
      <c r="Z7" s="51" t="s">
        <v>10</v>
      </c>
      <c r="AA7" s="48" t="e">
        <f>+VLOOKUP(Y7,'Clima organizacional'!A:I,7,FALSE)</f>
        <v>#N/A</v>
      </c>
      <c r="AB7" s="48" t="e">
        <f>+VLOOKUP(Y7,'Clima organizacional'!A:I,9,FALSE)</f>
        <v>#N/A</v>
      </c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</row>
    <row r="8" spans="1:54" ht="21">
      <c r="A8" s="2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5"/>
      <c r="U8" s="2"/>
      <c r="V8" s="45"/>
      <c r="W8" s="45"/>
      <c r="Y8" s="51" t="str">
        <f t="shared" si="0"/>
        <v>Trimestre 12025RRHH y Calidad</v>
      </c>
      <c r="Z8" s="51" t="s">
        <v>11</v>
      </c>
      <c r="AA8" s="48" t="e">
        <f>+VLOOKUP(Y8,'Clima organizacional'!A:I,7,FALSE)</f>
        <v>#N/A</v>
      </c>
      <c r="AB8" s="48" t="e">
        <f>+VLOOKUP(Y8,'Clima organizacional'!A:I,9,FALSE)</f>
        <v>#N/A</v>
      </c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</row>
    <row r="9" spans="1:54" ht="21">
      <c r="A9" s="2"/>
      <c r="B9" s="1"/>
      <c r="C9" s="6" t="s">
        <v>45</v>
      </c>
      <c r="D9" s="6" t="s">
        <v>46</v>
      </c>
      <c r="T9" s="1"/>
      <c r="U9" s="2"/>
      <c r="V9" s="45"/>
      <c r="W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</row>
    <row r="10" spans="1:54" ht="21">
      <c r="A10" s="2"/>
      <c r="B10" s="1"/>
      <c r="C10" s="6" t="s">
        <v>1</v>
      </c>
      <c r="D10" s="6">
        <v>2025</v>
      </c>
      <c r="T10" s="1"/>
      <c r="U10" s="2"/>
      <c r="V10" s="45"/>
      <c r="W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</row>
    <row r="11" spans="1:54">
      <c r="A11" s="2"/>
      <c r="B11" s="1"/>
      <c r="T11" s="1"/>
      <c r="U11" s="2"/>
      <c r="V11" s="45"/>
      <c r="W11" s="45"/>
      <c r="Y11" s="51" t="s">
        <v>41</v>
      </c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</row>
    <row r="12" spans="1:54">
      <c r="A12" s="2"/>
      <c r="B12" s="1"/>
      <c r="T12" s="1"/>
      <c r="U12" s="2"/>
      <c r="V12" s="45"/>
      <c r="W12" s="45"/>
      <c r="Y12" s="52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</row>
    <row r="13" spans="1:54">
      <c r="A13" s="2"/>
      <c r="B13" s="1"/>
      <c r="T13" s="1"/>
      <c r="U13" s="2"/>
      <c r="V13" s="45"/>
      <c r="W13" s="45"/>
      <c r="Y13" s="52">
        <f>DATE(D3,MATCH(D2,Listas!C2:C13,0),1)</f>
        <v>45992</v>
      </c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</row>
    <row r="14" spans="1:54">
      <c r="A14" s="2"/>
      <c r="B14" s="1"/>
      <c r="T14" s="1"/>
      <c r="U14" s="2"/>
      <c r="V14" s="45"/>
      <c r="W14" s="45"/>
      <c r="X14" s="51" t="s">
        <v>0</v>
      </c>
      <c r="Y14" s="53" t="s">
        <v>1</v>
      </c>
      <c r="Z14" s="53" t="s">
        <v>0</v>
      </c>
      <c r="AA14" s="53" t="s">
        <v>12</v>
      </c>
      <c r="AB14" s="53" t="s">
        <v>13</v>
      </c>
      <c r="AC14" s="47" t="s">
        <v>14</v>
      </c>
      <c r="AD14" s="47" t="s">
        <v>6</v>
      </c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</row>
    <row r="15" spans="1:54">
      <c r="A15" s="2"/>
      <c r="B15" s="1"/>
      <c r="T15" s="1"/>
      <c r="U15" s="2"/>
      <c r="V15" s="45"/>
      <c r="W15" s="45"/>
      <c r="X15" s="51" t="str">
        <f>CONCATENATE(Z15," ",Y15)</f>
        <v xml:space="preserve"> Sin datos</v>
      </c>
      <c r="Y15" s="51" t="str" cm="1">
        <f t="array" ref="Y15">IFERROR(_xlfn._xlws.FILTER('Plan de formación'!A2:F25,('Plan de formación'!G2:G25&lt;=Indicadores!Y13)*('Plan de formación'!G2:G25&gt;EDATE(Indicadores!Y13,-13))),"Sin datos")</f>
        <v>Sin datos</v>
      </c>
      <c r="AC15" s="48"/>
      <c r="AD15" s="48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</row>
    <row r="16" spans="1:54">
      <c r="A16" s="2"/>
      <c r="B16" s="1"/>
      <c r="T16" s="1"/>
      <c r="U16" s="2"/>
      <c r="V16" s="45"/>
      <c r="W16" s="45"/>
      <c r="X16" s="51" t="str">
        <f t="shared" ref="X16:X27" si="1">CONCATENATE(Z16," ",Y16)</f>
        <v xml:space="preserve"> </v>
      </c>
      <c r="AC16" s="48"/>
      <c r="AD16" s="48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</row>
    <row r="17" spans="1:54">
      <c r="A17" s="2"/>
      <c r="B17" s="1"/>
      <c r="T17" s="1"/>
      <c r="U17" s="2"/>
      <c r="V17" s="45"/>
      <c r="W17" s="45"/>
      <c r="X17" s="51" t="str">
        <f t="shared" si="1"/>
        <v xml:space="preserve"> </v>
      </c>
      <c r="AC17" s="48"/>
      <c r="AD17" s="48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</row>
    <row r="18" spans="1:54">
      <c r="A18" s="2"/>
      <c r="B18" s="1"/>
      <c r="T18" s="1"/>
      <c r="U18" s="2"/>
      <c r="V18" s="45"/>
      <c r="W18" s="45"/>
      <c r="X18" s="51" t="str">
        <f t="shared" si="1"/>
        <v xml:space="preserve"> </v>
      </c>
      <c r="AC18" s="48"/>
      <c r="AD18" s="48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</row>
    <row r="19" spans="1:54">
      <c r="A19" s="2"/>
      <c r="B19" s="1"/>
      <c r="T19" s="1"/>
      <c r="U19" s="2"/>
      <c r="V19" s="45"/>
      <c r="W19" s="45"/>
      <c r="X19" s="51" t="str">
        <f t="shared" si="1"/>
        <v xml:space="preserve"> </v>
      </c>
      <c r="AC19" s="48"/>
      <c r="AD19" s="48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</row>
    <row r="20" spans="1:54">
      <c r="A20" s="2"/>
      <c r="B20" s="1"/>
      <c r="T20" s="1"/>
      <c r="U20" s="2"/>
      <c r="V20" s="45"/>
      <c r="W20" s="45"/>
      <c r="X20" s="51" t="str">
        <f t="shared" si="1"/>
        <v xml:space="preserve"> </v>
      </c>
      <c r="AC20" s="48"/>
      <c r="AD20" s="48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</row>
    <row r="21" spans="1:54">
      <c r="A21" s="2"/>
      <c r="B21" s="1"/>
      <c r="T21" s="1"/>
      <c r="U21" s="2"/>
      <c r="V21" s="45"/>
      <c r="W21" s="45"/>
      <c r="X21" s="51" t="str">
        <f t="shared" si="1"/>
        <v xml:space="preserve"> </v>
      </c>
      <c r="AC21" s="48"/>
      <c r="AD21" s="48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</row>
    <row r="22" spans="1:54">
      <c r="A22" s="2"/>
      <c r="B22" s="1"/>
      <c r="T22" s="1"/>
      <c r="U22" s="2"/>
      <c r="V22" s="45"/>
      <c r="W22" s="45"/>
      <c r="X22" s="51" t="str">
        <f t="shared" si="1"/>
        <v xml:space="preserve"> </v>
      </c>
      <c r="AC22" s="48"/>
      <c r="AD22" s="48"/>
      <c r="AH22" s="45"/>
      <c r="AI22" s="45"/>
      <c r="AJ22" s="45"/>
      <c r="AK22" s="45"/>
      <c r="AL22" s="45"/>
      <c r="AM22" s="45"/>
      <c r="AN22" s="45"/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</row>
    <row r="23" spans="1:54">
      <c r="A23" s="2"/>
      <c r="B23" s="1"/>
      <c r="T23" s="1"/>
      <c r="U23" s="2"/>
      <c r="V23" s="45"/>
      <c r="W23" s="45"/>
      <c r="X23" s="51" t="str">
        <f t="shared" si="1"/>
        <v xml:space="preserve"> </v>
      </c>
      <c r="AC23" s="48"/>
      <c r="AD23" s="48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</row>
    <row r="24" spans="1:54">
      <c r="A24" s="2"/>
      <c r="B24" s="1"/>
      <c r="T24" s="1"/>
      <c r="U24" s="2"/>
      <c r="V24" s="45"/>
      <c r="W24" s="45"/>
      <c r="X24" s="51" t="str">
        <f t="shared" si="1"/>
        <v xml:space="preserve"> </v>
      </c>
      <c r="AC24" s="48"/>
      <c r="AD24" s="48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</row>
    <row r="25" spans="1:54">
      <c r="A25" s="2"/>
      <c r="B25" s="1"/>
      <c r="T25" s="1"/>
      <c r="U25" s="2"/>
      <c r="V25" s="45"/>
      <c r="W25" s="45"/>
      <c r="X25" s="51" t="str">
        <f t="shared" si="1"/>
        <v xml:space="preserve"> </v>
      </c>
      <c r="AC25" s="48"/>
      <c r="AD25" s="48"/>
      <c r="AH25" s="45"/>
      <c r="AI25" s="45"/>
      <c r="AJ25" s="45"/>
      <c r="AK25" s="45"/>
      <c r="AL25" s="45"/>
      <c r="AM25" s="45"/>
      <c r="AN25" s="45"/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</row>
    <row r="26" spans="1:54">
      <c r="A26" s="2"/>
      <c r="B26" s="1"/>
      <c r="T26" s="1"/>
      <c r="U26" s="2"/>
      <c r="V26" s="45"/>
      <c r="W26" s="45"/>
      <c r="X26" s="51" t="str">
        <f t="shared" si="1"/>
        <v xml:space="preserve"> </v>
      </c>
      <c r="AC26" s="48"/>
      <c r="AD26" s="48"/>
      <c r="AH26" s="45"/>
      <c r="AI26" s="45"/>
      <c r="AJ26" s="45"/>
      <c r="AK26" s="45"/>
      <c r="AL26" s="45"/>
      <c r="AM26" s="45"/>
      <c r="AN26" s="45"/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</row>
    <row r="27" spans="1:54">
      <c r="A27" s="2"/>
      <c r="B27" s="1"/>
      <c r="T27" s="1"/>
      <c r="U27" s="2"/>
      <c r="V27" s="45"/>
      <c r="W27" s="45"/>
      <c r="X27" s="51" t="str">
        <f t="shared" si="1"/>
        <v xml:space="preserve"> </v>
      </c>
      <c r="AC27" s="48"/>
      <c r="AD27" s="48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</row>
    <row r="28" spans="1:54">
      <c r="A28" s="2"/>
      <c r="B28" s="1"/>
      <c r="T28" s="1"/>
      <c r="U28" s="2"/>
      <c r="V28" s="45"/>
      <c r="W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</row>
    <row r="29" spans="1:54">
      <c r="A29" s="2"/>
      <c r="B29" s="1"/>
      <c r="T29" s="1"/>
      <c r="U29" s="2"/>
      <c r="V29" s="45"/>
      <c r="W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</row>
    <row r="30" spans="1:54">
      <c r="A30" s="2"/>
      <c r="B30" s="1"/>
      <c r="T30" s="1"/>
      <c r="U30" s="2"/>
      <c r="V30" s="45"/>
      <c r="W30" s="45"/>
      <c r="Y30" s="51" t="s">
        <v>52</v>
      </c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</row>
    <row r="31" spans="1:54" ht="21">
      <c r="A31" s="2"/>
      <c r="B31" s="113" t="s">
        <v>41</v>
      </c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5"/>
      <c r="U31" s="2"/>
      <c r="V31" s="45"/>
      <c r="W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</row>
    <row r="32" spans="1:54" ht="21">
      <c r="A32" s="2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5"/>
      <c r="U32" s="2"/>
      <c r="V32" s="45"/>
      <c r="W32" s="45"/>
      <c r="X32" s="51" t="s">
        <v>0</v>
      </c>
      <c r="Y32" s="51" t="s">
        <v>1</v>
      </c>
      <c r="Z32" s="51" t="s">
        <v>0</v>
      </c>
      <c r="AA32" s="51" t="s">
        <v>35</v>
      </c>
      <c r="AB32" s="51" t="s">
        <v>36</v>
      </c>
      <c r="AC32" s="51" t="s">
        <v>37</v>
      </c>
      <c r="AD32" s="51" t="s">
        <v>38</v>
      </c>
      <c r="AE32" s="51" t="s">
        <v>26</v>
      </c>
      <c r="AF32" s="51" t="s">
        <v>39</v>
      </c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</row>
    <row r="33" spans="1:54">
      <c r="A33" s="2"/>
      <c r="B33" s="1"/>
      <c r="T33" s="1"/>
      <c r="U33" s="2"/>
      <c r="V33" s="45"/>
      <c r="W33" s="45"/>
      <c r="X33" s="51" t="str">
        <f>CONCATENATE(Z33," ",Y33)</f>
        <v xml:space="preserve"> Sin datos</v>
      </c>
      <c r="Y33" s="51" t="str" cm="1">
        <f t="array" ref="Y33">IFERROR(_xlfn._xlws.FILTER('Costo de capacitación'!A2:M25,('Costo de capacitación'!N2:N25&lt;=Indicadores!Y13)*('Costo de capacitación'!N2:N25&gt;EDATE(Indicadores!Y13,-13))),"Sin datos")</f>
        <v>Sin datos</v>
      </c>
      <c r="AA33" s="49"/>
      <c r="AB33" s="49"/>
      <c r="AC33" s="49"/>
      <c r="AD33" s="49"/>
      <c r="AF33" s="49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</row>
    <row r="34" spans="1:54">
      <c r="A34" s="2"/>
      <c r="B34" s="1"/>
      <c r="T34" s="1"/>
      <c r="U34" s="2"/>
      <c r="V34" s="45"/>
      <c r="W34" s="45"/>
      <c r="X34" s="51" t="str">
        <f t="shared" ref="X34:X45" si="2">CONCATENATE(Z34," ",Y34)</f>
        <v xml:space="preserve"> </v>
      </c>
      <c r="AA34" s="49"/>
      <c r="AB34" s="49"/>
      <c r="AC34" s="49"/>
      <c r="AD34" s="49"/>
      <c r="AF34" s="49"/>
      <c r="AH34" s="45"/>
      <c r="AI34" s="45"/>
      <c r="AJ34" s="45"/>
      <c r="AK34" s="45"/>
      <c r="AL34" s="45"/>
      <c r="AM34" s="45"/>
      <c r="AN34" s="45"/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</row>
    <row r="35" spans="1:54">
      <c r="A35" s="2"/>
      <c r="B35" s="1"/>
      <c r="T35" s="1"/>
      <c r="U35" s="2"/>
      <c r="V35" s="45"/>
      <c r="W35" s="45"/>
      <c r="X35" s="51" t="str">
        <f t="shared" si="2"/>
        <v xml:space="preserve"> </v>
      </c>
      <c r="AA35" s="49"/>
      <c r="AB35" s="49"/>
      <c r="AC35" s="49"/>
      <c r="AD35" s="49"/>
      <c r="AF35" s="49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</row>
    <row r="36" spans="1:54">
      <c r="A36" s="2"/>
      <c r="B36" s="1"/>
      <c r="T36" s="1"/>
      <c r="U36" s="2"/>
      <c r="V36" s="45"/>
      <c r="W36" s="45"/>
      <c r="X36" s="51" t="str">
        <f t="shared" si="2"/>
        <v xml:space="preserve"> </v>
      </c>
      <c r="AA36" s="49"/>
      <c r="AB36" s="49"/>
      <c r="AC36" s="49"/>
      <c r="AD36" s="49"/>
      <c r="AF36" s="49"/>
      <c r="AH36" s="45"/>
      <c r="AI36" s="45"/>
      <c r="AJ36" s="45"/>
      <c r="AK36" s="45"/>
      <c r="AL36" s="45"/>
      <c r="AM36" s="45"/>
      <c r="AN36" s="45"/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</row>
    <row r="37" spans="1:54">
      <c r="A37" s="2"/>
      <c r="B37" s="1"/>
      <c r="T37" s="1"/>
      <c r="U37" s="2"/>
      <c r="V37" s="45"/>
      <c r="W37" s="45"/>
      <c r="X37" s="51" t="str">
        <f t="shared" si="2"/>
        <v xml:space="preserve"> </v>
      </c>
      <c r="AA37" s="49"/>
      <c r="AB37" s="49"/>
      <c r="AC37" s="49"/>
      <c r="AD37" s="49"/>
      <c r="AF37" s="49"/>
      <c r="AH37" s="45"/>
      <c r="AI37" s="45"/>
      <c r="AJ37" s="45"/>
      <c r="AK37" s="45"/>
      <c r="AL37" s="45"/>
      <c r="AM37" s="45"/>
      <c r="AN37" s="45"/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</row>
    <row r="38" spans="1:54">
      <c r="A38" s="2"/>
      <c r="B38" s="1"/>
      <c r="T38" s="1"/>
      <c r="U38" s="2"/>
      <c r="V38" s="45"/>
      <c r="W38" s="45"/>
      <c r="X38" s="51" t="str">
        <f t="shared" si="2"/>
        <v xml:space="preserve"> </v>
      </c>
      <c r="AA38" s="49"/>
      <c r="AB38" s="49"/>
      <c r="AC38" s="49"/>
      <c r="AD38" s="49"/>
      <c r="AF38" s="49"/>
      <c r="AH38" s="45"/>
      <c r="AI38" s="45"/>
      <c r="AJ38" s="45"/>
      <c r="AK38" s="45"/>
      <c r="AL38" s="45"/>
      <c r="AM38" s="45"/>
      <c r="AN38" s="45"/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</row>
    <row r="39" spans="1:54">
      <c r="A39" s="2"/>
      <c r="B39" s="1"/>
      <c r="T39" s="1"/>
      <c r="U39" s="2"/>
      <c r="V39" s="45"/>
      <c r="W39" s="45"/>
      <c r="X39" s="51" t="str">
        <f t="shared" si="2"/>
        <v xml:space="preserve"> </v>
      </c>
      <c r="AA39" s="49"/>
      <c r="AB39" s="49"/>
      <c r="AC39" s="49"/>
      <c r="AD39" s="49"/>
      <c r="AF39" s="49"/>
      <c r="AH39" s="45"/>
      <c r="AI39" s="45"/>
      <c r="AJ39" s="45"/>
      <c r="AK39" s="45"/>
      <c r="AL39" s="45"/>
      <c r="AM39" s="45"/>
      <c r="AN39" s="45"/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</row>
    <row r="40" spans="1:54">
      <c r="A40" s="2"/>
      <c r="B40" s="1"/>
      <c r="T40" s="1"/>
      <c r="U40" s="2"/>
      <c r="V40" s="45"/>
      <c r="W40" s="45"/>
      <c r="X40" s="51" t="str">
        <f t="shared" si="2"/>
        <v xml:space="preserve"> </v>
      </c>
      <c r="AA40" s="49"/>
      <c r="AB40" s="49"/>
      <c r="AC40" s="49"/>
      <c r="AD40" s="49"/>
      <c r="AF40" s="49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</row>
    <row r="41" spans="1:54">
      <c r="A41" s="2"/>
      <c r="B41" s="1"/>
      <c r="T41" s="1"/>
      <c r="U41" s="2"/>
      <c r="V41" s="45"/>
      <c r="W41" s="45"/>
      <c r="X41" s="51" t="str">
        <f t="shared" si="2"/>
        <v xml:space="preserve"> </v>
      </c>
      <c r="AA41" s="49"/>
      <c r="AB41" s="49"/>
      <c r="AC41" s="49"/>
      <c r="AD41" s="49"/>
      <c r="AF41" s="49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</row>
    <row r="42" spans="1:54">
      <c r="A42" s="2"/>
      <c r="B42" s="1"/>
      <c r="T42" s="1"/>
      <c r="U42" s="2"/>
      <c r="V42" s="45"/>
      <c r="W42" s="45"/>
      <c r="X42" s="51" t="str">
        <f t="shared" si="2"/>
        <v xml:space="preserve"> </v>
      </c>
      <c r="AA42" s="49"/>
      <c r="AB42" s="49"/>
      <c r="AC42" s="49"/>
      <c r="AD42" s="49"/>
      <c r="AF42" s="49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</row>
    <row r="43" spans="1:54">
      <c r="A43" s="2"/>
      <c r="B43" s="1"/>
      <c r="T43" s="1"/>
      <c r="U43" s="2"/>
      <c r="V43" s="45"/>
      <c r="W43" s="45"/>
      <c r="X43" s="51" t="str">
        <f t="shared" si="2"/>
        <v xml:space="preserve"> </v>
      </c>
      <c r="AA43" s="49"/>
      <c r="AB43" s="49"/>
      <c r="AC43" s="49"/>
      <c r="AD43" s="49"/>
      <c r="AF43" s="49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</row>
    <row r="44" spans="1:54">
      <c r="A44" s="2"/>
      <c r="B44" s="1"/>
      <c r="T44" s="1"/>
      <c r="U44" s="2"/>
      <c r="V44" s="45"/>
      <c r="W44" s="45"/>
      <c r="X44" s="51" t="str">
        <f t="shared" si="2"/>
        <v xml:space="preserve"> </v>
      </c>
      <c r="AA44" s="49"/>
      <c r="AB44" s="49"/>
      <c r="AC44" s="49"/>
      <c r="AD44" s="49"/>
      <c r="AF44" s="49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</row>
    <row r="45" spans="1:54">
      <c r="A45" s="2"/>
      <c r="B45" s="1"/>
      <c r="T45" s="1"/>
      <c r="U45" s="2"/>
      <c r="V45" s="45"/>
      <c r="W45" s="45"/>
      <c r="X45" s="51" t="str">
        <f t="shared" si="2"/>
        <v xml:space="preserve"> </v>
      </c>
      <c r="AA45" s="49"/>
      <c r="AB45" s="49"/>
      <c r="AC45" s="49"/>
      <c r="AD45" s="49"/>
      <c r="AF45" s="49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</row>
    <row r="46" spans="1:54">
      <c r="A46" s="2"/>
      <c r="B46" s="1"/>
      <c r="T46" s="1"/>
      <c r="U46" s="2"/>
      <c r="V46" s="45"/>
      <c r="W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</row>
    <row r="47" spans="1:54">
      <c r="A47" s="2"/>
      <c r="B47" s="1"/>
      <c r="T47" s="1"/>
      <c r="U47" s="2"/>
      <c r="V47" s="45"/>
      <c r="W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</row>
    <row r="48" spans="1:54">
      <c r="A48" s="2"/>
      <c r="B48" s="1"/>
      <c r="T48" s="1"/>
      <c r="U48" s="2"/>
      <c r="V48" s="45"/>
      <c r="W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</row>
    <row r="49" spans="1:54">
      <c r="A49" s="2"/>
      <c r="B49" s="1"/>
      <c r="T49" s="1"/>
      <c r="U49" s="2"/>
      <c r="V49" s="45"/>
      <c r="W49" s="45"/>
      <c r="AH49" s="45"/>
      <c r="AI49" s="45"/>
      <c r="AJ49" s="45"/>
      <c r="AK49" s="45"/>
      <c r="AL49" s="45"/>
      <c r="AM49" s="45"/>
      <c r="AN49" s="45"/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</row>
    <row r="50" spans="1:54">
      <c r="A50" s="2"/>
      <c r="B50" s="1"/>
      <c r="T50" s="1"/>
      <c r="U50" s="2"/>
      <c r="V50" s="45"/>
      <c r="W50" s="45"/>
      <c r="Y50" s="51" t="s">
        <v>56</v>
      </c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</row>
    <row r="51" spans="1:54">
      <c r="A51" s="2"/>
      <c r="B51" s="1"/>
      <c r="T51" s="1"/>
      <c r="U51" s="2"/>
      <c r="V51" s="45"/>
      <c r="W51" s="45"/>
      <c r="X51" s="51" t="s">
        <v>0</v>
      </c>
      <c r="Y51" s="51" t="s">
        <v>1</v>
      </c>
      <c r="Z51" s="51" t="s">
        <v>0</v>
      </c>
      <c r="AA51" s="51" t="s">
        <v>55</v>
      </c>
      <c r="AB51" s="51" t="s">
        <v>57</v>
      </c>
      <c r="AC51" s="51" t="s">
        <v>6</v>
      </c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</row>
    <row r="52" spans="1:54">
      <c r="A52" s="2"/>
      <c r="B52" s="1"/>
      <c r="T52" s="1"/>
      <c r="U52" s="2"/>
      <c r="V52" s="45"/>
      <c r="W52" s="45"/>
      <c r="X52" s="51" t="str">
        <f>CONCATENATE(Z52," ",Y52)</f>
        <v xml:space="preserve"> Sin datos</v>
      </c>
      <c r="Y52" s="51" t="str" cm="1">
        <f t="array" ref="Y52">IFERROR(_xlfn._xlws.FILTER(' Costo de contratación '!#REF!,(' Costo de contratación '!#REF!&lt;=Indicadores!Y13)*(' Costo de contratación '!#REF!&gt;EDATE(Indicadores!Y13,-13))),"Sin datos")</f>
        <v>Sin datos</v>
      </c>
      <c r="AH52" s="45"/>
      <c r="AI52" s="45"/>
      <c r="AJ52" s="45"/>
      <c r="AK52" s="45"/>
      <c r="AL52" s="45"/>
      <c r="AM52" s="45"/>
      <c r="AN52" s="45"/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</row>
    <row r="53" spans="1:54">
      <c r="A53" s="2"/>
      <c r="B53" s="1"/>
      <c r="T53" s="1"/>
      <c r="U53" s="2"/>
      <c r="V53" s="45"/>
      <c r="W53" s="45"/>
      <c r="X53" s="51" t="str">
        <f>CONCATENATE(Z53," ",Y53)</f>
        <v xml:space="preserve"> </v>
      </c>
      <c r="AH53" s="45"/>
      <c r="AI53" s="45"/>
      <c r="AJ53" s="45"/>
      <c r="AK53" s="45"/>
      <c r="AL53" s="45"/>
      <c r="AM53" s="45"/>
      <c r="AN53" s="45"/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</row>
    <row r="54" spans="1:54">
      <c r="A54" s="2"/>
      <c r="B54" s="1"/>
      <c r="T54" s="1"/>
      <c r="U54" s="2"/>
      <c r="V54" s="45"/>
      <c r="W54" s="45"/>
      <c r="X54" s="51" t="str">
        <f>CONCATENATE(Z54," ",Y54)</f>
        <v xml:space="preserve"> </v>
      </c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</row>
    <row r="55" spans="1:54">
      <c r="A55" s="2"/>
      <c r="B55" s="1"/>
      <c r="T55" s="1"/>
      <c r="U55" s="2"/>
      <c r="V55" s="45"/>
      <c r="W55" s="45"/>
      <c r="X55" s="51" t="str">
        <f>CONCATENATE(Z55," ",Y55)</f>
        <v xml:space="preserve"> </v>
      </c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</row>
    <row r="56" spans="1:54">
      <c r="A56" s="2"/>
      <c r="B56" s="1"/>
      <c r="T56" s="1"/>
      <c r="U56" s="2"/>
      <c r="V56" s="45"/>
      <c r="W56" s="45"/>
      <c r="X56" s="51" t="str">
        <f>CONCATENATE(Z56," ",Y56)</f>
        <v xml:space="preserve"> </v>
      </c>
      <c r="AC56" s="50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</row>
    <row r="57" spans="1:54" ht="21">
      <c r="A57" s="2"/>
      <c r="B57" s="113" t="s">
        <v>42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5"/>
      <c r="U57" s="2"/>
      <c r="V57" s="45"/>
      <c r="W57" s="45"/>
      <c r="X57" s="51" t="str">
        <f t="shared" ref="X57:X64" si="3">CONCATENATE(Z57," ",Y57)</f>
        <v xml:space="preserve"> </v>
      </c>
      <c r="AH57" s="45"/>
      <c r="AI57" s="45"/>
      <c r="AJ57" s="45"/>
      <c r="AK57" s="45"/>
      <c r="AL57" s="45"/>
      <c r="AM57" s="45"/>
      <c r="AN57" s="45"/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</row>
    <row r="58" spans="1:54" ht="21">
      <c r="A58" s="2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5"/>
      <c r="U58" s="2"/>
      <c r="V58" s="45"/>
      <c r="W58" s="45"/>
      <c r="X58" s="51" t="str">
        <f t="shared" si="3"/>
        <v xml:space="preserve"> </v>
      </c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</row>
    <row r="59" spans="1:54">
      <c r="A59" s="2"/>
      <c r="B59" s="1"/>
      <c r="T59" s="1"/>
      <c r="U59" s="2"/>
      <c r="V59" s="45"/>
      <c r="W59" s="45"/>
      <c r="X59" s="51" t="str">
        <f t="shared" si="3"/>
        <v xml:space="preserve"> </v>
      </c>
      <c r="AH59" s="45"/>
      <c r="AI59" s="45"/>
      <c r="AJ59" s="45"/>
      <c r="AK59" s="45"/>
      <c r="AL59" s="45"/>
      <c r="AM59" s="45"/>
      <c r="AN59" s="45"/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</row>
    <row r="60" spans="1:54">
      <c r="A60" s="2"/>
      <c r="B60" s="1"/>
      <c r="T60" s="1"/>
      <c r="U60" s="2"/>
      <c r="V60" s="45"/>
      <c r="W60" s="45"/>
      <c r="X60" s="51" t="str">
        <f t="shared" si="3"/>
        <v xml:space="preserve"> </v>
      </c>
      <c r="AH60" s="45"/>
      <c r="AI60" s="45"/>
      <c r="AJ60" s="45"/>
      <c r="AK60" s="45"/>
      <c r="AL60" s="45"/>
      <c r="AM60" s="45"/>
      <c r="AN60" s="45"/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</row>
    <row r="61" spans="1:54">
      <c r="A61" s="2"/>
      <c r="B61" s="1"/>
      <c r="T61" s="1"/>
      <c r="U61" s="2"/>
      <c r="V61" s="45"/>
      <c r="W61" s="45"/>
      <c r="X61" s="51" t="str">
        <f t="shared" si="3"/>
        <v xml:space="preserve"> </v>
      </c>
      <c r="AH61" s="45"/>
      <c r="AI61" s="45"/>
      <c r="AJ61" s="45"/>
      <c r="AK61" s="45"/>
      <c r="AL61" s="45"/>
      <c r="AM61" s="45"/>
      <c r="AN61" s="45"/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</row>
    <row r="62" spans="1:54">
      <c r="A62" s="2"/>
      <c r="B62" s="1"/>
      <c r="T62" s="1"/>
      <c r="U62" s="2"/>
      <c r="V62" s="45"/>
      <c r="W62" s="45"/>
      <c r="X62" s="51" t="str">
        <f t="shared" si="3"/>
        <v xml:space="preserve"> </v>
      </c>
      <c r="AH62" s="45"/>
      <c r="AI62" s="45"/>
      <c r="AJ62" s="45"/>
      <c r="AK62" s="45"/>
      <c r="AL62" s="45"/>
      <c r="AM62" s="45"/>
      <c r="AN62" s="45"/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</row>
    <row r="63" spans="1:54">
      <c r="A63" s="2"/>
      <c r="B63" s="1"/>
      <c r="T63" s="1"/>
      <c r="U63" s="2"/>
      <c r="V63" s="45"/>
      <c r="W63" s="45"/>
      <c r="X63" s="51" t="str">
        <f t="shared" si="3"/>
        <v xml:space="preserve"> </v>
      </c>
      <c r="AH63" s="45"/>
      <c r="AI63" s="45"/>
      <c r="AJ63" s="45"/>
      <c r="AK63" s="45"/>
      <c r="AL63" s="45"/>
      <c r="AM63" s="45"/>
      <c r="AN63" s="45"/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</row>
    <row r="64" spans="1:54">
      <c r="A64" s="2"/>
      <c r="B64" s="1"/>
      <c r="T64" s="1"/>
      <c r="U64" s="2"/>
      <c r="V64" s="45"/>
      <c r="W64" s="45"/>
      <c r="X64" s="51" t="str">
        <f t="shared" si="3"/>
        <v xml:space="preserve"> </v>
      </c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</row>
    <row r="65" spans="1:54">
      <c r="A65" s="2"/>
      <c r="B65" s="1"/>
      <c r="T65" s="1"/>
      <c r="U65" s="2"/>
      <c r="V65" s="45"/>
      <c r="W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</row>
    <row r="66" spans="1:54">
      <c r="A66" s="2"/>
      <c r="B66" s="1"/>
      <c r="T66" s="1"/>
      <c r="U66" s="2"/>
      <c r="V66" s="45"/>
      <c r="W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</row>
    <row r="67" spans="1:54">
      <c r="A67" s="2"/>
      <c r="B67" s="1"/>
      <c r="T67" s="1"/>
      <c r="U67" s="2"/>
      <c r="V67" s="45"/>
      <c r="W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</row>
    <row r="68" spans="1:54">
      <c r="A68" s="2"/>
      <c r="B68" s="1"/>
      <c r="T68" s="1"/>
      <c r="U68" s="2"/>
      <c r="V68" s="45"/>
      <c r="W68" s="45"/>
      <c r="AH68" s="45"/>
      <c r="AI68" s="45"/>
      <c r="AJ68" s="45"/>
      <c r="AK68" s="45"/>
      <c r="AL68" s="45"/>
      <c r="AM68" s="45"/>
      <c r="AN68" s="45"/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</row>
    <row r="69" spans="1:54">
      <c r="A69" s="2"/>
      <c r="B69" s="1"/>
      <c r="T69" s="1"/>
      <c r="U69" s="2"/>
      <c r="V69" s="45"/>
      <c r="W69" s="45"/>
      <c r="AH69" s="45"/>
      <c r="AI69" s="45"/>
      <c r="AJ69" s="45"/>
      <c r="AK69" s="45"/>
      <c r="AL69" s="45"/>
      <c r="AM69" s="45"/>
      <c r="AN69" s="45"/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</row>
    <row r="70" spans="1:54">
      <c r="A70" s="2"/>
      <c r="B70" s="1"/>
      <c r="T70" s="1"/>
      <c r="U70" s="2"/>
      <c r="V70" s="45"/>
      <c r="W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</row>
    <row r="71" spans="1:54">
      <c r="A71" s="2"/>
      <c r="B71" s="1"/>
      <c r="T71" s="1"/>
      <c r="U71" s="2"/>
      <c r="V71" s="45"/>
      <c r="W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</row>
    <row r="72" spans="1:54">
      <c r="A72" s="2"/>
      <c r="B72" s="1"/>
      <c r="T72" s="1"/>
      <c r="U72" s="2"/>
      <c r="V72" s="45"/>
      <c r="W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</row>
    <row r="73" spans="1:54">
      <c r="A73" s="2"/>
      <c r="B73" s="1"/>
      <c r="T73" s="1"/>
      <c r="U73" s="2"/>
      <c r="V73" s="45"/>
      <c r="W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</row>
    <row r="74" spans="1:54">
      <c r="A74" s="2"/>
      <c r="B74" s="1"/>
      <c r="T74" s="1"/>
      <c r="U74" s="2"/>
      <c r="V74" s="45"/>
      <c r="W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</row>
    <row r="75" spans="1:54">
      <c r="A75" s="2"/>
      <c r="B75" s="1"/>
      <c r="T75" s="1"/>
      <c r="U75" s="2"/>
      <c r="V75" s="45"/>
      <c r="W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</row>
    <row r="76" spans="1:54">
      <c r="A76" s="2"/>
      <c r="B76" s="1"/>
      <c r="T76" s="1"/>
      <c r="U76" s="2"/>
      <c r="V76" s="45"/>
      <c r="W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</row>
    <row r="77" spans="1:54">
      <c r="A77" s="2"/>
      <c r="B77" s="1"/>
      <c r="T77" s="1"/>
      <c r="U77" s="2"/>
      <c r="V77" s="45"/>
      <c r="W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</row>
    <row r="78" spans="1:54">
      <c r="A78" s="2"/>
      <c r="B78" s="1"/>
      <c r="T78" s="1"/>
      <c r="U78" s="2"/>
      <c r="V78" s="45"/>
      <c r="W78" s="45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</row>
    <row r="79" spans="1:54">
      <c r="A79" s="2"/>
      <c r="B79" s="1"/>
      <c r="T79" s="1"/>
      <c r="U79" s="2"/>
      <c r="V79" s="45"/>
      <c r="W79" s="45"/>
      <c r="Y79" s="51" t="s">
        <v>53</v>
      </c>
      <c r="AC79" s="48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</row>
    <row r="80" spans="1:54">
      <c r="A80" s="2"/>
      <c r="B80" s="1"/>
      <c r="T80" s="1"/>
      <c r="U80" s="2"/>
      <c r="V80" s="45"/>
      <c r="W80" s="45"/>
      <c r="X80" s="51" t="str">
        <f>CONCATENATE(Z80," ",Y80)</f>
        <v xml:space="preserve"> </v>
      </c>
      <c r="AC80" s="48"/>
      <c r="AH80" s="45"/>
      <c r="AI80" s="45"/>
      <c r="AJ80" s="45"/>
      <c r="AK80" s="45"/>
      <c r="AL80" s="45"/>
      <c r="AM80" s="45"/>
      <c r="AN80" s="45"/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</row>
    <row r="81" spans="1:54">
      <c r="A81" s="2"/>
      <c r="B81" s="1"/>
      <c r="T81" s="1"/>
      <c r="U81" s="2"/>
      <c r="V81" s="45"/>
      <c r="W81" s="45"/>
      <c r="X81" s="51" t="s">
        <v>0</v>
      </c>
      <c r="Y81" s="51" t="s">
        <v>1</v>
      </c>
      <c r="Z81" s="51" t="s">
        <v>34</v>
      </c>
      <c r="AA81" s="51" t="s">
        <v>31</v>
      </c>
      <c r="AB81" s="51" t="s">
        <v>32</v>
      </c>
      <c r="AC81" s="51" t="s">
        <v>33</v>
      </c>
      <c r="AH81" s="45"/>
      <c r="AI81" s="45"/>
      <c r="AJ81" s="45"/>
      <c r="AK81" s="45"/>
      <c r="AL81" s="45"/>
      <c r="AM81" s="45"/>
      <c r="AN81" s="45"/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</row>
    <row r="82" spans="1:54">
      <c r="A82" s="2"/>
      <c r="B82" s="1"/>
      <c r="T82" s="1"/>
      <c r="U82" s="2"/>
      <c r="V82" s="45"/>
      <c r="W82" s="45"/>
      <c r="X82" s="51" t="str">
        <f t="shared" ref="X82:X94" si="4">CONCATENATE(Z82," ",Y82)</f>
        <v xml:space="preserve"> Sin datos</v>
      </c>
      <c r="Y82" s="51" t="str" cm="1">
        <f t="array" ref="Y82">IFERROR(_xlfn._xlws.FILTER(SST!A2:J25,(SST!#REF!&lt;=Indicadores!Y13)*(SST!#REF!&gt;EDATE(Indicadores!Y13,-13))),"Sin datos")</f>
        <v>Sin datos</v>
      </c>
      <c r="AC82" s="48"/>
      <c r="AH82" s="45"/>
      <c r="AI82" s="45"/>
      <c r="AJ82" s="45"/>
      <c r="AK82" s="45"/>
      <c r="AL82" s="45"/>
      <c r="AM82" s="45"/>
      <c r="AN82" s="45"/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</row>
    <row r="83" spans="1:54" ht="21">
      <c r="A83" s="2"/>
      <c r="B83" s="113" t="s">
        <v>54</v>
      </c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5"/>
      <c r="U83" s="2"/>
      <c r="V83" s="45"/>
      <c r="W83" s="45"/>
      <c r="X83" s="51" t="str">
        <f t="shared" si="4"/>
        <v xml:space="preserve"> </v>
      </c>
      <c r="AC83" s="48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</row>
    <row r="84" spans="1:54" ht="21">
      <c r="A84" s="2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5"/>
      <c r="U84" s="2"/>
      <c r="V84" s="45"/>
      <c r="W84" s="45"/>
      <c r="X84" s="51" t="str">
        <f t="shared" si="4"/>
        <v xml:space="preserve"> </v>
      </c>
      <c r="AC84" s="48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</row>
    <row r="85" spans="1:54">
      <c r="A85" s="2"/>
      <c r="B85" s="1"/>
      <c r="T85" s="1"/>
      <c r="U85" s="2"/>
      <c r="V85" s="45"/>
      <c r="W85" s="45"/>
      <c r="X85" s="51" t="str">
        <f t="shared" si="4"/>
        <v xml:space="preserve"> </v>
      </c>
      <c r="AC85" s="48"/>
      <c r="AH85" s="45"/>
      <c r="AI85" s="45"/>
      <c r="AJ85" s="45"/>
      <c r="AK85" s="45"/>
      <c r="AL85" s="45"/>
      <c r="AM85" s="45"/>
      <c r="AN85" s="45"/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</row>
    <row r="86" spans="1:54">
      <c r="A86" s="2"/>
      <c r="B86" s="1"/>
      <c r="T86" s="1"/>
      <c r="U86" s="2"/>
      <c r="V86" s="45"/>
      <c r="W86" s="45"/>
      <c r="X86" s="51" t="str">
        <f t="shared" si="4"/>
        <v xml:space="preserve"> </v>
      </c>
      <c r="AC86" s="48"/>
      <c r="AH86" s="45"/>
      <c r="AI86" s="45"/>
      <c r="AJ86" s="45"/>
      <c r="AK86" s="45"/>
      <c r="AL86" s="45"/>
      <c r="AM86" s="45"/>
      <c r="AN86" s="45"/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</row>
    <row r="87" spans="1:54">
      <c r="A87" s="2"/>
      <c r="B87" s="1"/>
      <c r="T87" s="1"/>
      <c r="U87" s="2"/>
      <c r="V87" s="45"/>
      <c r="W87" s="45"/>
      <c r="X87" s="51" t="str">
        <f t="shared" si="4"/>
        <v xml:space="preserve"> </v>
      </c>
      <c r="AC87" s="48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</row>
    <row r="88" spans="1:54">
      <c r="A88" s="2"/>
      <c r="B88" s="1"/>
      <c r="T88" s="1"/>
      <c r="U88" s="2"/>
      <c r="V88" s="45"/>
      <c r="W88" s="45"/>
      <c r="X88" s="51" t="str">
        <f t="shared" si="4"/>
        <v xml:space="preserve"> </v>
      </c>
      <c r="AC88" s="48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</row>
    <row r="89" spans="1:54">
      <c r="A89" s="2"/>
      <c r="B89" s="1"/>
      <c r="T89" s="1"/>
      <c r="U89" s="2"/>
      <c r="V89" s="45"/>
      <c r="W89" s="45"/>
      <c r="X89" s="51" t="str">
        <f t="shared" si="4"/>
        <v xml:space="preserve"> </v>
      </c>
      <c r="AC89" s="48"/>
      <c r="AH89" s="45"/>
      <c r="AI89" s="45"/>
      <c r="AJ89" s="45"/>
      <c r="AK89" s="45"/>
      <c r="AL89" s="45"/>
      <c r="AM89" s="45"/>
      <c r="AN89" s="45"/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</row>
    <row r="90" spans="1:54">
      <c r="A90" s="2"/>
      <c r="B90" s="1"/>
      <c r="T90" s="1"/>
      <c r="U90" s="2"/>
      <c r="V90" s="45"/>
      <c r="W90" s="45"/>
      <c r="X90" s="51" t="str">
        <f t="shared" si="4"/>
        <v xml:space="preserve"> </v>
      </c>
      <c r="AC90" s="48"/>
      <c r="AH90" s="45"/>
      <c r="AI90" s="45"/>
      <c r="AJ90" s="45"/>
      <c r="AK90" s="45"/>
      <c r="AL90" s="45"/>
      <c r="AM90" s="45"/>
      <c r="AN90" s="45"/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</row>
    <row r="91" spans="1:54">
      <c r="A91" s="2"/>
      <c r="B91" s="1"/>
      <c r="T91" s="1"/>
      <c r="U91" s="2"/>
      <c r="V91" s="45"/>
      <c r="W91" s="45"/>
      <c r="X91" s="51" t="str">
        <f t="shared" si="4"/>
        <v xml:space="preserve"> </v>
      </c>
      <c r="AC91" s="48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</row>
    <row r="92" spans="1:54">
      <c r="A92" s="2"/>
      <c r="B92" s="1"/>
      <c r="T92" s="1"/>
      <c r="U92" s="2"/>
      <c r="V92" s="45"/>
      <c r="W92" s="45"/>
      <c r="X92" s="51" t="str">
        <f t="shared" si="4"/>
        <v xml:space="preserve"> </v>
      </c>
      <c r="AC92" s="48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</row>
    <row r="93" spans="1:54">
      <c r="A93" s="2"/>
      <c r="B93" s="1"/>
      <c r="T93" s="1"/>
      <c r="U93" s="2"/>
      <c r="V93" s="45"/>
      <c r="W93" s="45"/>
      <c r="X93" s="51" t="str">
        <f t="shared" si="4"/>
        <v xml:space="preserve"> </v>
      </c>
      <c r="AC93" s="48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</row>
    <row r="94" spans="1:54">
      <c r="A94" s="2"/>
      <c r="B94" s="1"/>
      <c r="T94" s="1"/>
      <c r="U94" s="2"/>
      <c r="V94" s="45"/>
      <c r="W94" s="45"/>
      <c r="X94" s="51" t="str">
        <f t="shared" si="4"/>
        <v xml:space="preserve"> </v>
      </c>
      <c r="AC94" s="48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</row>
    <row r="95" spans="1:54">
      <c r="A95" s="2"/>
      <c r="B95" s="1"/>
      <c r="T95" s="1"/>
      <c r="U95" s="2"/>
      <c r="V95" s="45"/>
      <c r="W95" s="45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</row>
    <row r="96" spans="1:54">
      <c r="A96" s="2"/>
      <c r="B96" s="1"/>
      <c r="T96" s="1"/>
      <c r="U96" s="2"/>
      <c r="V96" s="45"/>
      <c r="W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</row>
    <row r="97" spans="1:54">
      <c r="A97" s="2"/>
      <c r="B97" s="1"/>
      <c r="T97" s="1"/>
      <c r="U97" s="2"/>
      <c r="V97" s="45"/>
      <c r="W97" s="45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</row>
    <row r="98" spans="1:54">
      <c r="A98" s="2"/>
      <c r="B98" s="1"/>
      <c r="T98" s="1"/>
      <c r="U98" s="2"/>
      <c r="V98" s="45"/>
      <c r="W98" s="45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</row>
    <row r="99" spans="1:54">
      <c r="A99" s="2"/>
      <c r="B99" s="1"/>
      <c r="T99" s="1"/>
      <c r="U99" s="2"/>
      <c r="V99" s="45"/>
      <c r="W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</row>
    <row r="100" spans="1:54">
      <c r="A100" s="2"/>
      <c r="B100" s="1"/>
      <c r="T100" s="1"/>
      <c r="U100" s="2"/>
      <c r="V100" s="45"/>
      <c r="W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</row>
    <row r="101" spans="1:54">
      <c r="A101" s="2"/>
      <c r="B101" s="1"/>
      <c r="T101" s="1"/>
      <c r="U101" s="2"/>
      <c r="V101" s="45"/>
      <c r="W101" s="45"/>
      <c r="AH101" s="45"/>
      <c r="AI101" s="45"/>
      <c r="AJ101" s="45"/>
      <c r="AK101" s="45"/>
      <c r="AL101" s="45"/>
      <c r="AM101" s="45"/>
      <c r="AN101" s="45"/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</row>
    <row r="102" spans="1:54">
      <c r="A102" s="2"/>
      <c r="B102" s="1"/>
      <c r="T102" s="1"/>
      <c r="U102" s="2"/>
      <c r="V102" s="45"/>
      <c r="W102" s="45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</row>
    <row r="103" spans="1:54">
      <c r="A103" s="2"/>
      <c r="B103" s="1"/>
      <c r="T103" s="1"/>
      <c r="U103" s="2"/>
      <c r="V103" s="45"/>
      <c r="W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</row>
    <row r="104" spans="1:54">
      <c r="A104" s="2"/>
      <c r="B104" s="1"/>
      <c r="T104" s="1"/>
      <c r="U104" s="2"/>
      <c r="V104" s="45"/>
      <c r="W104" s="45"/>
      <c r="AH104" s="45"/>
      <c r="AI104" s="45"/>
      <c r="AJ104" s="45"/>
      <c r="AK104" s="45"/>
      <c r="AL104" s="45"/>
      <c r="AM104" s="45"/>
      <c r="AN104" s="45"/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</row>
    <row r="105" spans="1:54">
      <c r="A105" s="2"/>
      <c r="B105" s="1"/>
      <c r="T105" s="1"/>
      <c r="U105" s="2"/>
      <c r="V105" s="45"/>
      <c r="W105" s="45"/>
      <c r="AH105" s="45"/>
      <c r="AI105" s="45"/>
      <c r="AJ105" s="45"/>
      <c r="AK105" s="45"/>
      <c r="AL105" s="45"/>
      <c r="AM105" s="45"/>
      <c r="AN105" s="45"/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</row>
    <row r="106" spans="1:54">
      <c r="A106" s="2"/>
      <c r="B106" s="1"/>
      <c r="T106" s="1"/>
      <c r="U106" s="2"/>
      <c r="V106" s="45"/>
      <c r="W106" s="45"/>
      <c r="AH106" s="45"/>
      <c r="AI106" s="45"/>
      <c r="AJ106" s="45"/>
      <c r="AK106" s="45"/>
      <c r="AL106" s="45"/>
      <c r="AM106" s="45"/>
      <c r="AN106" s="45"/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</row>
    <row r="107" spans="1:54">
      <c r="A107" s="2"/>
      <c r="B107" s="1"/>
      <c r="T107" s="1"/>
      <c r="U107" s="2"/>
      <c r="V107" s="45"/>
      <c r="W107" s="45"/>
      <c r="AH107" s="45"/>
      <c r="AI107" s="45"/>
      <c r="AJ107" s="45"/>
      <c r="AK107" s="45"/>
      <c r="AL107" s="45"/>
      <c r="AM107" s="45"/>
      <c r="AN107" s="45"/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</row>
    <row r="108" spans="1:54">
      <c r="A108" s="2"/>
      <c r="B108" s="1"/>
      <c r="T108" s="1"/>
      <c r="U108" s="2"/>
      <c r="V108" s="45"/>
      <c r="W108" s="45"/>
      <c r="AH108" s="45"/>
      <c r="AI108" s="45"/>
      <c r="AJ108" s="45"/>
      <c r="AK108" s="45"/>
      <c r="AL108" s="45"/>
      <c r="AM108" s="45"/>
      <c r="AN108" s="45"/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</row>
    <row r="109" spans="1:54">
      <c r="A109" s="2"/>
      <c r="B109" s="1"/>
      <c r="T109" s="1"/>
      <c r="U109" s="2"/>
      <c r="V109" s="45"/>
      <c r="W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</row>
    <row r="110" spans="1:54">
      <c r="A110" s="2"/>
      <c r="B110" s="1"/>
      <c r="T110" s="1"/>
      <c r="U110" s="2"/>
      <c r="V110" s="45"/>
      <c r="W110" s="45"/>
      <c r="AH110" s="45"/>
      <c r="AI110" s="45"/>
      <c r="AJ110" s="45"/>
      <c r="AK110" s="45"/>
      <c r="AL110" s="45"/>
      <c r="AM110" s="45"/>
      <c r="AN110" s="45"/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</row>
    <row r="111" spans="1:54" ht="21">
      <c r="A111" s="2"/>
      <c r="B111" s="113" t="s">
        <v>44</v>
      </c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5"/>
      <c r="U111" s="2"/>
      <c r="V111" s="45"/>
      <c r="W111" s="45"/>
      <c r="AH111" s="45"/>
      <c r="AI111" s="45"/>
      <c r="AJ111" s="45"/>
      <c r="AK111" s="45"/>
      <c r="AL111" s="45"/>
      <c r="AM111" s="45"/>
      <c r="AN111" s="45"/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</row>
    <row r="112" spans="1:54" ht="21">
      <c r="A112" s="2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5"/>
      <c r="U112" s="2"/>
      <c r="V112" s="45"/>
      <c r="W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</row>
    <row r="113" spans="1:54">
      <c r="A113" s="2"/>
      <c r="B113" s="1"/>
      <c r="T113" s="1"/>
      <c r="U113" s="2"/>
      <c r="V113" s="45"/>
      <c r="W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</row>
    <row r="114" spans="1:54">
      <c r="A114" s="2"/>
      <c r="B114" s="1"/>
      <c r="T114" s="1"/>
      <c r="U114" s="2"/>
      <c r="V114" s="45"/>
      <c r="W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</row>
    <row r="115" spans="1:54">
      <c r="A115" s="2"/>
      <c r="B115" s="1"/>
      <c r="T115" s="1"/>
      <c r="U115" s="2"/>
      <c r="V115" s="45"/>
      <c r="W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</row>
    <row r="116" spans="1:54">
      <c r="A116" s="2"/>
      <c r="B116" s="1"/>
      <c r="T116" s="1"/>
      <c r="U116" s="2"/>
      <c r="V116" s="45"/>
      <c r="W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</row>
    <row r="117" spans="1:54">
      <c r="A117" s="2"/>
      <c r="B117" s="1"/>
      <c r="T117" s="1"/>
      <c r="U117" s="2"/>
      <c r="V117" s="45"/>
      <c r="W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</row>
    <row r="118" spans="1:54">
      <c r="A118" s="2"/>
      <c r="B118" s="1"/>
      <c r="T118" s="1"/>
      <c r="U118" s="2"/>
      <c r="V118" s="45"/>
      <c r="W118" s="45"/>
      <c r="AH118" s="45"/>
      <c r="AI118" s="45"/>
      <c r="AJ118" s="45"/>
      <c r="AK118" s="45"/>
      <c r="AL118" s="45"/>
      <c r="AM118" s="45"/>
      <c r="AN118" s="45"/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</row>
    <row r="119" spans="1:54">
      <c r="A119" s="2"/>
      <c r="B119" s="1"/>
      <c r="T119" s="1"/>
      <c r="U119" s="2"/>
      <c r="V119" s="45"/>
      <c r="W119" s="45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</row>
    <row r="120" spans="1:54">
      <c r="A120" s="2"/>
      <c r="B120" s="1"/>
      <c r="T120" s="1"/>
      <c r="U120" s="2"/>
      <c r="V120" s="45"/>
      <c r="W120" s="45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</row>
    <row r="121" spans="1:54">
      <c r="A121" s="2"/>
      <c r="B121" s="1"/>
      <c r="T121" s="1"/>
      <c r="U121" s="2"/>
      <c r="V121" s="45"/>
      <c r="W121" s="45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</row>
    <row r="122" spans="1:54">
      <c r="A122" s="2"/>
      <c r="B122" s="1"/>
      <c r="T122" s="1"/>
      <c r="U122" s="2"/>
      <c r="V122" s="45"/>
      <c r="W122" s="45"/>
      <c r="AH122" s="45"/>
      <c r="AI122" s="45"/>
      <c r="AJ122" s="45"/>
      <c r="AK122" s="45"/>
      <c r="AL122" s="45"/>
      <c r="AM122" s="45"/>
      <c r="AN122" s="45"/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</row>
    <row r="123" spans="1:54">
      <c r="A123" s="2"/>
      <c r="B123" s="1"/>
      <c r="T123" s="1"/>
      <c r="U123" s="2"/>
      <c r="V123" s="45"/>
      <c r="W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</row>
    <row r="124" spans="1:54">
      <c r="A124" s="2"/>
      <c r="B124" s="1"/>
      <c r="T124" s="1"/>
      <c r="U124" s="2"/>
      <c r="V124" s="45"/>
      <c r="W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</row>
    <row r="125" spans="1:54">
      <c r="A125" s="2"/>
      <c r="B125" s="1"/>
      <c r="T125" s="1"/>
      <c r="U125" s="2"/>
      <c r="V125" s="45"/>
      <c r="W125" s="45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</row>
    <row r="126" spans="1:54">
      <c r="A126" s="2"/>
      <c r="B126" s="1"/>
      <c r="T126" s="1"/>
      <c r="U126" s="2"/>
      <c r="V126" s="45"/>
      <c r="W126" s="45"/>
      <c r="AH126" s="45"/>
      <c r="AI126" s="45"/>
      <c r="AJ126" s="45"/>
      <c r="AK126" s="45"/>
      <c r="AL126" s="45"/>
      <c r="AM126" s="45"/>
      <c r="AN126" s="45"/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</row>
    <row r="127" spans="1:54">
      <c r="A127" s="2"/>
      <c r="B127" s="1"/>
      <c r="T127" s="1"/>
      <c r="U127" s="2"/>
      <c r="V127" s="45"/>
      <c r="W127" s="45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</row>
    <row r="128" spans="1:54">
      <c r="A128" s="2"/>
      <c r="B128" s="1"/>
      <c r="T128" s="1"/>
      <c r="U128" s="2"/>
      <c r="V128" s="45"/>
      <c r="W128" s="45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</row>
    <row r="129" spans="1:54">
      <c r="A129" s="2"/>
      <c r="B129" s="1"/>
      <c r="T129" s="1"/>
      <c r="U129" s="2"/>
      <c r="V129" s="45"/>
      <c r="W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</row>
    <row r="130" spans="1:54">
      <c r="A130" s="2"/>
      <c r="B130" s="1"/>
      <c r="T130" s="1"/>
      <c r="U130" s="2"/>
      <c r="V130" s="45"/>
      <c r="W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</row>
    <row r="131" spans="1:54">
      <c r="A131" s="2"/>
      <c r="B131" s="1"/>
      <c r="T131" s="1"/>
      <c r="U131" s="2"/>
      <c r="V131" s="45"/>
      <c r="W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</row>
    <row r="132" spans="1:54">
      <c r="A132" s="2"/>
      <c r="B132" s="1"/>
      <c r="T132" s="1"/>
      <c r="U132" s="2"/>
      <c r="V132" s="45"/>
      <c r="W132" s="45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</row>
    <row r="133" spans="1:54">
      <c r="A133" s="2"/>
      <c r="B133" s="1"/>
      <c r="T133" s="1"/>
      <c r="U133" s="2"/>
      <c r="V133" s="45"/>
      <c r="W133" s="45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</row>
    <row r="134" spans="1:54">
      <c r="A134" s="2"/>
      <c r="B134" s="1"/>
      <c r="T134" s="1"/>
      <c r="U134" s="2"/>
      <c r="V134" s="45"/>
      <c r="W134" s="45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</row>
    <row r="135" spans="1:54">
      <c r="A135" s="2"/>
      <c r="B135" s="1"/>
      <c r="T135" s="1"/>
      <c r="U135" s="2"/>
      <c r="V135" s="45"/>
      <c r="W135" s="45"/>
      <c r="AH135" s="45"/>
      <c r="AI135" s="45"/>
      <c r="AJ135" s="45"/>
      <c r="AK135" s="45"/>
      <c r="AL135" s="45"/>
      <c r="AM135" s="45"/>
      <c r="AN135" s="45"/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</row>
    <row r="136" spans="1:54">
      <c r="A136" s="2"/>
      <c r="B136" s="1"/>
      <c r="T136" s="1"/>
      <c r="U136" s="2"/>
      <c r="V136" s="45"/>
      <c r="W136" s="45"/>
      <c r="AH136" s="45"/>
      <c r="AI136" s="45"/>
      <c r="AJ136" s="45"/>
      <c r="AK136" s="45"/>
      <c r="AL136" s="45"/>
      <c r="AM136" s="45"/>
      <c r="AN136" s="45"/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</row>
    <row r="137" spans="1:54">
      <c r="A137" s="2"/>
      <c r="B137" s="1"/>
      <c r="T137" s="1"/>
      <c r="U137" s="2"/>
      <c r="V137" s="45"/>
      <c r="W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</row>
    <row r="138" spans="1:54" ht="21">
      <c r="A138" s="2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5"/>
      <c r="U138" s="2"/>
      <c r="V138" s="45"/>
      <c r="W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</row>
    <row r="139" spans="1:54" ht="21">
      <c r="A139" s="2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5"/>
      <c r="U139" s="2"/>
      <c r="V139" s="45"/>
      <c r="W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</row>
    <row r="140" spans="1:54">
      <c r="V140" s="45"/>
      <c r="W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</row>
    <row r="141" spans="1:54">
      <c r="V141" s="45"/>
      <c r="W141" s="45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</row>
    <row r="142" spans="1:54">
      <c r="V142" s="45"/>
      <c r="W142" s="45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</row>
    <row r="143" spans="1:54">
      <c r="V143" s="45"/>
      <c r="W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</row>
    <row r="144" spans="1:54">
      <c r="V144" s="45"/>
      <c r="W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</row>
    <row r="145" spans="22:54">
      <c r="V145" s="45"/>
      <c r="W145" s="45"/>
      <c r="AH145" s="45"/>
      <c r="AI145" s="45"/>
      <c r="AJ145" s="45"/>
      <c r="AK145" s="45"/>
      <c r="AL145" s="45"/>
      <c r="AM145" s="45"/>
      <c r="AN145" s="45"/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</row>
    <row r="146" spans="22:54">
      <c r="V146" s="45"/>
      <c r="W146" s="45"/>
      <c r="AH146" s="45"/>
      <c r="AI146" s="45"/>
      <c r="AJ146" s="45"/>
      <c r="AK146" s="45"/>
      <c r="AL146" s="45"/>
      <c r="AM146" s="45"/>
      <c r="AN146" s="45"/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</row>
    <row r="147" spans="22:54">
      <c r="V147" s="45"/>
      <c r="W147" s="45"/>
      <c r="AH147" s="45"/>
      <c r="AI147" s="45"/>
      <c r="AJ147" s="45"/>
      <c r="AK147" s="45"/>
      <c r="AL147" s="45"/>
      <c r="AM147" s="45"/>
      <c r="AN147" s="45"/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</row>
    <row r="148" spans="22:54">
      <c r="V148" s="45"/>
      <c r="W148" s="45"/>
      <c r="AH148" s="45"/>
      <c r="AI148" s="45"/>
      <c r="AJ148" s="45"/>
      <c r="AK148" s="45"/>
      <c r="AL148" s="45"/>
      <c r="AM148" s="45"/>
      <c r="AN148" s="45"/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</row>
    <row r="149" spans="22:54">
      <c r="V149" s="45"/>
      <c r="W149" s="45"/>
      <c r="AH149" s="45"/>
      <c r="AI149" s="45"/>
      <c r="AJ149" s="45"/>
      <c r="AK149" s="45"/>
      <c r="AL149" s="45"/>
      <c r="AM149" s="45"/>
      <c r="AN149" s="45"/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</row>
    <row r="150" spans="22:54" s="19" customFormat="1">
      <c r="V150" s="46"/>
      <c r="W150" s="46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</row>
    <row r="151" spans="22:54" s="19" customFormat="1">
      <c r="V151" s="46"/>
      <c r="W151" s="46"/>
      <c r="X151" s="51"/>
      <c r="Y151" s="51"/>
      <c r="Z151" s="51"/>
      <c r="AA151" s="51"/>
      <c r="AB151" s="51"/>
      <c r="AC151" s="51"/>
      <c r="AD151" s="51"/>
      <c r="AE151" s="51"/>
      <c r="AF151" s="51"/>
      <c r="AG151" s="51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</row>
    <row r="152" spans="22:54" s="19" customFormat="1">
      <c r="V152" s="46"/>
      <c r="W152" s="46"/>
      <c r="X152" s="51"/>
      <c r="Y152" s="51"/>
      <c r="Z152" s="51"/>
      <c r="AA152" s="51"/>
      <c r="AB152" s="51"/>
      <c r="AC152" s="51"/>
      <c r="AD152" s="51"/>
      <c r="AE152" s="51"/>
      <c r="AF152" s="51"/>
      <c r="AG152" s="51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</row>
    <row r="153" spans="22:54" s="19" customFormat="1">
      <c r="V153" s="46"/>
      <c r="W153" s="46"/>
      <c r="X153" s="51"/>
      <c r="Y153" s="51"/>
      <c r="Z153" s="51"/>
      <c r="AA153" s="51"/>
      <c r="AB153" s="51"/>
      <c r="AC153" s="51"/>
      <c r="AD153" s="51"/>
      <c r="AE153" s="51"/>
      <c r="AF153" s="51"/>
      <c r="AG153" s="51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</row>
  </sheetData>
  <mergeCells count="6">
    <mergeCell ref="B138:S139"/>
    <mergeCell ref="B111:S112"/>
    <mergeCell ref="B7:S8"/>
    <mergeCell ref="B31:S32"/>
    <mergeCell ref="B57:S58"/>
    <mergeCell ref="B83:S84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32CE400-BE00-48B8-B331-F26525CC0FB6}">
          <x14:formula1>
            <xm:f>Listas!$C$2:$C$13</xm:f>
          </x14:formula1>
          <xm:sqref>D2</xm:sqref>
        </x14:dataValidation>
        <x14:dataValidation type="list" allowBlank="1" showInputMessage="1" showErrorMessage="1" xr:uid="{8DD16A3D-910C-4219-850A-280C96C3F144}">
          <x14:formula1>
            <xm:f>Listas!$B$2:$B$8</xm:f>
          </x14:formula1>
          <xm:sqref>D3 D10</xm:sqref>
        </x14:dataValidation>
        <x14:dataValidation type="list" allowBlank="1" showInputMessage="1" showErrorMessage="1" xr:uid="{DA6BEE51-7350-45C5-A1A5-EF4882F338E1}">
          <x14:formula1>
            <xm:f>Listas!$A$2:$A$5</xm:f>
          </x14:formula1>
          <xm:sqref>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66F13-0B19-491C-97D3-DFAD74FB9C21}">
  <dimension ref="A1:C13"/>
  <sheetViews>
    <sheetView workbookViewId="0">
      <selection activeCell="E14" sqref="E14"/>
    </sheetView>
  </sheetViews>
  <sheetFormatPr baseColWidth="10" defaultRowHeight="15"/>
  <sheetData>
    <row r="1" spans="1:3">
      <c r="A1" t="s">
        <v>45</v>
      </c>
      <c r="B1" t="s">
        <v>1</v>
      </c>
      <c r="C1" t="s">
        <v>0</v>
      </c>
    </row>
    <row r="2" spans="1:3">
      <c r="A2" t="s">
        <v>46</v>
      </c>
      <c r="B2">
        <v>2024</v>
      </c>
      <c r="C2" t="s">
        <v>2</v>
      </c>
    </row>
    <row r="3" spans="1:3">
      <c r="A3" t="s">
        <v>47</v>
      </c>
      <c r="B3">
        <v>2025</v>
      </c>
      <c r="C3" t="s">
        <v>15</v>
      </c>
    </row>
    <row r="4" spans="1:3">
      <c r="A4" t="s">
        <v>48</v>
      </c>
      <c r="B4">
        <v>2026</v>
      </c>
      <c r="C4" t="s">
        <v>16</v>
      </c>
    </row>
    <row r="5" spans="1:3">
      <c r="A5" t="s">
        <v>49</v>
      </c>
      <c r="B5">
        <v>2027</v>
      </c>
      <c r="C5" t="s">
        <v>17</v>
      </c>
    </row>
    <row r="6" spans="1:3">
      <c r="B6">
        <v>2028</v>
      </c>
      <c r="C6" t="s">
        <v>18</v>
      </c>
    </row>
    <row r="7" spans="1:3">
      <c r="B7">
        <v>2029</v>
      </c>
      <c r="C7" t="s">
        <v>19</v>
      </c>
    </row>
    <row r="8" spans="1:3">
      <c r="B8">
        <v>2030</v>
      </c>
      <c r="C8" t="s">
        <v>20</v>
      </c>
    </row>
    <row r="9" spans="1:3">
      <c r="C9" t="s">
        <v>21</v>
      </c>
    </row>
    <row r="10" spans="1:3">
      <c r="C10" t="s">
        <v>22</v>
      </c>
    </row>
    <row r="11" spans="1:3">
      <c r="C11" t="s">
        <v>23</v>
      </c>
    </row>
    <row r="12" spans="1:3">
      <c r="C12" t="s">
        <v>24</v>
      </c>
    </row>
    <row r="13" spans="1:3">
      <c r="C13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9BCC-39CF-4C73-A712-F58A2EF91056}">
  <sheetPr>
    <tabColor rgb="FF2F4F4F"/>
  </sheetPr>
  <dimension ref="B1:I41"/>
  <sheetViews>
    <sheetView zoomScale="90" zoomScaleNormal="90" workbookViewId="0">
      <selection activeCell="G17" sqref="G17"/>
    </sheetView>
  </sheetViews>
  <sheetFormatPr baseColWidth="10" defaultRowHeight="15"/>
  <cols>
    <col min="4" max="4" width="17.7109375" bestFit="1" customWidth="1"/>
    <col min="5" max="5" width="14" bestFit="1" customWidth="1"/>
    <col min="6" max="6" width="12.7109375" bestFit="1" customWidth="1"/>
    <col min="7" max="7" width="11.7109375" customWidth="1"/>
    <col min="10" max="10" width="17.7109375" bestFit="1" customWidth="1"/>
  </cols>
  <sheetData>
    <row r="1" spans="2:9">
      <c r="B1" s="4" t="s">
        <v>1</v>
      </c>
      <c r="C1" s="4" t="s">
        <v>45</v>
      </c>
      <c r="D1" s="4" t="s">
        <v>3</v>
      </c>
      <c r="E1" s="4" t="s">
        <v>4</v>
      </c>
      <c r="F1" s="4" t="s">
        <v>50</v>
      </c>
      <c r="G1" s="4" t="s">
        <v>5</v>
      </c>
      <c r="H1" s="4" t="s">
        <v>6</v>
      </c>
      <c r="I1" s="4" t="s">
        <v>51</v>
      </c>
    </row>
    <row r="2" spans="2:9">
      <c r="B2" s="3"/>
      <c r="C2" s="3"/>
      <c r="D2" s="3"/>
      <c r="E2" s="3"/>
      <c r="F2" s="3"/>
      <c r="G2" s="37"/>
      <c r="H2" s="3"/>
      <c r="I2" s="37"/>
    </row>
    <row r="3" spans="2:9">
      <c r="B3" s="3"/>
      <c r="C3" s="3"/>
      <c r="D3" s="3"/>
      <c r="E3" s="3"/>
      <c r="F3" s="3"/>
      <c r="G3" s="37"/>
      <c r="H3" s="3"/>
      <c r="I3" s="37"/>
    </row>
    <row r="4" spans="2:9">
      <c r="B4" s="3"/>
      <c r="C4" s="3"/>
      <c r="D4" s="3"/>
      <c r="E4" s="3"/>
      <c r="F4" s="3"/>
      <c r="G4" s="37"/>
      <c r="H4" s="3"/>
      <c r="I4" s="37"/>
    </row>
    <row r="5" spans="2:9">
      <c r="B5" s="3"/>
      <c r="C5" s="3"/>
      <c r="D5" s="3"/>
      <c r="E5" s="3"/>
      <c r="F5" s="3"/>
      <c r="G5" s="37"/>
      <c r="H5" s="3"/>
      <c r="I5" s="37"/>
    </row>
    <row r="6" spans="2:9">
      <c r="B6" s="3"/>
      <c r="C6" s="3"/>
      <c r="D6" s="3"/>
      <c r="E6" s="3"/>
      <c r="F6" s="3"/>
      <c r="G6" s="37"/>
      <c r="H6" s="3"/>
      <c r="I6" s="37"/>
    </row>
    <row r="7" spans="2:9">
      <c r="B7" s="3"/>
      <c r="C7" s="3"/>
      <c r="D7" s="3"/>
      <c r="E7" s="3"/>
      <c r="F7" s="3"/>
      <c r="G7" s="37"/>
      <c r="H7" s="3"/>
      <c r="I7" s="37"/>
    </row>
    <row r="8" spans="2:9">
      <c r="B8" s="3"/>
      <c r="C8" s="3"/>
      <c r="D8" s="3"/>
      <c r="E8" s="3"/>
      <c r="F8" s="3"/>
      <c r="G8" s="37"/>
      <c r="H8" s="3"/>
      <c r="I8" s="37"/>
    </row>
    <row r="9" spans="2:9">
      <c r="B9" s="3"/>
      <c r="C9" s="3"/>
      <c r="D9" s="3"/>
      <c r="E9" s="3"/>
      <c r="F9" s="3"/>
      <c r="G9" s="37"/>
      <c r="H9" s="3"/>
      <c r="I9" s="37"/>
    </row>
    <row r="10" spans="2:9">
      <c r="B10" s="3"/>
      <c r="C10" s="3"/>
      <c r="D10" s="3"/>
      <c r="E10" s="3"/>
      <c r="F10" s="3"/>
      <c r="G10" s="37"/>
      <c r="H10" s="3"/>
      <c r="I10" s="37"/>
    </row>
    <row r="11" spans="2:9">
      <c r="B11" s="3"/>
      <c r="C11" s="3"/>
      <c r="D11" s="3"/>
      <c r="E11" s="3"/>
      <c r="F11" s="3"/>
      <c r="G11" s="37"/>
      <c r="H11" s="3"/>
      <c r="I11" s="37"/>
    </row>
    <row r="12" spans="2:9">
      <c r="B12" s="3"/>
      <c r="C12" s="3"/>
      <c r="D12" s="3"/>
      <c r="E12" s="3"/>
      <c r="F12" s="3"/>
      <c r="G12" s="37"/>
      <c r="H12" s="3"/>
      <c r="I12" s="37"/>
    </row>
    <row r="13" spans="2:9">
      <c r="B13" s="3"/>
      <c r="C13" s="3"/>
      <c r="D13" s="3"/>
      <c r="E13" s="3"/>
      <c r="F13" s="3"/>
      <c r="G13" s="37"/>
      <c r="H13" s="3"/>
      <c r="I13" s="37"/>
    </row>
    <row r="14" spans="2:9">
      <c r="B14" s="3"/>
      <c r="C14" s="3"/>
      <c r="D14" s="3"/>
      <c r="E14" s="3"/>
      <c r="F14" s="3"/>
      <c r="G14" s="37"/>
      <c r="H14" s="3"/>
      <c r="I14" s="37"/>
    </row>
    <row r="15" spans="2:9">
      <c r="B15" s="3"/>
      <c r="C15" s="3"/>
      <c r="D15" s="3"/>
      <c r="E15" s="3"/>
      <c r="F15" s="3"/>
      <c r="G15" s="37"/>
      <c r="H15" s="3"/>
      <c r="I15" s="37"/>
    </row>
    <row r="16" spans="2:9">
      <c r="B16" s="3"/>
      <c r="C16" s="3"/>
      <c r="D16" s="3"/>
      <c r="E16" s="3"/>
      <c r="F16" s="3"/>
      <c r="G16" s="37"/>
      <c r="H16" s="3"/>
      <c r="I16" s="37"/>
    </row>
    <row r="17" spans="2:9">
      <c r="B17" s="3"/>
      <c r="C17" s="3"/>
      <c r="D17" s="3"/>
      <c r="E17" s="3"/>
      <c r="F17" s="3"/>
      <c r="G17" s="37"/>
      <c r="H17" s="3"/>
      <c r="I17" s="37"/>
    </row>
    <row r="18" spans="2:9">
      <c r="B18" s="3"/>
      <c r="C18" s="3"/>
      <c r="D18" s="3"/>
      <c r="E18" s="3"/>
      <c r="F18" s="3"/>
      <c r="G18" s="37"/>
      <c r="H18" s="3"/>
      <c r="I18" s="37"/>
    </row>
    <row r="19" spans="2:9">
      <c r="B19" s="3"/>
      <c r="C19" s="3"/>
      <c r="D19" s="3"/>
      <c r="E19" s="3"/>
      <c r="F19" s="3"/>
      <c r="G19" s="37"/>
      <c r="H19" s="3"/>
      <c r="I19" s="37"/>
    </row>
    <row r="20" spans="2:9">
      <c r="B20" s="3"/>
      <c r="C20" s="3"/>
      <c r="D20" s="3"/>
      <c r="E20" s="3"/>
      <c r="F20" s="3"/>
      <c r="G20" s="37"/>
      <c r="H20" s="3"/>
      <c r="I20" s="37"/>
    </row>
    <row r="21" spans="2:9">
      <c r="B21" s="3"/>
      <c r="C21" s="3"/>
      <c r="D21" s="3"/>
      <c r="E21" s="3"/>
      <c r="F21" s="3"/>
      <c r="G21" s="37"/>
      <c r="H21" s="3"/>
      <c r="I21" s="37"/>
    </row>
    <row r="22" spans="2:9">
      <c r="B22" s="3"/>
      <c r="C22" s="3"/>
      <c r="D22" s="3"/>
      <c r="E22" s="3"/>
      <c r="F22" s="3"/>
      <c r="G22" s="37"/>
      <c r="H22" s="3"/>
      <c r="I22" s="37"/>
    </row>
    <row r="23" spans="2:9">
      <c r="B23" s="3"/>
      <c r="C23" s="3"/>
      <c r="D23" s="3"/>
      <c r="E23" s="3"/>
      <c r="F23" s="3"/>
      <c r="G23" s="37"/>
      <c r="H23" s="3"/>
      <c r="I23" s="37"/>
    </row>
    <row r="24" spans="2:9">
      <c r="B24" s="3"/>
      <c r="C24" s="3"/>
      <c r="D24" s="3"/>
      <c r="E24" s="3"/>
      <c r="F24" s="3"/>
      <c r="G24" s="37"/>
      <c r="H24" s="3"/>
      <c r="I24" s="37"/>
    </row>
    <row r="25" spans="2:9">
      <c r="B25" s="3"/>
      <c r="C25" s="3"/>
      <c r="D25" s="3"/>
      <c r="E25" s="3"/>
      <c r="F25" s="3"/>
      <c r="G25" s="37"/>
      <c r="H25" s="3"/>
      <c r="I25" s="37"/>
    </row>
    <row r="26" spans="2:9">
      <c r="B26" s="3"/>
      <c r="C26" s="3"/>
      <c r="D26" s="3"/>
      <c r="E26" s="3"/>
      <c r="F26" s="3"/>
      <c r="G26" s="37"/>
      <c r="H26" s="3"/>
      <c r="I26" s="37"/>
    </row>
    <row r="27" spans="2:9">
      <c r="B27" s="3"/>
      <c r="C27" s="3"/>
      <c r="D27" s="3"/>
      <c r="E27" s="3"/>
      <c r="F27" s="3"/>
      <c r="G27" s="37"/>
      <c r="H27" s="3"/>
      <c r="I27" s="37"/>
    </row>
    <row r="28" spans="2:9">
      <c r="B28" s="3"/>
      <c r="C28" s="3"/>
      <c r="D28" s="3"/>
      <c r="E28" s="3"/>
      <c r="F28" s="3"/>
      <c r="G28" s="37"/>
      <c r="H28" s="3"/>
      <c r="I28" s="37"/>
    </row>
    <row r="29" spans="2:9">
      <c r="B29" s="3"/>
      <c r="C29" s="3"/>
      <c r="D29" s="3"/>
      <c r="E29" s="3"/>
      <c r="F29" s="3"/>
      <c r="G29" s="37"/>
      <c r="H29" s="3"/>
      <c r="I29" s="37"/>
    </row>
    <row r="30" spans="2:9">
      <c r="B30" s="3"/>
      <c r="C30" s="3"/>
      <c r="D30" s="3"/>
      <c r="E30" s="3"/>
      <c r="F30" s="3"/>
      <c r="G30" s="37"/>
      <c r="H30" s="3"/>
      <c r="I30" s="37"/>
    </row>
    <row r="31" spans="2:9">
      <c r="B31" s="3"/>
      <c r="C31" s="3"/>
      <c r="D31" s="3"/>
      <c r="E31" s="3"/>
      <c r="F31" s="3"/>
      <c r="G31" s="37"/>
      <c r="H31" s="3"/>
      <c r="I31" s="37"/>
    </row>
    <row r="32" spans="2:9">
      <c r="B32" s="3"/>
      <c r="C32" s="3"/>
      <c r="D32" s="3"/>
      <c r="E32" s="3"/>
      <c r="F32" s="3"/>
      <c r="G32" s="37"/>
      <c r="H32" s="3"/>
      <c r="I32" s="37"/>
    </row>
    <row r="33" spans="2:9">
      <c r="B33" s="3"/>
      <c r="C33" s="3"/>
      <c r="D33" s="3"/>
      <c r="E33" s="3"/>
      <c r="F33" s="3"/>
      <c r="G33" s="37"/>
      <c r="H33" s="3"/>
      <c r="I33" s="37"/>
    </row>
    <row r="34" spans="2:9">
      <c r="B34" s="3"/>
      <c r="C34" s="3"/>
      <c r="D34" s="3"/>
      <c r="E34" s="3"/>
      <c r="F34" s="3"/>
      <c r="G34" s="37"/>
      <c r="H34" s="3"/>
      <c r="I34" s="37"/>
    </row>
    <row r="35" spans="2:9">
      <c r="B35" s="3"/>
      <c r="C35" s="3"/>
      <c r="D35" s="3"/>
      <c r="E35" s="3"/>
      <c r="F35" s="3"/>
      <c r="G35" s="37"/>
      <c r="H35" s="3"/>
      <c r="I35" s="37"/>
    </row>
    <row r="36" spans="2:9">
      <c r="B36" s="3"/>
      <c r="C36" s="3"/>
      <c r="D36" s="3"/>
      <c r="E36" s="3"/>
      <c r="F36" s="3"/>
      <c r="G36" s="37"/>
      <c r="H36" s="3"/>
      <c r="I36" s="37"/>
    </row>
    <row r="37" spans="2:9">
      <c r="B37" s="3"/>
      <c r="C37" s="3"/>
      <c r="D37" s="3"/>
      <c r="E37" s="3"/>
      <c r="F37" s="3"/>
      <c r="G37" s="37"/>
      <c r="H37" s="3"/>
      <c r="I37" s="37"/>
    </row>
    <row r="38" spans="2:9">
      <c r="B38" s="3"/>
      <c r="C38" s="3"/>
      <c r="D38" s="3"/>
      <c r="E38" s="3"/>
      <c r="F38" s="3"/>
      <c r="G38" s="37"/>
      <c r="H38" s="3"/>
      <c r="I38" s="37"/>
    </row>
    <row r="39" spans="2:9">
      <c r="B39" s="3"/>
      <c r="C39" s="3"/>
      <c r="D39" s="3"/>
      <c r="E39" s="3"/>
      <c r="F39" s="3"/>
      <c r="G39" s="37"/>
      <c r="H39" s="3"/>
      <c r="I39" s="37"/>
    </row>
    <row r="40" spans="2:9">
      <c r="B40" s="3"/>
      <c r="C40" s="3"/>
      <c r="D40" s="3"/>
      <c r="E40" s="3"/>
      <c r="F40" s="3"/>
      <c r="G40" s="37"/>
      <c r="H40" s="3"/>
      <c r="I40" s="37"/>
    </row>
    <row r="41" spans="2:9">
      <c r="B41" s="3"/>
      <c r="C41" s="3"/>
      <c r="D41" s="3"/>
      <c r="E41" s="3"/>
      <c r="F41" s="3"/>
      <c r="G41" s="37"/>
      <c r="H41" s="3"/>
      <c r="I41" s="37"/>
    </row>
  </sheetData>
  <phoneticPr fontId="1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DB9D-461A-46A1-B6CD-AF4EA1897E89}">
  <sheetPr>
    <tabColor rgb="FF2F4F4F"/>
  </sheetPr>
  <dimension ref="A1:L25"/>
  <sheetViews>
    <sheetView zoomScaleNormal="100" workbookViewId="0">
      <selection activeCell="A9" sqref="A9"/>
    </sheetView>
  </sheetViews>
  <sheetFormatPr baseColWidth="10" defaultRowHeight="15"/>
  <cols>
    <col min="3" max="3" width="16.28515625" customWidth="1"/>
    <col min="4" max="4" width="17" customWidth="1"/>
    <col min="5" max="5" width="17" bestFit="1" customWidth="1"/>
    <col min="7" max="7" width="9.42578125" bestFit="1" customWidth="1"/>
    <col min="8" max="8" width="14.28515625" bestFit="1" customWidth="1"/>
    <col min="11" max="11" width="17.28515625" customWidth="1"/>
  </cols>
  <sheetData>
    <row r="1" spans="1:12" ht="25.5">
      <c r="A1" s="10" t="s">
        <v>1</v>
      </c>
      <c r="B1" s="10" t="s">
        <v>0</v>
      </c>
      <c r="C1" s="11" t="s">
        <v>12</v>
      </c>
      <c r="D1" s="11" t="s">
        <v>13</v>
      </c>
      <c r="E1" s="10" t="s">
        <v>14</v>
      </c>
      <c r="F1" s="10" t="s">
        <v>6</v>
      </c>
      <c r="G1" s="38" t="s">
        <v>59</v>
      </c>
      <c r="H1" s="10" t="s">
        <v>58</v>
      </c>
    </row>
    <row r="2" spans="1:12">
      <c r="A2" s="3">
        <v>2026</v>
      </c>
      <c r="B2" s="3" t="s">
        <v>21</v>
      </c>
      <c r="C2" s="3">
        <v>12</v>
      </c>
      <c r="D2" s="3">
        <v>12</v>
      </c>
      <c r="E2" s="12">
        <f t="shared" ref="E2" si="0">D2/C2</f>
        <v>1</v>
      </c>
      <c r="F2" s="9">
        <v>0.95</v>
      </c>
      <c r="G2" s="55">
        <f>DATE(A2,MATCH(B2,[1]Listas!$C$2:$C$13,0),1)</f>
        <v>46235</v>
      </c>
      <c r="H2" s="3"/>
      <c r="I2" s="40"/>
      <c r="J2" s="40"/>
      <c r="K2" s="38"/>
      <c r="L2" s="38"/>
    </row>
    <row r="3" spans="1:12">
      <c r="A3" s="3"/>
      <c r="B3" s="3"/>
      <c r="C3" s="3"/>
      <c r="D3" s="3"/>
      <c r="E3" s="12"/>
      <c r="F3" s="9"/>
      <c r="G3" s="55"/>
      <c r="H3" s="3"/>
      <c r="K3" s="41"/>
      <c r="L3" s="42"/>
    </row>
    <row r="4" spans="1:12">
      <c r="A4" s="3"/>
      <c r="B4" s="3"/>
      <c r="C4" s="3"/>
      <c r="D4" s="3"/>
      <c r="E4" s="12"/>
      <c r="F4" s="9"/>
      <c r="G4" s="55"/>
      <c r="H4" s="3"/>
      <c r="K4" s="41"/>
      <c r="L4" s="42"/>
    </row>
    <row r="5" spans="1:12">
      <c r="A5" s="3"/>
      <c r="B5" s="3"/>
      <c r="C5" s="3"/>
      <c r="D5" s="3"/>
      <c r="E5" s="12"/>
      <c r="F5" s="9"/>
      <c r="G5" s="55"/>
      <c r="H5" s="3"/>
      <c r="K5" s="41"/>
      <c r="L5" s="42"/>
    </row>
    <row r="6" spans="1:12">
      <c r="A6" s="3"/>
      <c r="B6" s="3"/>
      <c r="C6" s="3"/>
      <c r="D6" s="3"/>
      <c r="E6" s="12"/>
      <c r="F6" s="9"/>
      <c r="G6" s="55"/>
      <c r="H6" s="3"/>
      <c r="K6" s="41"/>
      <c r="L6" s="42"/>
    </row>
    <row r="7" spans="1:12">
      <c r="A7" s="3"/>
      <c r="B7" s="3"/>
      <c r="C7" s="3"/>
      <c r="D7" s="3"/>
      <c r="E7" s="12"/>
      <c r="F7" s="9"/>
      <c r="G7" s="55"/>
      <c r="H7" s="3"/>
      <c r="K7" s="41"/>
      <c r="L7" s="42"/>
    </row>
    <row r="8" spans="1:12">
      <c r="A8" s="3"/>
      <c r="B8" s="3"/>
      <c r="C8" s="3"/>
      <c r="D8" s="3"/>
      <c r="E8" s="12"/>
      <c r="F8" s="9"/>
      <c r="G8" s="55"/>
      <c r="H8" s="3"/>
      <c r="K8" s="41"/>
      <c r="L8" s="42"/>
    </row>
    <row r="9" spans="1:12">
      <c r="A9" s="3"/>
      <c r="B9" s="3"/>
      <c r="C9" s="3"/>
      <c r="D9" s="3"/>
      <c r="E9" s="12"/>
      <c r="F9" s="9"/>
      <c r="G9" s="55"/>
      <c r="H9" s="3"/>
      <c r="K9" s="41"/>
      <c r="L9" s="42"/>
    </row>
    <row r="10" spans="1:12">
      <c r="A10" s="3"/>
      <c r="B10" s="3"/>
      <c r="C10" s="3"/>
      <c r="D10" s="3"/>
      <c r="E10" s="12"/>
      <c r="F10" s="9"/>
      <c r="G10" s="55"/>
      <c r="H10" s="3"/>
      <c r="K10" s="41"/>
      <c r="L10" s="42"/>
    </row>
    <row r="11" spans="1:12">
      <c r="A11" s="3"/>
      <c r="B11" s="3"/>
      <c r="C11" s="3"/>
      <c r="D11" s="3"/>
      <c r="E11" s="12"/>
      <c r="F11" s="9"/>
      <c r="G11" s="55"/>
      <c r="H11" s="3"/>
      <c r="K11" s="41"/>
      <c r="L11" s="42"/>
    </row>
    <row r="12" spans="1:12">
      <c r="A12" s="3"/>
      <c r="B12" s="3"/>
      <c r="C12" s="3"/>
      <c r="D12" s="3"/>
      <c r="E12" s="12"/>
      <c r="F12" s="9"/>
      <c r="G12" s="55"/>
      <c r="H12" s="3"/>
      <c r="K12" s="41"/>
      <c r="L12" s="42"/>
    </row>
    <row r="13" spans="1:12">
      <c r="A13" s="3"/>
      <c r="B13" s="3"/>
      <c r="C13" s="3"/>
      <c r="D13" s="3"/>
      <c r="E13" s="12"/>
      <c r="F13" s="9"/>
      <c r="G13" s="55"/>
      <c r="H13" s="3"/>
      <c r="K13" s="41"/>
      <c r="L13" s="42"/>
    </row>
    <row r="14" spans="1:12">
      <c r="A14" s="3"/>
      <c r="B14" s="3"/>
      <c r="C14" s="3"/>
      <c r="D14" s="3"/>
      <c r="E14" s="12"/>
      <c r="F14" s="9"/>
      <c r="G14" s="55"/>
      <c r="H14" s="3"/>
      <c r="K14" s="41"/>
      <c r="L14" s="42"/>
    </row>
    <row r="15" spans="1:12">
      <c r="A15" s="3"/>
      <c r="B15" s="3"/>
      <c r="C15" s="3"/>
      <c r="D15" s="3"/>
      <c r="E15" s="12"/>
      <c r="F15" s="9"/>
      <c r="G15" s="55"/>
      <c r="H15" s="3"/>
    </row>
    <row r="16" spans="1:12">
      <c r="A16" s="3"/>
      <c r="B16" s="3"/>
      <c r="C16" s="3"/>
      <c r="D16" s="3"/>
      <c r="E16" s="12"/>
      <c r="F16" s="9"/>
      <c r="G16" s="55"/>
      <c r="H16" s="3"/>
    </row>
    <row r="17" spans="1:10">
      <c r="A17" s="3"/>
      <c r="B17" s="3"/>
      <c r="C17" s="3"/>
      <c r="D17" s="3"/>
      <c r="E17" s="12"/>
      <c r="F17" s="9"/>
      <c r="G17" s="55"/>
      <c r="H17" s="3"/>
    </row>
    <row r="18" spans="1:10">
      <c r="A18" s="3"/>
      <c r="B18" s="3"/>
      <c r="C18" s="3"/>
      <c r="D18" s="3"/>
      <c r="E18" s="12"/>
      <c r="F18" s="9"/>
      <c r="G18" s="55"/>
      <c r="H18" s="3"/>
      <c r="J18" s="39"/>
    </row>
    <row r="19" spans="1:10">
      <c r="A19" s="3"/>
      <c r="B19" s="3"/>
      <c r="C19" s="3"/>
      <c r="D19" s="3"/>
      <c r="E19" s="12"/>
      <c r="F19" s="9"/>
      <c r="G19" s="55"/>
      <c r="H19" s="3"/>
    </row>
    <row r="20" spans="1:10">
      <c r="A20" s="3"/>
      <c r="B20" s="3"/>
      <c r="C20" s="3"/>
      <c r="D20" s="3"/>
      <c r="E20" s="12"/>
      <c r="F20" s="9"/>
      <c r="G20" s="55"/>
      <c r="H20" s="3"/>
    </row>
    <row r="21" spans="1:10">
      <c r="A21" s="3"/>
      <c r="B21" s="3"/>
      <c r="C21" s="3"/>
      <c r="D21" s="3"/>
      <c r="E21" s="12"/>
      <c r="F21" s="9"/>
      <c r="G21" s="55"/>
      <c r="H21" s="3"/>
    </row>
    <row r="22" spans="1:10">
      <c r="A22" s="3"/>
      <c r="B22" s="3"/>
      <c r="C22" s="3"/>
      <c r="D22" s="3"/>
      <c r="E22" s="12"/>
      <c r="F22" s="9"/>
      <c r="G22" s="55"/>
      <c r="H22" s="3"/>
    </row>
    <row r="23" spans="1:10">
      <c r="A23" s="3"/>
      <c r="B23" s="3"/>
      <c r="C23" s="3"/>
      <c r="D23" s="3"/>
      <c r="E23" s="12"/>
      <c r="F23" s="9"/>
      <c r="G23" s="55"/>
      <c r="H23" s="3"/>
    </row>
    <row r="24" spans="1:10">
      <c r="A24" s="3"/>
      <c r="B24" s="3"/>
      <c r="C24" s="3"/>
      <c r="D24" s="3"/>
      <c r="E24" s="12"/>
      <c r="F24" s="9"/>
      <c r="G24" s="55"/>
      <c r="H24" s="3"/>
    </row>
    <row r="25" spans="1:10">
      <c r="A25" s="3"/>
      <c r="B25" s="3"/>
      <c r="C25" s="3"/>
      <c r="D25" s="3"/>
      <c r="E25" s="12"/>
      <c r="F25" s="9"/>
      <c r="G25" s="55"/>
      <c r="H25" s="3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C888-5453-4C05-99AB-C6DBB57EFEFB}">
  <sheetPr>
    <tabColor rgb="FF2F4F4F"/>
  </sheetPr>
  <dimension ref="A1:R25"/>
  <sheetViews>
    <sheetView topLeftCell="I1" workbookViewId="0">
      <selection activeCell="B3" sqref="B3"/>
    </sheetView>
  </sheetViews>
  <sheetFormatPr baseColWidth="10" defaultRowHeight="15"/>
  <cols>
    <col min="3" max="3" width="31.140625" bestFit="1" customWidth="1"/>
    <col min="4" max="4" width="15.42578125" bestFit="1" customWidth="1"/>
    <col min="5" max="5" width="20.5703125" bestFit="1" customWidth="1"/>
    <col min="6" max="6" width="17.7109375" customWidth="1"/>
    <col min="7" max="7" width="20.85546875" customWidth="1"/>
    <col min="8" max="8" width="19.42578125" bestFit="1" customWidth="1"/>
    <col min="9" max="9" width="21.7109375" customWidth="1"/>
    <col min="10" max="10" width="15.42578125" customWidth="1"/>
    <col min="11" max="11" width="15.42578125" bestFit="1" customWidth="1"/>
    <col min="12" max="12" width="15.42578125" customWidth="1"/>
    <col min="13" max="13" width="21.85546875" bestFit="1" customWidth="1"/>
    <col min="18" max="18" width="23.7109375" customWidth="1"/>
  </cols>
  <sheetData>
    <row r="1" spans="1:18">
      <c r="A1" s="16" t="s">
        <v>1</v>
      </c>
      <c r="B1" s="3" t="s">
        <v>0</v>
      </c>
      <c r="C1" s="54" t="s">
        <v>60</v>
      </c>
      <c r="D1" s="3" t="s">
        <v>36</v>
      </c>
      <c r="E1" s="3" t="s">
        <v>61</v>
      </c>
      <c r="F1" s="3" t="s">
        <v>62</v>
      </c>
      <c r="G1" s="3" t="s">
        <v>63</v>
      </c>
      <c r="H1" s="54" t="s">
        <v>64</v>
      </c>
      <c r="I1" s="54" t="s">
        <v>65</v>
      </c>
      <c r="J1" s="3" t="s">
        <v>66</v>
      </c>
      <c r="K1" s="3" t="s">
        <v>38</v>
      </c>
      <c r="L1" s="3" t="s">
        <v>26</v>
      </c>
      <c r="M1" s="3" t="s">
        <v>39</v>
      </c>
      <c r="N1" s="56" t="s">
        <v>59</v>
      </c>
    </row>
    <row r="2" spans="1:18" ht="18.75" customHeight="1">
      <c r="A2" s="3">
        <v>2026</v>
      </c>
      <c r="B2" s="3" t="s">
        <v>21</v>
      </c>
      <c r="C2" s="15">
        <v>28600</v>
      </c>
      <c r="D2" s="15">
        <v>0</v>
      </c>
      <c r="E2" s="15"/>
      <c r="F2" s="15"/>
      <c r="G2" s="15">
        <v>466825</v>
      </c>
      <c r="H2" s="15">
        <v>166600</v>
      </c>
      <c r="I2" s="15">
        <v>0</v>
      </c>
      <c r="J2" s="15">
        <v>1032000</v>
      </c>
      <c r="K2" s="15">
        <f t="shared" ref="K2" si="0">+SUM(C2:J2)</f>
        <v>1694025</v>
      </c>
      <c r="L2" s="3">
        <v>75</v>
      </c>
      <c r="M2" s="17">
        <f>K2/L2</f>
        <v>22587</v>
      </c>
      <c r="N2" s="13">
        <f>DATE(A2,MATCH(B2,[1]Listas!$C$2:$C$13,0),1)</f>
        <v>46235</v>
      </c>
      <c r="R2" s="43"/>
    </row>
    <row r="3" spans="1:18">
      <c r="A3" s="3"/>
      <c r="B3" s="3"/>
      <c r="C3" s="15"/>
      <c r="D3" s="15"/>
      <c r="E3" s="15"/>
      <c r="F3" s="15"/>
      <c r="G3" s="15"/>
      <c r="H3" s="15"/>
      <c r="I3" s="15"/>
      <c r="J3" s="15"/>
      <c r="K3" s="15">
        <f t="shared" ref="K3:K25" si="1">+SUM(C3:J3)</f>
        <v>0</v>
      </c>
      <c r="L3" s="3"/>
      <c r="M3" s="17" t="e">
        <f t="shared" ref="M3:M25" si="2">K3/L3</f>
        <v>#DIV/0!</v>
      </c>
      <c r="N3" s="13" t="e">
        <f>DATE(A3,MATCH(B3,Listas!$C$2:$C$13,0),1)</f>
        <v>#N/A</v>
      </c>
      <c r="R3" s="43"/>
    </row>
    <row r="4" spans="1:18">
      <c r="A4" s="3"/>
      <c r="B4" s="3"/>
      <c r="C4" s="15"/>
      <c r="D4" s="15"/>
      <c r="E4" s="15"/>
      <c r="F4" s="15"/>
      <c r="G4" s="15"/>
      <c r="H4" s="15"/>
      <c r="I4" s="15"/>
      <c r="J4" s="15"/>
      <c r="K4" s="15">
        <f t="shared" si="1"/>
        <v>0</v>
      </c>
      <c r="L4" s="3"/>
      <c r="M4" s="17" t="e">
        <f t="shared" si="2"/>
        <v>#DIV/0!</v>
      </c>
      <c r="N4" s="13" t="e">
        <f>DATE(A4,MATCH(B4,Listas!$C$2:$C$13,0),1)</f>
        <v>#N/A</v>
      </c>
      <c r="R4" s="43"/>
    </row>
    <row r="5" spans="1:18">
      <c r="A5" s="3"/>
      <c r="B5" s="3"/>
      <c r="C5" s="15"/>
      <c r="D5" s="15"/>
      <c r="E5" s="15"/>
      <c r="F5" s="15"/>
      <c r="G5" s="15"/>
      <c r="H5" s="15"/>
      <c r="I5" s="15"/>
      <c r="J5" s="15"/>
      <c r="K5" s="15">
        <f t="shared" si="1"/>
        <v>0</v>
      </c>
      <c r="L5" s="3"/>
      <c r="M5" s="17" t="e">
        <f t="shared" si="2"/>
        <v>#DIV/0!</v>
      </c>
      <c r="N5" s="13" t="e">
        <f>DATE(A5,MATCH(B5,Listas!$C$2:$C$13,0),1)</f>
        <v>#N/A</v>
      </c>
      <c r="R5" s="43"/>
    </row>
    <row r="6" spans="1:18">
      <c r="A6" s="3"/>
      <c r="B6" s="3"/>
      <c r="C6" s="15"/>
      <c r="D6" s="15"/>
      <c r="E6" s="15"/>
      <c r="F6" s="15"/>
      <c r="G6" s="15"/>
      <c r="H6" s="15"/>
      <c r="I6" s="15"/>
      <c r="J6" s="15"/>
      <c r="K6" s="15">
        <f t="shared" si="1"/>
        <v>0</v>
      </c>
      <c r="L6" s="3"/>
      <c r="M6" s="17" t="e">
        <f t="shared" si="2"/>
        <v>#DIV/0!</v>
      </c>
      <c r="N6" s="13" t="e">
        <f>DATE(A6,MATCH(B6,Listas!$C$2:$C$13,0),1)</f>
        <v>#N/A</v>
      </c>
      <c r="R6" s="43"/>
    </row>
    <row r="7" spans="1:18">
      <c r="A7" s="3"/>
      <c r="B7" s="3"/>
      <c r="C7" s="15"/>
      <c r="D7" s="15"/>
      <c r="E7" s="15"/>
      <c r="F7" s="15"/>
      <c r="G7" s="15"/>
      <c r="H7" s="15"/>
      <c r="I7" s="15"/>
      <c r="J7" s="15"/>
      <c r="K7" s="15">
        <f t="shared" si="1"/>
        <v>0</v>
      </c>
      <c r="L7" s="3"/>
      <c r="M7" s="17" t="e">
        <f t="shared" si="2"/>
        <v>#DIV/0!</v>
      </c>
      <c r="N7" s="13" t="e">
        <f>DATE(A7,MATCH(B7,Listas!$C$2:$C$13,0),1)</f>
        <v>#N/A</v>
      </c>
      <c r="R7" s="43"/>
    </row>
    <row r="8" spans="1:18">
      <c r="A8" s="3"/>
      <c r="B8" s="3"/>
      <c r="C8" s="15"/>
      <c r="D8" s="15"/>
      <c r="E8" s="15"/>
      <c r="F8" s="15"/>
      <c r="G8" s="15"/>
      <c r="H8" s="15"/>
      <c r="I8" s="15"/>
      <c r="J8" s="15"/>
      <c r="K8" s="15">
        <f t="shared" si="1"/>
        <v>0</v>
      </c>
      <c r="L8" s="3"/>
      <c r="M8" s="17" t="e">
        <f t="shared" si="2"/>
        <v>#DIV/0!</v>
      </c>
      <c r="N8" s="13" t="e">
        <f>DATE(A8,MATCH(B8,Listas!$C$2:$C$13,0),1)</f>
        <v>#N/A</v>
      </c>
      <c r="R8" s="43"/>
    </row>
    <row r="9" spans="1:18">
      <c r="A9" s="3"/>
      <c r="B9" s="3"/>
      <c r="C9" s="15"/>
      <c r="D9" s="15"/>
      <c r="E9" s="15"/>
      <c r="F9" s="15"/>
      <c r="G9" s="15"/>
      <c r="H9" s="15"/>
      <c r="I9" s="15"/>
      <c r="J9" s="15"/>
      <c r="K9" s="15">
        <f t="shared" si="1"/>
        <v>0</v>
      </c>
      <c r="L9" s="3"/>
      <c r="M9" s="17" t="e">
        <f t="shared" si="2"/>
        <v>#DIV/0!</v>
      </c>
      <c r="N9" s="13" t="e">
        <f>DATE(A9,MATCH(B9,Listas!$C$2:$C$13,0),1)</f>
        <v>#N/A</v>
      </c>
      <c r="R9" s="43"/>
    </row>
    <row r="10" spans="1:18">
      <c r="A10" s="3"/>
      <c r="B10" s="3"/>
      <c r="C10" s="15"/>
      <c r="D10" s="15"/>
      <c r="E10" s="15"/>
      <c r="F10" s="15"/>
      <c r="G10" s="15"/>
      <c r="H10" s="15"/>
      <c r="I10" s="15"/>
      <c r="J10" s="15"/>
      <c r="K10" s="15">
        <f t="shared" si="1"/>
        <v>0</v>
      </c>
      <c r="L10" s="3"/>
      <c r="M10" s="17" t="e">
        <f t="shared" si="2"/>
        <v>#DIV/0!</v>
      </c>
      <c r="N10" s="13" t="e">
        <f>DATE(A10,MATCH(B10,Listas!$C$2:$C$13,0),1)</f>
        <v>#N/A</v>
      </c>
      <c r="R10" s="43"/>
    </row>
    <row r="11" spans="1:18">
      <c r="A11" s="3"/>
      <c r="B11" s="3"/>
      <c r="C11" s="15"/>
      <c r="D11" s="15"/>
      <c r="E11" s="15"/>
      <c r="F11" s="15"/>
      <c r="G11" s="15"/>
      <c r="H11" s="15"/>
      <c r="I11" s="15"/>
      <c r="J11" s="15"/>
      <c r="K11" s="15">
        <f t="shared" si="1"/>
        <v>0</v>
      </c>
      <c r="L11" s="3"/>
      <c r="M11" s="17" t="e">
        <f t="shared" si="2"/>
        <v>#DIV/0!</v>
      </c>
      <c r="N11" s="13" t="e">
        <f>DATE(A11,MATCH(B11,Listas!$C$2:$C$13,0),1)</f>
        <v>#N/A</v>
      </c>
      <c r="R11" s="43"/>
    </row>
    <row r="12" spans="1:18">
      <c r="A12" s="3"/>
      <c r="B12" s="3"/>
      <c r="C12" s="15"/>
      <c r="D12" s="15"/>
      <c r="E12" s="15"/>
      <c r="F12" s="15"/>
      <c r="G12" s="15"/>
      <c r="H12" s="15"/>
      <c r="I12" s="15"/>
      <c r="J12" s="15"/>
      <c r="K12" s="15">
        <f t="shared" si="1"/>
        <v>0</v>
      </c>
      <c r="L12" s="3"/>
      <c r="M12" s="17" t="e">
        <f t="shared" si="2"/>
        <v>#DIV/0!</v>
      </c>
      <c r="N12" s="13" t="e">
        <f>DATE(A12,MATCH(B12,Listas!$C$2:$C$13,0),1)</f>
        <v>#N/A</v>
      </c>
      <c r="R12" s="43"/>
    </row>
    <row r="13" spans="1:18">
      <c r="A13" s="3"/>
      <c r="B13" s="3"/>
      <c r="C13" s="15"/>
      <c r="D13" s="15"/>
      <c r="E13" s="15"/>
      <c r="F13" s="15"/>
      <c r="G13" s="15"/>
      <c r="H13" s="15"/>
      <c r="I13" s="15"/>
      <c r="J13" s="15"/>
      <c r="K13" s="15">
        <f t="shared" si="1"/>
        <v>0</v>
      </c>
      <c r="L13" s="3"/>
      <c r="M13" s="17" t="e">
        <f t="shared" si="2"/>
        <v>#DIV/0!</v>
      </c>
      <c r="N13" s="13" t="e">
        <f>DATE(A13,MATCH(B13,Listas!$C$2:$C$13,0),1)</f>
        <v>#N/A</v>
      </c>
      <c r="R13" s="43"/>
    </row>
    <row r="14" spans="1:18">
      <c r="A14" s="3"/>
      <c r="B14" s="3"/>
      <c r="C14" s="15"/>
      <c r="D14" s="15"/>
      <c r="E14" s="15"/>
      <c r="F14" s="15"/>
      <c r="G14" s="15"/>
      <c r="H14" s="15"/>
      <c r="I14" s="15"/>
      <c r="J14" s="15"/>
      <c r="K14" s="15">
        <f t="shared" si="1"/>
        <v>0</v>
      </c>
      <c r="L14" s="3"/>
      <c r="M14" s="17" t="e">
        <f t="shared" si="2"/>
        <v>#DIV/0!</v>
      </c>
      <c r="N14" s="13" t="e">
        <f>DATE(A14,MATCH(B14,Listas!$C$2:$C$13,0),1)</f>
        <v>#N/A</v>
      </c>
      <c r="R14" s="43"/>
    </row>
    <row r="15" spans="1:18">
      <c r="A15" s="3"/>
      <c r="B15" s="3"/>
      <c r="C15" s="15"/>
      <c r="D15" s="15"/>
      <c r="E15" s="15"/>
      <c r="F15" s="15"/>
      <c r="G15" s="15"/>
      <c r="H15" s="15"/>
      <c r="I15" s="15"/>
      <c r="J15" s="15"/>
      <c r="K15" s="15">
        <f t="shared" si="1"/>
        <v>0</v>
      </c>
      <c r="L15" s="3"/>
      <c r="M15" s="17" t="e">
        <f t="shared" si="2"/>
        <v>#DIV/0!</v>
      </c>
      <c r="N15" s="13" t="e">
        <f>DATE(A15,MATCH(B15,Listas!$C$2:$C$13,0),1)</f>
        <v>#N/A</v>
      </c>
    </row>
    <row r="16" spans="1:18">
      <c r="A16" s="3"/>
      <c r="B16" s="3"/>
      <c r="C16" s="15"/>
      <c r="D16" s="15"/>
      <c r="E16" s="15"/>
      <c r="F16" s="15"/>
      <c r="G16" s="15"/>
      <c r="H16" s="15"/>
      <c r="I16" s="15"/>
      <c r="J16" s="15"/>
      <c r="K16" s="15">
        <f t="shared" si="1"/>
        <v>0</v>
      </c>
      <c r="L16" s="3"/>
      <c r="M16" s="17" t="e">
        <f t="shared" si="2"/>
        <v>#DIV/0!</v>
      </c>
      <c r="N16" s="13" t="e">
        <f>DATE(A16,MATCH(B16,Listas!$C$2:$C$13,0),1)</f>
        <v>#N/A</v>
      </c>
    </row>
    <row r="17" spans="1:14">
      <c r="A17" s="3"/>
      <c r="B17" s="3"/>
      <c r="C17" s="15"/>
      <c r="D17" s="15"/>
      <c r="E17" s="15"/>
      <c r="F17" s="15"/>
      <c r="G17" s="15"/>
      <c r="H17" s="15"/>
      <c r="I17" s="15"/>
      <c r="J17" s="15"/>
      <c r="K17" s="15">
        <f t="shared" si="1"/>
        <v>0</v>
      </c>
      <c r="L17" s="3"/>
      <c r="M17" s="17" t="e">
        <f t="shared" si="2"/>
        <v>#DIV/0!</v>
      </c>
      <c r="N17" s="13" t="e">
        <f>DATE(A17,MATCH(B17,Listas!$C$2:$C$13,0),1)</f>
        <v>#N/A</v>
      </c>
    </row>
    <row r="18" spans="1:14">
      <c r="A18" s="3"/>
      <c r="B18" s="3"/>
      <c r="C18" s="15"/>
      <c r="D18" s="15"/>
      <c r="E18" s="15"/>
      <c r="F18" s="15"/>
      <c r="G18" s="15"/>
      <c r="H18" s="15"/>
      <c r="I18" s="15"/>
      <c r="J18" s="15"/>
      <c r="K18" s="15">
        <f t="shared" si="1"/>
        <v>0</v>
      </c>
      <c r="L18" s="3"/>
      <c r="M18" s="17" t="e">
        <f t="shared" si="2"/>
        <v>#DIV/0!</v>
      </c>
      <c r="N18" s="13" t="e">
        <f>DATE(A18,MATCH(B18,Listas!$C$2:$C$13,0),1)</f>
        <v>#N/A</v>
      </c>
    </row>
    <row r="19" spans="1:14">
      <c r="A19" s="3"/>
      <c r="B19" s="3"/>
      <c r="C19" s="15"/>
      <c r="D19" s="15"/>
      <c r="E19" s="15"/>
      <c r="F19" s="15"/>
      <c r="G19" s="15"/>
      <c r="H19" s="15"/>
      <c r="I19" s="15"/>
      <c r="J19" s="15"/>
      <c r="K19" s="15">
        <f t="shared" si="1"/>
        <v>0</v>
      </c>
      <c r="L19" s="3"/>
      <c r="M19" s="17" t="e">
        <f t="shared" si="2"/>
        <v>#DIV/0!</v>
      </c>
      <c r="N19" s="13" t="e">
        <f>DATE(A19,MATCH(B19,Listas!$C$2:$C$13,0),1)</f>
        <v>#N/A</v>
      </c>
    </row>
    <row r="20" spans="1:14">
      <c r="A20" s="3"/>
      <c r="B20" s="3"/>
      <c r="C20" s="15"/>
      <c r="D20" s="15"/>
      <c r="E20" s="15"/>
      <c r="F20" s="15"/>
      <c r="G20" s="15"/>
      <c r="H20" s="15"/>
      <c r="I20" s="15"/>
      <c r="J20" s="15"/>
      <c r="K20" s="15">
        <f t="shared" si="1"/>
        <v>0</v>
      </c>
      <c r="L20" s="3"/>
      <c r="M20" s="17" t="e">
        <f t="shared" si="2"/>
        <v>#DIV/0!</v>
      </c>
      <c r="N20" s="13" t="e">
        <f>DATE(A20,MATCH(B20,Listas!$C$2:$C$13,0),1)</f>
        <v>#N/A</v>
      </c>
    </row>
    <row r="21" spans="1:14">
      <c r="A21" s="3"/>
      <c r="B21" s="3"/>
      <c r="C21" s="15"/>
      <c r="D21" s="15"/>
      <c r="E21" s="15"/>
      <c r="F21" s="15"/>
      <c r="G21" s="15"/>
      <c r="H21" s="15"/>
      <c r="I21" s="15"/>
      <c r="J21" s="15"/>
      <c r="K21" s="15">
        <f t="shared" si="1"/>
        <v>0</v>
      </c>
      <c r="L21" s="3"/>
      <c r="M21" s="17" t="e">
        <f t="shared" si="2"/>
        <v>#DIV/0!</v>
      </c>
      <c r="N21" s="13" t="e">
        <f>DATE(A21,MATCH(B21,Listas!$C$2:$C$13,0),1)</f>
        <v>#N/A</v>
      </c>
    </row>
    <row r="22" spans="1:14">
      <c r="A22" s="3"/>
      <c r="B22" s="3"/>
      <c r="C22" s="15"/>
      <c r="D22" s="15"/>
      <c r="E22" s="15"/>
      <c r="F22" s="15"/>
      <c r="G22" s="15"/>
      <c r="H22" s="15"/>
      <c r="I22" s="15"/>
      <c r="J22" s="15"/>
      <c r="K22" s="15">
        <f t="shared" si="1"/>
        <v>0</v>
      </c>
      <c r="L22" s="3"/>
      <c r="M22" s="17" t="e">
        <f t="shared" si="2"/>
        <v>#DIV/0!</v>
      </c>
      <c r="N22" s="13" t="e">
        <f>DATE(A22,MATCH(B22,Listas!$C$2:$C$13,0),1)</f>
        <v>#N/A</v>
      </c>
    </row>
    <row r="23" spans="1:14">
      <c r="A23" s="3"/>
      <c r="B23" s="3"/>
      <c r="C23" s="15"/>
      <c r="D23" s="15"/>
      <c r="E23" s="15"/>
      <c r="F23" s="15"/>
      <c r="G23" s="15"/>
      <c r="H23" s="15"/>
      <c r="I23" s="15"/>
      <c r="J23" s="15"/>
      <c r="K23" s="15">
        <f t="shared" si="1"/>
        <v>0</v>
      </c>
      <c r="L23" s="3"/>
      <c r="M23" s="17" t="e">
        <f t="shared" si="2"/>
        <v>#DIV/0!</v>
      </c>
      <c r="N23" s="13" t="e">
        <f>DATE(A23,MATCH(B23,Listas!$C$2:$C$13,0),1)</f>
        <v>#N/A</v>
      </c>
    </row>
    <row r="24" spans="1:14">
      <c r="A24" s="3"/>
      <c r="B24" s="3"/>
      <c r="C24" s="15"/>
      <c r="D24" s="15"/>
      <c r="E24" s="15"/>
      <c r="F24" s="15"/>
      <c r="G24" s="15"/>
      <c r="H24" s="15"/>
      <c r="I24" s="15"/>
      <c r="J24" s="15"/>
      <c r="K24" s="15">
        <f t="shared" si="1"/>
        <v>0</v>
      </c>
      <c r="L24" s="3"/>
      <c r="M24" s="17" t="e">
        <f t="shared" si="2"/>
        <v>#DIV/0!</v>
      </c>
      <c r="N24" s="13" t="e">
        <f>DATE(A24,MATCH(B24,Listas!$C$2:$C$13,0),1)</f>
        <v>#N/A</v>
      </c>
    </row>
    <row r="25" spans="1:14">
      <c r="A25" s="3"/>
      <c r="B25" s="3"/>
      <c r="C25" s="15"/>
      <c r="D25" s="15"/>
      <c r="E25" s="15"/>
      <c r="F25" s="15"/>
      <c r="G25" s="15"/>
      <c r="H25" s="15"/>
      <c r="I25" s="15"/>
      <c r="J25" s="15"/>
      <c r="K25" s="15">
        <f t="shared" si="1"/>
        <v>0</v>
      </c>
      <c r="L25" s="3"/>
      <c r="M25" s="17" t="e">
        <f t="shared" si="2"/>
        <v>#DIV/0!</v>
      </c>
      <c r="N25" s="13" t="e">
        <f>DATE(A25,MATCH(B25,Listas!$C$2:$C$13,0),1)</f>
        <v>#N/A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9343C-55CC-47B0-BA2C-8F3B80D7C06A}">
  <sheetPr>
    <tabColor rgb="FF2F4F4F"/>
  </sheetPr>
  <dimension ref="A2:N50"/>
  <sheetViews>
    <sheetView zoomScale="80" zoomScaleNormal="80" workbookViewId="0">
      <selection activeCell="N9" sqref="N9"/>
    </sheetView>
  </sheetViews>
  <sheetFormatPr baseColWidth="10" defaultRowHeight="15"/>
  <cols>
    <col min="3" max="3" width="18.42578125" customWidth="1"/>
    <col min="4" max="4" width="28.28515625" customWidth="1"/>
    <col min="5" max="5" width="25.28515625" customWidth="1"/>
    <col min="6" max="6" width="19.42578125" customWidth="1"/>
    <col min="7" max="7" width="23.42578125" bestFit="1" customWidth="1"/>
    <col min="8" max="9" width="23.42578125" customWidth="1"/>
    <col min="10" max="10" width="17" customWidth="1"/>
    <col min="11" max="11" width="15.7109375" customWidth="1"/>
    <col min="12" max="12" width="19" customWidth="1"/>
    <col min="13" max="13" width="29.7109375" customWidth="1"/>
    <col min="14" max="14" width="27.5703125" customWidth="1"/>
  </cols>
  <sheetData>
    <row r="2" spans="1:14">
      <c r="A2" s="4" t="s">
        <v>1</v>
      </c>
      <c r="B2" s="4" t="s">
        <v>0</v>
      </c>
      <c r="C2" s="4" t="s">
        <v>27</v>
      </c>
      <c r="D2" s="4" t="s">
        <v>92</v>
      </c>
      <c r="E2" s="4" t="s">
        <v>93</v>
      </c>
      <c r="F2" s="4" t="s">
        <v>94</v>
      </c>
      <c r="G2" s="4" t="s">
        <v>95</v>
      </c>
      <c r="H2" s="4" t="s">
        <v>96</v>
      </c>
      <c r="I2" s="3" t="s">
        <v>97</v>
      </c>
      <c r="J2" s="60" t="s">
        <v>98</v>
      </c>
      <c r="K2" s="60" t="s">
        <v>99</v>
      </c>
      <c r="L2" s="60" t="s">
        <v>100</v>
      </c>
      <c r="M2" s="60" t="s">
        <v>101</v>
      </c>
      <c r="N2" s="60" t="s">
        <v>39</v>
      </c>
    </row>
    <row r="3" spans="1:14" s="59" customFormat="1">
      <c r="A3" s="57">
        <v>2026</v>
      </c>
      <c r="B3" s="57" t="s">
        <v>21</v>
      </c>
      <c r="C3" s="57" t="s">
        <v>29</v>
      </c>
      <c r="D3" s="57">
        <v>102850</v>
      </c>
      <c r="E3" s="57">
        <v>83067</v>
      </c>
      <c r="F3" s="57">
        <v>0</v>
      </c>
      <c r="G3" s="57">
        <v>355167</v>
      </c>
      <c r="H3" s="57">
        <f t="shared" ref="H3:H4" si="0">+SUM(D3:G3)</f>
        <v>541084</v>
      </c>
      <c r="I3" s="57">
        <f>D3*K3</f>
        <v>1748450</v>
      </c>
      <c r="J3" s="57">
        <f>E3*L3</f>
        <v>1827474</v>
      </c>
      <c r="K3" s="57">
        <v>17</v>
      </c>
      <c r="L3" s="57">
        <v>22</v>
      </c>
      <c r="M3" s="57">
        <v>39</v>
      </c>
      <c r="N3" s="58">
        <f>(I3+J3)/M3</f>
        <v>91690.358974358969</v>
      </c>
    </row>
    <row r="4" spans="1:14" s="59" customFormat="1">
      <c r="A4" s="57">
        <v>2026</v>
      </c>
      <c r="B4" s="57" t="s">
        <v>21</v>
      </c>
      <c r="C4" s="57" t="s">
        <v>30</v>
      </c>
      <c r="D4" s="57">
        <v>102850</v>
      </c>
      <c r="E4" s="57">
        <v>83067</v>
      </c>
      <c r="F4" s="57">
        <v>0</v>
      </c>
      <c r="G4" s="57">
        <v>198730</v>
      </c>
      <c r="H4" s="57">
        <f t="shared" si="0"/>
        <v>384647</v>
      </c>
      <c r="I4" s="57">
        <f>D4*K4</f>
        <v>1131350</v>
      </c>
      <c r="J4" s="57">
        <f>E4*L4</f>
        <v>332268</v>
      </c>
      <c r="K4" s="57">
        <v>11</v>
      </c>
      <c r="L4" s="57">
        <v>4</v>
      </c>
      <c r="M4" s="57">
        <v>15</v>
      </c>
      <c r="N4" s="58">
        <f>(I4+J4)/M4</f>
        <v>97574.53333333334</v>
      </c>
    </row>
    <row r="5" spans="1:14">
      <c r="A5" s="3"/>
      <c r="B5" s="3"/>
      <c r="C5" s="3"/>
      <c r="D5" s="3"/>
      <c r="E5" s="3"/>
      <c r="F5" s="3"/>
      <c r="G5" s="3">
        <f t="shared" ref="G5:G50" si="1">+SUM(D5:F5)</f>
        <v>0</v>
      </c>
      <c r="H5" s="3"/>
      <c r="I5" s="17" t="e">
        <f t="shared" ref="I5:I50" si="2">G5/H5</f>
        <v>#DIV/0!</v>
      </c>
    </row>
    <row r="6" spans="1:14">
      <c r="A6" s="3"/>
      <c r="B6" s="3"/>
      <c r="C6" s="3"/>
      <c r="D6" s="3"/>
      <c r="E6" s="3"/>
      <c r="F6" s="3"/>
      <c r="G6" s="3">
        <f t="shared" si="1"/>
        <v>0</v>
      </c>
      <c r="H6" s="3"/>
      <c r="I6" s="17" t="e">
        <f t="shared" si="2"/>
        <v>#DIV/0!</v>
      </c>
    </row>
    <row r="7" spans="1:14">
      <c r="A7" s="3"/>
      <c r="B7" s="3"/>
      <c r="C7" s="3"/>
      <c r="D7" s="3"/>
      <c r="E7" s="3"/>
      <c r="F7" s="3"/>
      <c r="G7" s="3">
        <f t="shared" si="1"/>
        <v>0</v>
      </c>
      <c r="H7" s="3"/>
      <c r="I7" s="17" t="e">
        <f t="shared" si="2"/>
        <v>#DIV/0!</v>
      </c>
    </row>
    <row r="8" spans="1:14">
      <c r="A8" s="3"/>
      <c r="B8" s="3"/>
      <c r="C8" s="3"/>
      <c r="D8" s="3"/>
      <c r="E8" s="3"/>
      <c r="F8" s="3"/>
      <c r="G8" s="3">
        <f t="shared" si="1"/>
        <v>0</v>
      </c>
      <c r="H8" s="3"/>
      <c r="I8" s="17" t="e">
        <f t="shared" si="2"/>
        <v>#DIV/0!</v>
      </c>
    </row>
    <row r="9" spans="1:14">
      <c r="A9" s="3"/>
      <c r="B9" s="3"/>
      <c r="C9" s="3"/>
      <c r="D9" s="3"/>
      <c r="E9" s="3"/>
      <c r="F9" s="3"/>
      <c r="G9" s="3">
        <f t="shared" si="1"/>
        <v>0</v>
      </c>
      <c r="H9" s="3"/>
      <c r="I9" s="17" t="e">
        <f t="shared" si="2"/>
        <v>#DIV/0!</v>
      </c>
    </row>
    <row r="10" spans="1:14">
      <c r="A10" s="3"/>
      <c r="B10" s="3"/>
      <c r="C10" s="3"/>
      <c r="D10" s="3"/>
      <c r="E10" s="3"/>
      <c r="F10" s="3"/>
      <c r="G10" s="3">
        <f t="shared" si="1"/>
        <v>0</v>
      </c>
      <c r="H10" s="3"/>
      <c r="I10" s="17" t="e">
        <f t="shared" si="2"/>
        <v>#DIV/0!</v>
      </c>
    </row>
    <row r="11" spans="1:14">
      <c r="A11" s="3"/>
      <c r="B11" s="3"/>
      <c r="C11" s="3"/>
      <c r="D11" s="3"/>
      <c r="E11" s="3"/>
      <c r="F11" s="3"/>
      <c r="G11" s="3">
        <f t="shared" si="1"/>
        <v>0</v>
      </c>
      <c r="H11" s="3"/>
      <c r="I11" s="17" t="e">
        <f t="shared" si="2"/>
        <v>#DIV/0!</v>
      </c>
    </row>
    <row r="12" spans="1:14">
      <c r="A12" s="3"/>
      <c r="B12" s="3"/>
      <c r="C12" s="3"/>
      <c r="D12" s="3"/>
      <c r="E12" s="3"/>
      <c r="F12" s="3"/>
      <c r="G12" s="3">
        <f t="shared" si="1"/>
        <v>0</v>
      </c>
      <c r="H12" s="3"/>
      <c r="I12" s="17" t="e">
        <f t="shared" si="2"/>
        <v>#DIV/0!</v>
      </c>
    </row>
    <row r="13" spans="1:14">
      <c r="A13" s="3"/>
      <c r="B13" s="3"/>
      <c r="C13" s="3"/>
      <c r="D13" s="3"/>
      <c r="E13" s="3"/>
      <c r="F13" s="3"/>
      <c r="G13" s="3">
        <f t="shared" si="1"/>
        <v>0</v>
      </c>
      <c r="H13" s="3"/>
      <c r="I13" s="17" t="e">
        <f t="shared" si="2"/>
        <v>#DIV/0!</v>
      </c>
    </row>
    <row r="14" spans="1:14">
      <c r="A14" s="3"/>
      <c r="B14" s="3"/>
      <c r="C14" s="3"/>
      <c r="D14" s="3"/>
      <c r="E14" s="3"/>
      <c r="F14" s="3"/>
      <c r="G14" s="3">
        <f t="shared" si="1"/>
        <v>0</v>
      </c>
      <c r="H14" s="3"/>
      <c r="I14" s="17" t="e">
        <f t="shared" si="2"/>
        <v>#DIV/0!</v>
      </c>
    </row>
    <row r="15" spans="1:14">
      <c r="A15" s="3"/>
      <c r="B15" s="3"/>
      <c r="C15" s="3"/>
      <c r="D15" s="3"/>
      <c r="E15" s="3"/>
      <c r="F15" s="3"/>
      <c r="G15" s="3">
        <f t="shared" si="1"/>
        <v>0</v>
      </c>
      <c r="H15" s="3"/>
      <c r="I15" s="17" t="e">
        <f t="shared" si="2"/>
        <v>#DIV/0!</v>
      </c>
    </row>
    <row r="16" spans="1:14">
      <c r="A16" s="3"/>
      <c r="B16" s="3"/>
      <c r="C16" s="3"/>
      <c r="D16" s="3"/>
      <c r="E16" s="3"/>
      <c r="F16" s="3"/>
      <c r="G16" s="3">
        <f t="shared" si="1"/>
        <v>0</v>
      </c>
      <c r="H16" s="3"/>
      <c r="I16" s="17" t="e">
        <f t="shared" si="2"/>
        <v>#DIV/0!</v>
      </c>
    </row>
    <row r="17" spans="1:9">
      <c r="A17" s="3"/>
      <c r="B17" s="3"/>
      <c r="C17" s="3"/>
      <c r="D17" s="3"/>
      <c r="E17" s="3"/>
      <c r="F17" s="3"/>
      <c r="G17" s="3">
        <f t="shared" si="1"/>
        <v>0</v>
      </c>
      <c r="H17" s="3"/>
      <c r="I17" s="17" t="e">
        <f t="shared" si="2"/>
        <v>#DIV/0!</v>
      </c>
    </row>
    <row r="18" spans="1:9">
      <c r="A18" s="3"/>
      <c r="B18" s="3"/>
      <c r="C18" s="3"/>
      <c r="D18" s="3"/>
      <c r="E18" s="3"/>
      <c r="F18" s="3"/>
      <c r="G18" s="3">
        <f t="shared" si="1"/>
        <v>0</v>
      </c>
      <c r="H18" s="3"/>
      <c r="I18" s="17" t="e">
        <f t="shared" si="2"/>
        <v>#DIV/0!</v>
      </c>
    </row>
    <row r="19" spans="1:9">
      <c r="A19" s="3"/>
      <c r="B19" s="3"/>
      <c r="C19" s="3"/>
      <c r="D19" s="3"/>
      <c r="E19" s="3"/>
      <c r="F19" s="3"/>
      <c r="G19" s="3">
        <f t="shared" si="1"/>
        <v>0</v>
      </c>
      <c r="H19" s="3"/>
      <c r="I19" s="17" t="e">
        <f t="shared" si="2"/>
        <v>#DIV/0!</v>
      </c>
    </row>
    <row r="20" spans="1:9">
      <c r="A20" s="3"/>
      <c r="B20" s="3"/>
      <c r="C20" s="3"/>
      <c r="D20" s="3"/>
      <c r="E20" s="3"/>
      <c r="F20" s="3"/>
      <c r="G20" s="3">
        <f t="shared" si="1"/>
        <v>0</v>
      </c>
      <c r="H20" s="3"/>
      <c r="I20" s="17" t="e">
        <f t="shared" si="2"/>
        <v>#DIV/0!</v>
      </c>
    </row>
    <row r="21" spans="1:9">
      <c r="A21" s="3"/>
      <c r="B21" s="3"/>
      <c r="C21" s="3"/>
      <c r="D21" s="3"/>
      <c r="E21" s="3"/>
      <c r="F21" s="3"/>
      <c r="G21" s="3">
        <f t="shared" si="1"/>
        <v>0</v>
      </c>
      <c r="H21" s="3"/>
      <c r="I21" s="17" t="e">
        <f t="shared" si="2"/>
        <v>#DIV/0!</v>
      </c>
    </row>
    <row r="22" spans="1:9">
      <c r="A22" s="3"/>
      <c r="B22" s="3"/>
      <c r="C22" s="3"/>
      <c r="D22" s="3"/>
      <c r="E22" s="3"/>
      <c r="F22" s="3"/>
      <c r="G22" s="3">
        <f t="shared" si="1"/>
        <v>0</v>
      </c>
      <c r="H22" s="3"/>
      <c r="I22" s="17" t="e">
        <f t="shared" si="2"/>
        <v>#DIV/0!</v>
      </c>
    </row>
    <row r="23" spans="1:9">
      <c r="A23" s="3"/>
      <c r="B23" s="3"/>
      <c r="C23" s="3"/>
      <c r="D23" s="3"/>
      <c r="E23" s="3"/>
      <c r="F23" s="3"/>
      <c r="G23" s="3">
        <f t="shared" si="1"/>
        <v>0</v>
      </c>
      <c r="H23" s="3"/>
      <c r="I23" s="17" t="e">
        <f t="shared" si="2"/>
        <v>#DIV/0!</v>
      </c>
    </row>
    <row r="24" spans="1:9">
      <c r="A24" s="3"/>
      <c r="B24" s="3"/>
      <c r="C24" s="3"/>
      <c r="D24" s="3"/>
      <c r="E24" s="3"/>
      <c r="F24" s="3"/>
      <c r="G24" s="3">
        <f t="shared" si="1"/>
        <v>0</v>
      </c>
      <c r="H24" s="3"/>
      <c r="I24" s="17" t="e">
        <f t="shared" si="2"/>
        <v>#DIV/0!</v>
      </c>
    </row>
    <row r="25" spans="1:9">
      <c r="A25" s="3"/>
      <c r="B25" s="3"/>
      <c r="C25" s="3"/>
      <c r="D25" s="3"/>
      <c r="E25" s="3"/>
      <c r="F25" s="3"/>
      <c r="G25" s="3">
        <f t="shared" si="1"/>
        <v>0</v>
      </c>
      <c r="H25" s="3"/>
      <c r="I25" s="17" t="e">
        <f t="shared" si="2"/>
        <v>#DIV/0!</v>
      </c>
    </row>
    <row r="26" spans="1:9">
      <c r="A26" s="3"/>
      <c r="B26" s="3"/>
      <c r="C26" s="3"/>
      <c r="D26" s="3"/>
      <c r="E26" s="3"/>
      <c r="F26" s="3"/>
      <c r="G26" s="3">
        <f t="shared" si="1"/>
        <v>0</v>
      </c>
      <c r="H26" s="3"/>
      <c r="I26" s="17" t="e">
        <f t="shared" si="2"/>
        <v>#DIV/0!</v>
      </c>
    </row>
    <row r="27" spans="1:9">
      <c r="A27" s="3"/>
      <c r="B27" s="3"/>
      <c r="C27" s="3"/>
      <c r="D27" s="3"/>
      <c r="E27" s="3"/>
      <c r="F27" s="3"/>
      <c r="G27" s="3">
        <f t="shared" si="1"/>
        <v>0</v>
      </c>
      <c r="H27" s="3"/>
      <c r="I27" s="17" t="e">
        <f t="shared" si="2"/>
        <v>#DIV/0!</v>
      </c>
    </row>
    <row r="28" spans="1:9">
      <c r="A28" s="3"/>
      <c r="B28" s="3"/>
      <c r="C28" s="3"/>
      <c r="D28" s="3"/>
      <c r="E28" s="3"/>
      <c r="F28" s="3"/>
      <c r="G28" s="3">
        <f t="shared" si="1"/>
        <v>0</v>
      </c>
      <c r="H28" s="3"/>
      <c r="I28" s="17" t="e">
        <f t="shared" si="2"/>
        <v>#DIV/0!</v>
      </c>
    </row>
    <row r="29" spans="1:9">
      <c r="A29" s="3"/>
      <c r="B29" s="3"/>
      <c r="C29" s="3"/>
      <c r="D29" s="3"/>
      <c r="E29" s="3"/>
      <c r="F29" s="3"/>
      <c r="G29" s="3">
        <f t="shared" si="1"/>
        <v>0</v>
      </c>
      <c r="H29" s="3"/>
      <c r="I29" s="17" t="e">
        <f t="shared" si="2"/>
        <v>#DIV/0!</v>
      </c>
    </row>
    <row r="30" spans="1:9">
      <c r="A30" s="3"/>
      <c r="B30" s="3"/>
      <c r="C30" s="3"/>
      <c r="D30" s="3"/>
      <c r="E30" s="3"/>
      <c r="F30" s="3"/>
      <c r="G30" s="3">
        <f t="shared" si="1"/>
        <v>0</v>
      </c>
      <c r="H30" s="3"/>
      <c r="I30" s="17" t="e">
        <f t="shared" si="2"/>
        <v>#DIV/0!</v>
      </c>
    </row>
    <row r="31" spans="1:9">
      <c r="A31" s="3"/>
      <c r="B31" s="3"/>
      <c r="C31" s="3"/>
      <c r="D31" s="3"/>
      <c r="E31" s="3"/>
      <c r="F31" s="3"/>
      <c r="G31" s="3">
        <f t="shared" si="1"/>
        <v>0</v>
      </c>
      <c r="H31" s="3"/>
      <c r="I31" s="17" t="e">
        <f t="shared" si="2"/>
        <v>#DIV/0!</v>
      </c>
    </row>
    <row r="32" spans="1:9">
      <c r="A32" s="3"/>
      <c r="B32" s="3"/>
      <c r="C32" s="3"/>
      <c r="D32" s="3"/>
      <c r="E32" s="3"/>
      <c r="F32" s="3"/>
      <c r="G32" s="3">
        <f t="shared" si="1"/>
        <v>0</v>
      </c>
      <c r="H32" s="3"/>
      <c r="I32" s="17" t="e">
        <f t="shared" si="2"/>
        <v>#DIV/0!</v>
      </c>
    </row>
    <row r="33" spans="1:9">
      <c r="A33" s="3"/>
      <c r="B33" s="3"/>
      <c r="C33" s="3"/>
      <c r="D33" s="3"/>
      <c r="E33" s="3"/>
      <c r="F33" s="3"/>
      <c r="G33" s="3">
        <f t="shared" si="1"/>
        <v>0</v>
      </c>
      <c r="H33" s="3"/>
      <c r="I33" s="17" t="e">
        <f t="shared" si="2"/>
        <v>#DIV/0!</v>
      </c>
    </row>
    <row r="34" spans="1:9">
      <c r="A34" s="3"/>
      <c r="B34" s="3"/>
      <c r="C34" s="3"/>
      <c r="D34" s="3"/>
      <c r="E34" s="3"/>
      <c r="F34" s="3"/>
      <c r="G34" s="3">
        <f t="shared" si="1"/>
        <v>0</v>
      </c>
      <c r="H34" s="3"/>
      <c r="I34" s="17" t="e">
        <f t="shared" si="2"/>
        <v>#DIV/0!</v>
      </c>
    </row>
    <row r="35" spans="1:9">
      <c r="A35" s="3"/>
      <c r="B35" s="3"/>
      <c r="C35" s="3"/>
      <c r="D35" s="3"/>
      <c r="E35" s="3"/>
      <c r="F35" s="3"/>
      <c r="G35" s="3">
        <f t="shared" si="1"/>
        <v>0</v>
      </c>
      <c r="H35" s="3"/>
      <c r="I35" s="17" t="e">
        <f t="shared" si="2"/>
        <v>#DIV/0!</v>
      </c>
    </row>
    <row r="36" spans="1:9">
      <c r="A36" s="3"/>
      <c r="B36" s="3"/>
      <c r="C36" s="3"/>
      <c r="D36" s="3"/>
      <c r="E36" s="3"/>
      <c r="F36" s="3"/>
      <c r="G36" s="3">
        <f t="shared" si="1"/>
        <v>0</v>
      </c>
      <c r="H36" s="3"/>
      <c r="I36" s="17" t="e">
        <f t="shared" si="2"/>
        <v>#DIV/0!</v>
      </c>
    </row>
    <row r="37" spans="1:9">
      <c r="A37" s="3"/>
      <c r="B37" s="3"/>
      <c r="C37" s="3"/>
      <c r="D37" s="3"/>
      <c r="E37" s="3"/>
      <c r="F37" s="3"/>
      <c r="G37" s="3">
        <f t="shared" si="1"/>
        <v>0</v>
      </c>
      <c r="H37" s="3"/>
      <c r="I37" s="17" t="e">
        <f t="shared" si="2"/>
        <v>#DIV/0!</v>
      </c>
    </row>
    <row r="38" spans="1:9">
      <c r="A38" s="3"/>
      <c r="B38" s="3"/>
      <c r="C38" s="3"/>
      <c r="D38" s="3"/>
      <c r="E38" s="3"/>
      <c r="F38" s="3"/>
      <c r="G38" s="3">
        <f t="shared" si="1"/>
        <v>0</v>
      </c>
      <c r="H38" s="3"/>
      <c r="I38" s="17" t="e">
        <f t="shared" si="2"/>
        <v>#DIV/0!</v>
      </c>
    </row>
    <row r="39" spans="1:9">
      <c r="A39" s="3"/>
      <c r="B39" s="3"/>
      <c r="C39" s="3"/>
      <c r="D39" s="3"/>
      <c r="E39" s="3"/>
      <c r="F39" s="3"/>
      <c r="G39" s="3">
        <f t="shared" si="1"/>
        <v>0</v>
      </c>
      <c r="H39" s="3"/>
      <c r="I39" s="17" t="e">
        <f t="shared" si="2"/>
        <v>#DIV/0!</v>
      </c>
    </row>
    <row r="40" spans="1:9">
      <c r="A40" s="3"/>
      <c r="B40" s="3"/>
      <c r="C40" s="3"/>
      <c r="D40" s="3"/>
      <c r="E40" s="3"/>
      <c r="F40" s="3"/>
      <c r="G40" s="3">
        <f t="shared" si="1"/>
        <v>0</v>
      </c>
      <c r="H40" s="3"/>
      <c r="I40" s="17" t="e">
        <f t="shared" si="2"/>
        <v>#DIV/0!</v>
      </c>
    </row>
    <row r="41" spans="1:9">
      <c r="A41" s="3"/>
      <c r="B41" s="3"/>
      <c r="C41" s="3"/>
      <c r="D41" s="3"/>
      <c r="E41" s="3"/>
      <c r="F41" s="3"/>
      <c r="G41" s="3">
        <f t="shared" si="1"/>
        <v>0</v>
      </c>
      <c r="H41" s="3"/>
      <c r="I41" s="17" t="e">
        <f t="shared" si="2"/>
        <v>#DIV/0!</v>
      </c>
    </row>
    <row r="42" spans="1:9">
      <c r="A42" s="3"/>
      <c r="B42" s="3"/>
      <c r="C42" s="3"/>
      <c r="D42" s="3"/>
      <c r="E42" s="3"/>
      <c r="F42" s="3"/>
      <c r="G42" s="3">
        <f t="shared" si="1"/>
        <v>0</v>
      </c>
      <c r="H42" s="3"/>
      <c r="I42" s="17" t="e">
        <f t="shared" si="2"/>
        <v>#DIV/0!</v>
      </c>
    </row>
    <row r="43" spans="1:9">
      <c r="A43" s="3"/>
      <c r="B43" s="3"/>
      <c r="C43" s="3"/>
      <c r="D43" s="3"/>
      <c r="E43" s="3"/>
      <c r="F43" s="3"/>
      <c r="G43" s="3">
        <f t="shared" si="1"/>
        <v>0</v>
      </c>
      <c r="H43" s="3"/>
      <c r="I43" s="17" t="e">
        <f t="shared" si="2"/>
        <v>#DIV/0!</v>
      </c>
    </row>
    <row r="44" spans="1:9">
      <c r="A44" s="3"/>
      <c r="B44" s="3"/>
      <c r="C44" s="3"/>
      <c r="D44" s="3"/>
      <c r="E44" s="3"/>
      <c r="F44" s="3"/>
      <c r="G44" s="3">
        <f t="shared" si="1"/>
        <v>0</v>
      </c>
      <c r="H44" s="3"/>
      <c r="I44" s="17" t="e">
        <f t="shared" si="2"/>
        <v>#DIV/0!</v>
      </c>
    </row>
    <row r="45" spans="1:9">
      <c r="A45" s="3"/>
      <c r="B45" s="3"/>
      <c r="C45" s="3"/>
      <c r="D45" s="3"/>
      <c r="E45" s="3"/>
      <c r="F45" s="3"/>
      <c r="G45" s="3">
        <f t="shared" si="1"/>
        <v>0</v>
      </c>
      <c r="H45" s="3"/>
      <c r="I45" s="17" t="e">
        <f t="shared" si="2"/>
        <v>#DIV/0!</v>
      </c>
    </row>
    <row r="46" spans="1:9">
      <c r="A46" s="3"/>
      <c r="B46" s="3"/>
      <c r="C46" s="3"/>
      <c r="D46" s="3"/>
      <c r="E46" s="3"/>
      <c r="F46" s="3"/>
      <c r="G46" s="3">
        <f t="shared" si="1"/>
        <v>0</v>
      </c>
      <c r="H46" s="3"/>
      <c r="I46" s="17" t="e">
        <f t="shared" si="2"/>
        <v>#DIV/0!</v>
      </c>
    </row>
    <row r="47" spans="1:9">
      <c r="A47" s="3"/>
      <c r="B47" s="3"/>
      <c r="C47" s="3"/>
      <c r="D47" s="3"/>
      <c r="E47" s="3"/>
      <c r="F47" s="3"/>
      <c r="G47" s="3">
        <f t="shared" si="1"/>
        <v>0</v>
      </c>
      <c r="H47" s="3"/>
      <c r="I47" s="17" t="e">
        <f t="shared" si="2"/>
        <v>#DIV/0!</v>
      </c>
    </row>
    <row r="48" spans="1:9">
      <c r="A48" s="3"/>
      <c r="B48" s="3"/>
      <c r="C48" s="3"/>
      <c r="D48" s="3"/>
      <c r="E48" s="3"/>
      <c r="F48" s="3"/>
      <c r="G48" s="3">
        <f t="shared" si="1"/>
        <v>0</v>
      </c>
      <c r="H48" s="3"/>
      <c r="I48" s="17" t="e">
        <f t="shared" si="2"/>
        <v>#DIV/0!</v>
      </c>
    </row>
    <row r="49" spans="1:9">
      <c r="A49" s="3"/>
      <c r="B49" s="3"/>
      <c r="C49" s="3"/>
      <c r="D49" s="3"/>
      <c r="E49" s="3"/>
      <c r="F49" s="3"/>
      <c r="G49" s="3">
        <f t="shared" si="1"/>
        <v>0</v>
      </c>
      <c r="H49" s="3"/>
      <c r="I49" s="17" t="e">
        <f t="shared" si="2"/>
        <v>#DIV/0!</v>
      </c>
    </row>
    <row r="50" spans="1:9">
      <c r="A50" s="3"/>
      <c r="B50" s="3"/>
      <c r="C50" s="3"/>
      <c r="D50" s="3"/>
      <c r="E50" s="3"/>
      <c r="F50" s="3"/>
      <c r="G50" s="3">
        <f t="shared" si="1"/>
        <v>0</v>
      </c>
      <c r="H50" s="3"/>
      <c r="I50" s="17" t="e">
        <f t="shared" si="2"/>
        <v>#DIV/0!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B4AD0-A723-48A7-8337-BAAFA06B01C1}">
  <sheetPr>
    <tabColor rgb="FF2F4F4F"/>
  </sheetPr>
  <dimension ref="A1:P25"/>
  <sheetViews>
    <sheetView topLeftCell="H2" workbookViewId="0">
      <selection activeCell="H1" sqref="H1"/>
    </sheetView>
  </sheetViews>
  <sheetFormatPr baseColWidth="10" defaultRowHeight="15"/>
  <cols>
    <col min="4" max="4" width="16.28515625" bestFit="1" customWidth="1"/>
    <col min="5" max="5" width="16.28515625" customWidth="1"/>
    <col min="8" max="8" width="19.5703125" bestFit="1" customWidth="1"/>
    <col min="9" max="9" width="19.5703125" customWidth="1"/>
    <col min="11" max="11" width="26.42578125" customWidth="1"/>
    <col min="12" max="12" width="17.85546875" customWidth="1"/>
    <col min="13" max="13" width="14.140625" customWidth="1"/>
    <col min="14" max="14" width="19.140625" bestFit="1" customWidth="1"/>
  </cols>
  <sheetData>
    <row r="1" spans="1:16">
      <c r="A1" s="3" t="s">
        <v>1</v>
      </c>
      <c r="B1" s="3" t="s">
        <v>34</v>
      </c>
      <c r="C1" s="3" t="s">
        <v>59</v>
      </c>
      <c r="D1" s="3" t="s">
        <v>72</v>
      </c>
      <c r="E1" s="3" t="s">
        <v>73</v>
      </c>
      <c r="F1" s="3" t="s">
        <v>71</v>
      </c>
      <c r="G1" s="3" t="s">
        <v>70</v>
      </c>
      <c r="H1" s="3" t="s">
        <v>128</v>
      </c>
      <c r="I1" s="3" t="s">
        <v>129</v>
      </c>
      <c r="J1" s="3" t="s">
        <v>69</v>
      </c>
      <c r="K1" s="56" t="s">
        <v>130</v>
      </c>
      <c r="L1" s="56" t="s">
        <v>131</v>
      </c>
      <c r="M1" s="56" t="s">
        <v>132</v>
      </c>
    </row>
    <row r="2" spans="1:16" ht="75">
      <c r="A2" s="4">
        <v>2026</v>
      </c>
      <c r="B2" s="4" t="s">
        <v>21</v>
      </c>
      <c r="C2" s="61">
        <v>46235</v>
      </c>
      <c r="D2" s="4" t="s">
        <v>102</v>
      </c>
      <c r="E2" s="4">
        <v>1122822082</v>
      </c>
      <c r="F2" s="4" t="s">
        <v>103</v>
      </c>
      <c r="G2" s="4" t="s">
        <v>29</v>
      </c>
      <c r="H2" s="4" t="s">
        <v>104</v>
      </c>
      <c r="I2" s="4" t="s">
        <v>105</v>
      </c>
      <c r="J2" s="62" t="s">
        <v>106</v>
      </c>
      <c r="K2" s="63" t="s">
        <v>107</v>
      </c>
      <c r="L2" s="64" t="s">
        <v>108</v>
      </c>
      <c r="M2" s="65">
        <v>3</v>
      </c>
    </row>
    <row r="3" spans="1:16" ht="45">
      <c r="A3" s="4">
        <v>2026</v>
      </c>
      <c r="B3" s="4" t="s">
        <v>21</v>
      </c>
      <c r="C3" s="61">
        <v>46240</v>
      </c>
      <c r="D3" s="4" t="s">
        <v>109</v>
      </c>
      <c r="E3" s="4">
        <v>1043436854</v>
      </c>
      <c r="F3" s="4" t="s">
        <v>110</v>
      </c>
      <c r="G3" s="4" t="s">
        <v>111</v>
      </c>
      <c r="H3" s="4" t="s">
        <v>112</v>
      </c>
      <c r="I3" s="4" t="s">
        <v>112</v>
      </c>
      <c r="J3" s="62" t="s">
        <v>106</v>
      </c>
      <c r="K3" s="62" t="s">
        <v>113</v>
      </c>
      <c r="L3" s="66" t="s">
        <v>108</v>
      </c>
      <c r="M3" s="65">
        <v>1</v>
      </c>
    </row>
    <row r="4" spans="1:16" ht="75">
      <c r="A4" s="4">
        <v>2026</v>
      </c>
      <c r="B4" s="4" t="s">
        <v>21</v>
      </c>
      <c r="C4" s="61">
        <v>46242</v>
      </c>
      <c r="D4" s="4" t="s">
        <v>102</v>
      </c>
      <c r="E4" s="4">
        <v>1105926744</v>
      </c>
      <c r="F4" s="4" t="s">
        <v>114</v>
      </c>
      <c r="G4" s="4" t="s">
        <v>29</v>
      </c>
      <c r="H4" s="4" t="s">
        <v>104</v>
      </c>
      <c r="I4" s="4" t="s">
        <v>115</v>
      </c>
      <c r="J4" s="62" t="s">
        <v>116</v>
      </c>
      <c r="K4" s="62" t="s">
        <v>117</v>
      </c>
      <c r="L4" s="67" t="s">
        <v>108</v>
      </c>
      <c r="M4" s="68">
        <v>2</v>
      </c>
      <c r="P4" s="44"/>
    </row>
    <row r="5" spans="1:16" ht="45">
      <c r="A5" s="4">
        <v>2026</v>
      </c>
      <c r="B5" s="4" t="s">
        <v>21</v>
      </c>
      <c r="C5" s="61">
        <v>46249</v>
      </c>
      <c r="D5" s="4" t="s">
        <v>102</v>
      </c>
      <c r="E5" s="4">
        <v>1003358035</v>
      </c>
      <c r="F5" s="4" t="s">
        <v>118</v>
      </c>
      <c r="G5" s="69" t="s">
        <v>30</v>
      </c>
      <c r="H5" s="4" t="s">
        <v>104</v>
      </c>
      <c r="I5" s="4" t="s">
        <v>119</v>
      </c>
      <c r="J5" s="62" t="s">
        <v>120</v>
      </c>
      <c r="K5" s="4" t="s">
        <v>121</v>
      </c>
      <c r="L5" s="67" t="s">
        <v>108</v>
      </c>
      <c r="M5" s="68">
        <v>3</v>
      </c>
      <c r="P5" s="44"/>
    </row>
    <row r="6" spans="1:16" ht="75">
      <c r="A6" s="4">
        <v>2026</v>
      </c>
      <c r="B6" s="4" t="s">
        <v>21</v>
      </c>
      <c r="C6" s="61">
        <v>46260</v>
      </c>
      <c r="D6" s="4" t="s">
        <v>122</v>
      </c>
      <c r="E6" s="4">
        <v>1000547526</v>
      </c>
      <c r="F6" s="70" t="s">
        <v>123</v>
      </c>
      <c r="G6" s="62" t="s">
        <v>124</v>
      </c>
      <c r="H6" s="71" t="s">
        <v>125</v>
      </c>
      <c r="I6" s="71" t="s">
        <v>125</v>
      </c>
      <c r="J6" s="62" t="s">
        <v>126</v>
      </c>
      <c r="K6" s="62" t="s">
        <v>127</v>
      </c>
      <c r="L6" s="67" t="s">
        <v>108</v>
      </c>
      <c r="M6" s="68">
        <v>30</v>
      </c>
      <c r="P6" s="44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N7" s="44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N8" s="44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N9" s="44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N10" s="44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N11" s="44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N12" s="44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N13" s="44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N14" s="44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spans="1:10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spans="1:10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spans="1:10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spans="1:10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spans="1:10">
      <c r="A25" s="3"/>
      <c r="B25" s="3"/>
      <c r="C25" s="3"/>
      <c r="D25" s="3"/>
      <c r="E25" s="3"/>
      <c r="F25" s="3"/>
      <c r="G25" s="3"/>
      <c r="H25" s="3"/>
      <c r="I25" s="3"/>
      <c r="J25" s="3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CF4A-DDCB-41A9-ABE0-4ADC183463D8}">
  <dimension ref="A1:E43"/>
  <sheetViews>
    <sheetView topLeftCell="A29" workbookViewId="0">
      <selection activeCell="F44" sqref="F44"/>
    </sheetView>
  </sheetViews>
  <sheetFormatPr baseColWidth="10" defaultRowHeight="15"/>
  <cols>
    <col min="3" max="3" width="27.7109375" bestFit="1" customWidth="1"/>
  </cols>
  <sheetData>
    <row r="1" spans="1:5">
      <c r="A1" s="3" t="s">
        <v>1</v>
      </c>
      <c r="B1" s="3" t="s">
        <v>0</v>
      </c>
      <c r="C1" s="3" t="s">
        <v>67</v>
      </c>
      <c r="D1" s="3" t="s">
        <v>28</v>
      </c>
      <c r="E1" s="3" t="s">
        <v>91</v>
      </c>
    </row>
    <row r="2" spans="1:5">
      <c r="A2" s="72">
        <v>2026</v>
      </c>
      <c r="B2" s="72" t="s">
        <v>133</v>
      </c>
      <c r="C2" s="72" t="s">
        <v>134</v>
      </c>
      <c r="D2" s="73">
        <v>139</v>
      </c>
      <c r="E2" s="74"/>
    </row>
    <row r="3" spans="1:5">
      <c r="A3" s="72">
        <v>2026</v>
      </c>
      <c r="B3" s="72" t="s">
        <v>133</v>
      </c>
      <c r="C3" s="72" t="s">
        <v>135</v>
      </c>
      <c r="D3" s="73">
        <v>15</v>
      </c>
      <c r="E3" s="75">
        <v>875454</v>
      </c>
    </row>
    <row r="4" spans="1:5">
      <c r="A4" s="72">
        <v>2026</v>
      </c>
      <c r="B4" s="72" t="s">
        <v>133</v>
      </c>
      <c r="C4" s="72" t="s">
        <v>136</v>
      </c>
      <c r="D4" s="73">
        <v>33</v>
      </c>
      <c r="E4" s="75">
        <v>2195027</v>
      </c>
    </row>
    <row r="5" spans="1:5">
      <c r="A5" s="72">
        <v>2026</v>
      </c>
      <c r="B5" s="72" t="s">
        <v>133</v>
      </c>
      <c r="C5" s="72" t="s">
        <v>137</v>
      </c>
      <c r="D5" s="73">
        <v>0</v>
      </c>
      <c r="E5" s="75">
        <v>11717050</v>
      </c>
    </row>
    <row r="6" spans="1:5">
      <c r="A6" s="72">
        <v>2026</v>
      </c>
      <c r="B6" s="72" t="s">
        <v>133</v>
      </c>
      <c r="C6" s="72" t="s">
        <v>138</v>
      </c>
      <c r="D6" s="73">
        <v>478</v>
      </c>
      <c r="E6" s="75">
        <v>13434510</v>
      </c>
    </row>
    <row r="7" spans="1:5">
      <c r="A7" s="72">
        <v>2026</v>
      </c>
      <c r="B7" s="72" t="s">
        <v>133</v>
      </c>
      <c r="C7" s="72" t="s">
        <v>139</v>
      </c>
      <c r="D7" s="73">
        <v>60</v>
      </c>
      <c r="E7" s="75">
        <v>4527416</v>
      </c>
    </row>
    <row r="8" spans="1:5">
      <c r="A8" s="72">
        <v>2026</v>
      </c>
      <c r="B8" s="72" t="s">
        <v>133</v>
      </c>
      <c r="C8" s="72" t="s">
        <v>140</v>
      </c>
      <c r="D8" s="73" t="s">
        <v>141</v>
      </c>
      <c r="E8" s="74" t="s">
        <v>141</v>
      </c>
    </row>
    <row r="9" spans="1:5">
      <c r="A9" s="72">
        <v>2026</v>
      </c>
      <c r="B9" s="72" t="s">
        <v>133</v>
      </c>
      <c r="C9" s="72" t="s">
        <v>142</v>
      </c>
      <c r="D9" s="73">
        <v>30</v>
      </c>
      <c r="E9" s="74"/>
    </row>
    <row r="10" spans="1:5">
      <c r="A10" s="72">
        <v>2026</v>
      </c>
      <c r="B10" s="72" t="s">
        <v>133</v>
      </c>
      <c r="C10" s="72" t="s">
        <v>143</v>
      </c>
      <c r="D10" s="73">
        <v>25</v>
      </c>
      <c r="E10" s="75">
        <v>1628954</v>
      </c>
    </row>
    <row r="11" spans="1:5">
      <c r="A11" s="72">
        <v>2026</v>
      </c>
      <c r="B11" s="72" t="s">
        <v>133</v>
      </c>
      <c r="C11" s="72" t="s">
        <v>144</v>
      </c>
      <c r="D11" s="73">
        <v>2</v>
      </c>
      <c r="E11" s="74"/>
    </row>
    <row r="12" spans="1:5">
      <c r="A12" s="72">
        <v>2026</v>
      </c>
      <c r="B12" s="72" t="s">
        <v>133</v>
      </c>
      <c r="C12" s="72" t="s">
        <v>145</v>
      </c>
      <c r="D12" s="73" t="s">
        <v>141</v>
      </c>
      <c r="E12" s="74" t="s">
        <v>141</v>
      </c>
    </row>
    <row r="13" spans="1:5">
      <c r="A13" s="72">
        <v>2026</v>
      </c>
      <c r="B13" s="72" t="s">
        <v>133</v>
      </c>
      <c r="C13" s="72" t="s">
        <v>146</v>
      </c>
      <c r="D13" s="73">
        <v>4</v>
      </c>
      <c r="E13" s="74"/>
    </row>
    <row r="14" spans="1:5">
      <c r="A14" s="72">
        <v>2026</v>
      </c>
      <c r="B14" s="72" t="s">
        <v>133</v>
      </c>
      <c r="C14" s="72" t="s">
        <v>147</v>
      </c>
      <c r="D14" s="73">
        <v>211</v>
      </c>
      <c r="E14" s="75">
        <v>11254197</v>
      </c>
    </row>
    <row r="15" spans="1:5">
      <c r="A15" s="72">
        <v>2026</v>
      </c>
      <c r="B15" s="72" t="s">
        <v>133</v>
      </c>
      <c r="C15" s="72" t="s">
        <v>148</v>
      </c>
      <c r="D15" s="73">
        <v>0</v>
      </c>
      <c r="E15" s="75">
        <v>3358462</v>
      </c>
    </row>
    <row r="16" spans="1:5">
      <c r="A16" s="72">
        <v>2026</v>
      </c>
      <c r="B16" s="72" t="s">
        <v>149</v>
      </c>
      <c r="C16" s="72" t="s">
        <v>134</v>
      </c>
      <c r="D16" s="73">
        <v>147</v>
      </c>
      <c r="E16" s="74"/>
    </row>
    <row r="17" spans="1:5">
      <c r="A17" s="72">
        <v>2026</v>
      </c>
      <c r="B17" s="72" t="s">
        <v>149</v>
      </c>
      <c r="C17" s="72" t="s">
        <v>135</v>
      </c>
      <c r="D17" s="73">
        <v>20</v>
      </c>
      <c r="E17" s="75">
        <v>1169208</v>
      </c>
    </row>
    <row r="18" spans="1:5">
      <c r="A18" s="72">
        <v>2026</v>
      </c>
      <c r="B18" s="72" t="s">
        <v>149</v>
      </c>
      <c r="C18" s="72" t="s">
        <v>136</v>
      </c>
      <c r="D18" s="73">
        <v>45</v>
      </c>
      <c r="E18" s="75">
        <v>3333976</v>
      </c>
    </row>
    <row r="19" spans="1:5">
      <c r="A19" s="72">
        <v>2026</v>
      </c>
      <c r="B19" s="72" t="s">
        <v>149</v>
      </c>
      <c r="C19" s="72" t="s">
        <v>137</v>
      </c>
      <c r="D19" s="73">
        <v>0</v>
      </c>
      <c r="E19" s="75">
        <v>9582192</v>
      </c>
    </row>
    <row r="20" spans="1:5">
      <c r="A20" s="72">
        <v>2026</v>
      </c>
      <c r="B20" s="72" t="s">
        <v>149</v>
      </c>
      <c r="C20" s="72" t="s">
        <v>138</v>
      </c>
      <c r="D20" s="73">
        <v>461</v>
      </c>
      <c r="E20" s="75">
        <v>13259395</v>
      </c>
    </row>
    <row r="21" spans="1:5">
      <c r="A21" s="72">
        <v>2026</v>
      </c>
      <c r="B21" s="72" t="s">
        <v>149</v>
      </c>
      <c r="C21" s="72" t="s">
        <v>139</v>
      </c>
      <c r="D21" s="73">
        <v>62</v>
      </c>
      <c r="E21" s="75">
        <v>4678330</v>
      </c>
    </row>
    <row r="22" spans="1:5">
      <c r="A22" s="72">
        <v>2026</v>
      </c>
      <c r="B22" s="72" t="s">
        <v>149</v>
      </c>
      <c r="C22" s="72" t="s">
        <v>140</v>
      </c>
      <c r="D22" s="73" t="s">
        <v>141</v>
      </c>
      <c r="E22" s="74" t="s">
        <v>141</v>
      </c>
    </row>
    <row r="23" spans="1:5">
      <c r="A23" s="72">
        <v>2026</v>
      </c>
      <c r="B23" s="72" t="s">
        <v>149</v>
      </c>
      <c r="C23" s="72" t="s">
        <v>142</v>
      </c>
      <c r="D23" s="73">
        <v>7</v>
      </c>
      <c r="E23" s="74"/>
    </row>
    <row r="24" spans="1:5">
      <c r="A24" s="72">
        <v>2026</v>
      </c>
      <c r="B24" s="72" t="s">
        <v>149</v>
      </c>
      <c r="C24" s="72" t="s">
        <v>143</v>
      </c>
      <c r="D24" s="73">
        <v>5</v>
      </c>
      <c r="E24" s="75">
        <v>291818</v>
      </c>
    </row>
    <row r="25" spans="1:5">
      <c r="A25" s="72">
        <v>2026</v>
      </c>
      <c r="B25" s="72" t="s">
        <v>149</v>
      </c>
      <c r="C25" s="72" t="s">
        <v>144</v>
      </c>
      <c r="D25" s="73" t="s">
        <v>141</v>
      </c>
      <c r="E25" s="74" t="s">
        <v>141</v>
      </c>
    </row>
    <row r="26" spans="1:5">
      <c r="A26" s="72">
        <v>2026</v>
      </c>
      <c r="B26" s="72" t="s">
        <v>149</v>
      </c>
      <c r="C26" s="72" t="s">
        <v>145</v>
      </c>
      <c r="D26" s="73" t="s">
        <v>141</v>
      </c>
      <c r="E26" s="74" t="s">
        <v>141</v>
      </c>
    </row>
    <row r="27" spans="1:5">
      <c r="A27" s="72">
        <v>2026</v>
      </c>
      <c r="B27" s="72" t="s">
        <v>149</v>
      </c>
      <c r="C27" s="72" t="s">
        <v>146</v>
      </c>
      <c r="D27" s="73" t="s">
        <v>141</v>
      </c>
      <c r="E27" s="74" t="s">
        <v>141</v>
      </c>
    </row>
    <row r="28" spans="1:5">
      <c r="A28" s="72">
        <v>2026</v>
      </c>
      <c r="B28" s="72" t="s">
        <v>149</v>
      </c>
      <c r="C28" s="72" t="s">
        <v>147</v>
      </c>
      <c r="D28" s="73">
        <v>370</v>
      </c>
      <c r="E28" s="75">
        <v>20530622</v>
      </c>
    </row>
    <row r="29" spans="1:5">
      <c r="A29" s="72">
        <v>2026</v>
      </c>
      <c r="B29" s="72" t="s">
        <v>149</v>
      </c>
      <c r="C29" s="72" t="s">
        <v>148</v>
      </c>
      <c r="D29" s="73">
        <v>0</v>
      </c>
      <c r="E29" s="75">
        <v>3869100</v>
      </c>
    </row>
    <row r="30" spans="1:5">
      <c r="A30" s="72">
        <v>2026</v>
      </c>
      <c r="B30" s="72" t="s">
        <v>150</v>
      </c>
      <c r="C30" s="72" t="s">
        <v>134</v>
      </c>
      <c r="D30" s="73">
        <v>159</v>
      </c>
      <c r="E30" s="74"/>
    </row>
    <row r="31" spans="1:5">
      <c r="A31" s="72">
        <v>2026</v>
      </c>
      <c r="B31" s="72" t="s">
        <v>150</v>
      </c>
      <c r="C31" s="72" t="s">
        <v>135</v>
      </c>
      <c r="D31" s="73">
        <v>3</v>
      </c>
      <c r="E31" s="75">
        <v>175091</v>
      </c>
    </row>
    <row r="32" spans="1:5">
      <c r="A32" s="72">
        <v>2026</v>
      </c>
      <c r="B32" s="72" t="s">
        <v>150</v>
      </c>
      <c r="C32" s="72" t="s">
        <v>136</v>
      </c>
      <c r="D32" s="73">
        <v>9</v>
      </c>
      <c r="E32" s="75">
        <v>601535</v>
      </c>
    </row>
    <row r="33" spans="1:5">
      <c r="A33" s="72">
        <v>2026</v>
      </c>
      <c r="B33" s="72" t="s">
        <v>150</v>
      </c>
      <c r="C33" s="72" t="s">
        <v>137</v>
      </c>
      <c r="D33" s="73">
        <v>3</v>
      </c>
      <c r="E33" s="75">
        <v>10086140</v>
      </c>
    </row>
    <row r="34" spans="1:5">
      <c r="A34" s="72">
        <v>2026</v>
      </c>
      <c r="B34" s="72" t="s">
        <v>150</v>
      </c>
      <c r="C34" s="72" t="s">
        <v>138</v>
      </c>
      <c r="D34" s="73">
        <v>477</v>
      </c>
      <c r="E34" s="75">
        <v>12607451</v>
      </c>
    </row>
    <row r="35" spans="1:5">
      <c r="A35" s="72">
        <v>2026</v>
      </c>
      <c r="B35" s="72" t="s">
        <v>150</v>
      </c>
      <c r="C35" s="72" t="s">
        <v>139</v>
      </c>
      <c r="D35" s="73">
        <v>38</v>
      </c>
      <c r="E35" s="75">
        <v>2949266</v>
      </c>
    </row>
    <row r="36" spans="1:5">
      <c r="A36" s="72">
        <v>2026</v>
      </c>
      <c r="B36" s="72" t="s">
        <v>150</v>
      </c>
      <c r="C36" s="72" t="s">
        <v>140</v>
      </c>
      <c r="D36" s="73">
        <v>14</v>
      </c>
      <c r="E36" s="75">
        <v>817089</v>
      </c>
    </row>
    <row r="37" spans="1:5">
      <c r="A37" s="72">
        <v>2026</v>
      </c>
      <c r="B37" s="72" t="s">
        <v>150</v>
      </c>
      <c r="C37" s="72" t="s">
        <v>142</v>
      </c>
      <c r="D37" s="73">
        <v>3</v>
      </c>
      <c r="E37" s="74"/>
    </row>
    <row r="38" spans="1:5">
      <c r="A38" s="72">
        <v>2026</v>
      </c>
      <c r="B38" s="72" t="s">
        <v>150</v>
      </c>
      <c r="C38" s="72" t="s">
        <v>143</v>
      </c>
      <c r="D38" s="73" t="s">
        <v>141</v>
      </c>
      <c r="E38" s="74" t="s">
        <v>141</v>
      </c>
    </row>
    <row r="39" spans="1:5">
      <c r="A39" s="72">
        <v>2026</v>
      </c>
      <c r="B39" s="72" t="s">
        <v>150</v>
      </c>
      <c r="C39" s="72" t="s">
        <v>144</v>
      </c>
      <c r="D39" s="73" t="s">
        <v>141</v>
      </c>
      <c r="E39" s="74" t="s">
        <v>141</v>
      </c>
    </row>
    <row r="40" spans="1:5">
      <c r="A40" s="72">
        <v>2026</v>
      </c>
      <c r="B40" s="72" t="s">
        <v>150</v>
      </c>
      <c r="C40" s="72" t="s">
        <v>145</v>
      </c>
      <c r="D40" s="73">
        <v>6</v>
      </c>
      <c r="E40" s="75">
        <v>350183</v>
      </c>
    </row>
    <row r="41" spans="1:5">
      <c r="A41" s="72">
        <v>2026</v>
      </c>
      <c r="B41" s="72" t="s">
        <v>150</v>
      </c>
      <c r="C41" s="72" t="s">
        <v>146</v>
      </c>
      <c r="D41" s="73" t="s">
        <v>141</v>
      </c>
      <c r="E41" s="74" t="s">
        <v>141</v>
      </c>
    </row>
    <row r="42" spans="1:5">
      <c r="A42" s="72">
        <v>2026</v>
      </c>
      <c r="B42" s="72" t="s">
        <v>150</v>
      </c>
      <c r="C42" s="72" t="s">
        <v>147</v>
      </c>
      <c r="D42" s="73">
        <v>547</v>
      </c>
      <c r="E42" s="75">
        <v>30332954</v>
      </c>
    </row>
    <row r="43" spans="1:5">
      <c r="A43" s="72">
        <v>2026</v>
      </c>
      <c r="B43" s="72" t="s">
        <v>150</v>
      </c>
      <c r="C43" s="72" t="s">
        <v>148</v>
      </c>
      <c r="D43" s="73">
        <v>0</v>
      </c>
      <c r="E43" s="75">
        <v>8337389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08425-1C6E-407C-A13C-A2593C688475}">
  <dimension ref="A1:O21"/>
  <sheetViews>
    <sheetView topLeftCell="C1" workbookViewId="0">
      <selection activeCell="H21" sqref="H21"/>
    </sheetView>
  </sheetViews>
  <sheetFormatPr baseColWidth="10" defaultRowHeight="15"/>
  <cols>
    <col min="3" max="3" width="37.140625" customWidth="1"/>
    <col min="4" max="4" width="20.85546875" bestFit="1" customWidth="1"/>
    <col min="5" max="5" width="17.85546875" bestFit="1" customWidth="1"/>
    <col min="7" max="7" width="26.140625" style="85" customWidth="1"/>
  </cols>
  <sheetData>
    <row r="1" spans="1:15">
      <c r="A1" s="3" t="s">
        <v>1</v>
      </c>
      <c r="B1" s="3" t="s">
        <v>0</v>
      </c>
      <c r="C1" s="3" t="s">
        <v>67</v>
      </c>
      <c r="D1" s="3" t="s">
        <v>168</v>
      </c>
      <c r="E1" s="56" t="s">
        <v>169</v>
      </c>
      <c r="F1" s="56" t="s">
        <v>170</v>
      </c>
      <c r="G1" s="85" t="s">
        <v>171</v>
      </c>
      <c r="J1" s="114" t="s">
        <v>160</v>
      </c>
      <c r="K1" s="115"/>
      <c r="L1" s="115"/>
      <c r="M1" s="115"/>
      <c r="N1" s="115"/>
      <c r="O1" s="116"/>
    </row>
    <row r="2" spans="1:15" ht="46.5" customHeight="1">
      <c r="A2" s="72">
        <v>2026</v>
      </c>
      <c r="B2" s="72" t="s">
        <v>150</v>
      </c>
      <c r="C2" s="72" t="s">
        <v>151</v>
      </c>
      <c r="D2" s="76">
        <v>5401683</v>
      </c>
      <c r="E2" s="72" t="s">
        <v>141</v>
      </c>
      <c r="F2" s="77">
        <f t="shared" ref="F2:F10" si="0">SUM(D2:E2)</f>
        <v>5401683</v>
      </c>
      <c r="G2" s="86" t="s">
        <v>157</v>
      </c>
      <c r="J2" s="87" t="s">
        <v>161</v>
      </c>
      <c r="K2" s="88">
        <v>8.3299999999999999E-2</v>
      </c>
      <c r="L2" s="89" t="s">
        <v>147</v>
      </c>
      <c r="M2" s="88">
        <v>4.1700000000000001E-2</v>
      </c>
      <c r="N2" s="89" t="s">
        <v>162</v>
      </c>
      <c r="O2" s="88">
        <v>0.04</v>
      </c>
    </row>
    <row r="3" spans="1:15">
      <c r="A3" s="72">
        <v>2026</v>
      </c>
      <c r="B3" s="72" t="s">
        <v>150</v>
      </c>
      <c r="C3" s="72" t="s">
        <v>152</v>
      </c>
      <c r="D3" s="76">
        <v>19306400</v>
      </c>
      <c r="E3" s="72" t="s">
        <v>141</v>
      </c>
      <c r="F3" s="77">
        <f t="shared" si="0"/>
        <v>19306400</v>
      </c>
      <c r="G3" s="72" t="s">
        <v>141</v>
      </c>
      <c r="J3" s="87" t="s">
        <v>163</v>
      </c>
      <c r="K3" s="88">
        <v>0.01</v>
      </c>
      <c r="L3" s="89" t="s">
        <v>164</v>
      </c>
      <c r="M3" s="88">
        <v>0.12</v>
      </c>
      <c r="N3" s="89" t="s">
        <v>141</v>
      </c>
      <c r="O3" s="89" t="s">
        <v>141</v>
      </c>
    </row>
    <row r="4" spans="1:15">
      <c r="A4" s="72">
        <v>2026</v>
      </c>
      <c r="B4" s="72" t="s">
        <v>150</v>
      </c>
      <c r="C4" s="72" t="s">
        <v>153</v>
      </c>
      <c r="D4" s="76">
        <v>22103597</v>
      </c>
      <c r="E4" s="76">
        <f>D4*$O$4</f>
        <v>8592552.2977799997</v>
      </c>
      <c r="F4" s="77">
        <f t="shared" si="0"/>
        <v>30696149.29778</v>
      </c>
      <c r="G4" s="72" t="s">
        <v>141</v>
      </c>
      <c r="J4" s="87" t="s">
        <v>165</v>
      </c>
      <c r="K4" s="88">
        <v>8.3299999999999999E-2</v>
      </c>
      <c r="L4" s="89" t="s">
        <v>166</v>
      </c>
      <c r="M4" s="88">
        <v>1.044E-2</v>
      </c>
      <c r="N4" s="89" t="s">
        <v>167</v>
      </c>
      <c r="O4" s="88">
        <f>+K2+K3+K4+M4+M3+M2+O2</f>
        <v>0.38873999999999997</v>
      </c>
    </row>
    <row r="5" spans="1:15">
      <c r="A5" s="78">
        <v>2026</v>
      </c>
      <c r="B5" s="78" t="s">
        <v>150</v>
      </c>
      <c r="C5" s="78" t="s">
        <v>154</v>
      </c>
      <c r="D5" s="79">
        <v>83349958</v>
      </c>
      <c r="E5" s="80">
        <f>D5*$O$4</f>
        <v>32401462.672919996</v>
      </c>
      <c r="F5" s="81">
        <f t="shared" si="0"/>
        <v>115751420.67291999</v>
      </c>
      <c r="G5" s="78" t="s">
        <v>141</v>
      </c>
    </row>
    <row r="6" spans="1:15">
      <c r="A6" s="72">
        <v>2026</v>
      </c>
      <c r="B6" s="72" t="s">
        <v>150</v>
      </c>
      <c r="C6" s="72" t="s">
        <v>155</v>
      </c>
      <c r="D6" s="76">
        <v>57093333</v>
      </c>
      <c r="E6" s="72" t="s">
        <v>141</v>
      </c>
      <c r="F6" s="77">
        <f t="shared" si="0"/>
        <v>57093333</v>
      </c>
      <c r="G6" s="83" t="s">
        <v>158</v>
      </c>
    </row>
    <row r="7" spans="1:15">
      <c r="A7" s="82">
        <v>2026</v>
      </c>
      <c r="B7" s="82" t="s">
        <v>149</v>
      </c>
      <c r="C7" s="82" t="s">
        <v>151</v>
      </c>
      <c r="D7" s="80">
        <v>69431717</v>
      </c>
      <c r="E7" s="83"/>
      <c r="F7" s="84">
        <f t="shared" si="0"/>
        <v>69431717</v>
      </c>
      <c r="G7" s="83"/>
    </row>
    <row r="8" spans="1:15">
      <c r="A8" s="82">
        <v>2026</v>
      </c>
      <c r="B8" s="82" t="s">
        <v>149</v>
      </c>
      <c r="C8" s="82" t="s">
        <v>152</v>
      </c>
      <c r="D8" s="80">
        <v>18479500</v>
      </c>
      <c r="E8" s="83"/>
      <c r="F8" s="84">
        <f t="shared" si="0"/>
        <v>18479500</v>
      </c>
      <c r="G8" s="83"/>
    </row>
    <row r="9" spans="1:15">
      <c r="A9" s="82">
        <v>2026</v>
      </c>
      <c r="B9" s="82" t="s">
        <v>149</v>
      </c>
      <c r="C9" s="82" t="s">
        <v>153</v>
      </c>
      <c r="D9" s="80">
        <v>22349403</v>
      </c>
      <c r="E9" s="80">
        <f>D9*$O$4</f>
        <v>8688106.9222199991</v>
      </c>
      <c r="F9" s="84">
        <f t="shared" si="0"/>
        <v>31037509.922219999</v>
      </c>
      <c r="G9" s="83"/>
    </row>
    <row r="10" spans="1:15">
      <c r="A10" s="82">
        <v>2026</v>
      </c>
      <c r="B10" s="82" t="s">
        <v>149</v>
      </c>
      <c r="C10" s="82" t="s">
        <v>154</v>
      </c>
      <c r="D10" s="80">
        <v>22044446</v>
      </c>
      <c r="E10" s="80">
        <f>D10*$O$4</f>
        <v>8569557.9380399995</v>
      </c>
      <c r="F10" s="84">
        <f t="shared" si="0"/>
        <v>30614003.938039999</v>
      </c>
      <c r="G10" s="83"/>
    </row>
    <row r="11" spans="1:15">
      <c r="A11" s="82">
        <v>2026</v>
      </c>
      <c r="B11" s="82" t="s">
        <v>149</v>
      </c>
      <c r="C11" s="82" t="s">
        <v>155</v>
      </c>
      <c r="D11" s="80">
        <v>50369716</v>
      </c>
      <c r="E11" s="80"/>
      <c r="F11" s="84"/>
      <c r="G11" s="83" t="s">
        <v>158</v>
      </c>
    </row>
    <row r="12" spans="1:15">
      <c r="A12" s="82">
        <v>2026</v>
      </c>
      <c r="B12" s="83" t="s">
        <v>133</v>
      </c>
      <c r="C12" s="82" t="s">
        <v>151</v>
      </c>
      <c r="D12" s="80">
        <v>67745125</v>
      </c>
      <c r="E12" s="83"/>
      <c r="F12" s="84">
        <f>SUM(D12:E12)</f>
        <v>67745125</v>
      </c>
      <c r="G12" s="83"/>
    </row>
    <row r="13" spans="1:15">
      <c r="A13" s="82">
        <v>2026</v>
      </c>
      <c r="B13" s="83" t="s">
        <v>133</v>
      </c>
      <c r="C13" s="82" t="s">
        <v>152</v>
      </c>
      <c r="D13" s="80">
        <v>22296400</v>
      </c>
      <c r="E13" s="83"/>
      <c r="F13" s="84">
        <f>SUM(D13:E13)</f>
        <v>22296400</v>
      </c>
      <c r="G13" s="83"/>
    </row>
    <row r="14" spans="1:15">
      <c r="A14" s="82">
        <v>2026</v>
      </c>
      <c r="B14" s="83" t="s">
        <v>133</v>
      </c>
      <c r="C14" s="82" t="s">
        <v>153</v>
      </c>
      <c r="D14" s="80">
        <v>24068362</v>
      </c>
      <c r="E14" s="80">
        <f>D14*$O$4</f>
        <v>9356335.0438799988</v>
      </c>
      <c r="F14" s="84">
        <f>SUM(D14:E14)</f>
        <v>33424697.043880001</v>
      </c>
      <c r="G14" s="83"/>
    </row>
    <row r="15" spans="1:15">
      <c r="A15" s="82">
        <v>2026</v>
      </c>
      <c r="B15" s="83" t="s">
        <v>133</v>
      </c>
      <c r="C15" s="82" t="s">
        <v>154</v>
      </c>
      <c r="D15" s="80">
        <v>22308967</v>
      </c>
      <c r="E15" s="80">
        <f>D15*$O$4</f>
        <v>8672387.83158</v>
      </c>
      <c r="F15" s="84">
        <f>SUM(D15:E15)</f>
        <v>30981354.831579998</v>
      </c>
      <c r="G15" s="83"/>
    </row>
    <row r="16" spans="1:15">
      <c r="A16" s="82">
        <v>2026</v>
      </c>
      <c r="B16" s="83" t="s">
        <v>133</v>
      </c>
      <c r="C16" s="82" t="s">
        <v>155</v>
      </c>
      <c r="D16" s="80">
        <f>48922682+166471</f>
        <v>49089153</v>
      </c>
      <c r="E16" s="80"/>
      <c r="F16" s="84"/>
      <c r="G16" s="83" t="s">
        <v>159</v>
      </c>
    </row>
    <row r="17" spans="1:7">
      <c r="A17" s="83">
        <v>2026</v>
      </c>
      <c r="B17" s="83" t="s">
        <v>156</v>
      </c>
      <c r="C17" s="82" t="s">
        <v>151</v>
      </c>
      <c r="D17" s="80">
        <v>65462889</v>
      </c>
      <c r="E17" s="83"/>
      <c r="F17" s="84">
        <f>SUM(D17:E17)</f>
        <v>65462889</v>
      </c>
      <c r="G17" s="83"/>
    </row>
    <row r="18" spans="1:7">
      <c r="A18" s="83">
        <v>2026</v>
      </c>
      <c r="B18" s="83" t="s">
        <v>156</v>
      </c>
      <c r="C18" s="82" t="s">
        <v>152</v>
      </c>
      <c r="D18" s="80">
        <v>19537400</v>
      </c>
      <c r="E18" s="83"/>
      <c r="F18" s="84">
        <f>SUM(D18:E18)</f>
        <v>19537400</v>
      </c>
      <c r="G18" s="83"/>
    </row>
    <row r="19" spans="1:7">
      <c r="A19" s="83">
        <v>2026</v>
      </c>
      <c r="B19" s="83" t="s">
        <v>156</v>
      </c>
      <c r="C19" s="82" t="s">
        <v>153</v>
      </c>
      <c r="D19" s="80">
        <v>19897012</v>
      </c>
      <c r="E19" s="80">
        <f>D19*$O$4</f>
        <v>7734764.4448799994</v>
      </c>
      <c r="F19" s="84">
        <f>SUM(D19:E19)</f>
        <v>27631776.444880001</v>
      </c>
      <c r="G19" s="83"/>
    </row>
    <row r="20" spans="1:7">
      <c r="A20" s="83">
        <v>2026</v>
      </c>
      <c r="B20" s="83" t="s">
        <v>156</v>
      </c>
      <c r="C20" s="82" t="s">
        <v>154</v>
      </c>
      <c r="D20" s="80">
        <v>21447955</v>
      </c>
      <c r="E20" s="80">
        <f>D20*$O$4</f>
        <v>8337678.0266999993</v>
      </c>
      <c r="F20" s="84">
        <f>SUM(D20:E20)</f>
        <v>29785633.026699997</v>
      </c>
      <c r="G20" s="83"/>
    </row>
    <row r="21" spans="1:7">
      <c r="A21" s="83">
        <v>2026</v>
      </c>
      <c r="B21" s="83" t="s">
        <v>156</v>
      </c>
      <c r="C21" s="82" t="s">
        <v>155</v>
      </c>
      <c r="D21" s="80">
        <v>56210831</v>
      </c>
      <c r="E21" s="80"/>
      <c r="F21" s="84"/>
      <c r="G21" s="83" t="s">
        <v>159</v>
      </c>
    </row>
  </sheetData>
  <mergeCells count="1">
    <mergeCell ref="J1:O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C226B-44E0-467C-9421-E63B99DE869B}">
  <dimension ref="A1:T190"/>
  <sheetViews>
    <sheetView topLeftCell="N131" workbookViewId="0">
      <selection activeCell="Q2" sqref="Q2:Q145"/>
    </sheetView>
  </sheetViews>
  <sheetFormatPr baseColWidth="10" defaultRowHeight="15"/>
  <cols>
    <col min="1" max="2" width="11.42578125" style="3"/>
    <col min="3" max="3" width="23.140625" style="3" bestFit="1" customWidth="1"/>
    <col min="4" max="4" width="28.7109375" style="3" bestFit="1" customWidth="1"/>
    <col min="5" max="5" width="27.42578125" style="3" bestFit="1" customWidth="1"/>
    <col min="6" max="14" width="11.42578125" style="3"/>
    <col min="15" max="15" width="12.85546875" style="3" customWidth="1"/>
    <col min="16" max="16" width="14.85546875" style="3" customWidth="1"/>
    <col min="17" max="17" width="15.140625" style="3" customWidth="1"/>
    <col min="18" max="18" width="15" style="3" customWidth="1"/>
    <col min="19" max="19" width="19" style="3" customWidth="1"/>
    <col min="20" max="16384" width="11.42578125" style="3"/>
  </cols>
  <sheetData>
    <row r="1" spans="1:20">
      <c r="A1" s="92" t="s">
        <v>0</v>
      </c>
      <c r="B1" s="92" t="s">
        <v>1</v>
      </c>
      <c r="C1" s="92" t="s">
        <v>177</v>
      </c>
      <c r="D1" s="92" t="s">
        <v>178</v>
      </c>
      <c r="E1" s="92" t="s">
        <v>179</v>
      </c>
      <c r="F1" s="92" t="s">
        <v>180</v>
      </c>
      <c r="G1" s="92" t="s">
        <v>181</v>
      </c>
      <c r="H1" s="93" t="s">
        <v>182</v>
      </c>
      <c r="I1" s="92" t="s">
        <v>183</v>
      </c>
      <c r="J1" s="92" t="s">
        <v>184</v>
      </c>
      <c r="K1" s="92" t="s">
        <v>185</v>
      </c>
      <c r="L1" s="92" t="s">
        <v>186</v>
      </c>
      <c r="M1" s="92" t="s">
        <v>187</v>
      </c>
      <c r="N1" s="94" t="s">
        <v>188</v>
      </c>
      <c r="O1" s="92" t="s">
        <v>189</v>
      </c>
      <c r="P1" s="94" t="s">
        <v>190</v>
      </c>
      <c r="Q1" s="94" t="s">
        <v>191</v>
      </c>
      <c r="R1" s="92" t="s">
        <v>192</v>
      </c>
      <c r="S1" s="92" t="s">
        <v>193</v>
      </c>
    </row>
    <row r="2" spans="1:20">
      <c r="A2" s="3" t="s">
        <v>18</v>
      </c>
      <c r="B2" s="3">
        <v>2026</v>
      </c>
      <c r="C2" s="3">
        <v>1144108129</v>
      </c>
      <c r="D2" s="3" t="s">
        <v>194</v>
      </c>
      <c r="E2" s="3" t="s">
        <v>138</v>
      </c>
      <c r="F2" s="13">
        <v>46144</v>
      </c>
      <c r="G2" s="13">
        <v>46146</v>
      </c>
      <c r="H2" s="95">
        <v>3</v>
      </c>
      <c r="I2" s="3" t="s">
        <v>195</v>
      </c>
      <c r="J2" s="3" t="s">
        <v>196</v>
      </c>
      <c r="K2" s="3" t="s">
        <v>197</v>
      </c>
      <c r="L2" s="13">
        <v>46173</v>
      </c>
      <c r="M2" s="96" t="s">
        <v>198</v>
      </c>
      <c r="N2" s="97">
        <v>1750905</v>
      </c>
      <c r="O2" s="3">
        <v>1</v>
      </c>
      <c r="P2" s="97">
        <v>58363.5</v>
      </c>
      <c r="Q2" s="97"/>
      <c r="R2" s="13"/>
    </row>
    <row r="3" spans="1:20">
      <c r="A3" s="3" t="s">
        <v>18</v>
      </c>
      <c r="B3" s="3">
        <v>2026</v>
      </c>
      <c r="C3" s="3">
        <v>1018481219</v>
      </c>
      <c r="D3" s="3" t="s">
        <v>199</v>
      </c>
      <c r="E3" s="3" t="s">
        <v>138</v>
      </c>
      <c r="F3" s="13">
        <v>46162</v>
      </c>
      <c r="G3" s="13">
        <v>46171</v>
      </c>
      <c r="H3" s="95">
        <v>10</v>
      </c>
      <c r="I3" s="3" t="s">
        <v>200</v>
      </c>
      <c r="J3" s="3" t="s">
        <v>201</v>
      </c>
      <c r="K3" s="3" t="s">
        <v>197</v>
      </c>
      <c r="L3" s="13">
        <v>46173</v>
      </c>
      <c r="N3" s="97">
        <v>1750905</v>
      </c>
      <c r="O3" s="3">
        <v>8</v>
      </c>
      <c r="P3" s="97">
        <v>466908</v>
      </c>
      <c r="Q3" s="97">
        <v>583635</v>
      </c>
      <c r="R3" s="13">
        <v>46189</v>
      </c>
      <c r="S3" s="3" t="s">
        <v>202</v>
      </c>
      <c r="T3" s="98"/>
    </row>
    <row r="4" spans="1:20">
      <c r="A4" s="3" t="s">
        <v>18</v>
      </c>
      <c r="B4" s="3">
        <v>2026</v>
      </c>
      <c r="C4" s="3">
        <v>1018481219</v>
      </c>
      <c r="D4" s="3" t="s">
        <v>199</v>
      </c>
      <c r="E4" s="3" t="s">
        <v>138</v>
      </c>
      <c r="F4" s="13">
        <v>46159</v>
      </c>
      <c r="G4" s="13">
        <v>46161</v>
      </c>
      <c r="H4" s="95">
        <v>3</v>
      </c>
      <c r="I4" s="3" t="s">
        <v>200</v>
      </c>
      <c r="J4" s="3" t="s">
        <v>201</v>
      </c>
      <c r="K4" s="3" t="s">
        <v>197</v>
      </c>
      <c r="L4" s="13">
        <v>46173</v>
      </c>
      <c r="N4" s="97">
        <v>1750905</v>
      </c>
      <c r="O4" s="3">
        <v>1</v>
      </c>
      <c r="P4" s="97">
        <v>58363.5</v>
      </c>
      <c r="Q4" s="97">
        <v>58364</v>
      </c>
      <c r="R4" s="13">
        <v>46189</v>
      </c>
      <c r="S4" s="3" t="s">
        <v>202</v>
      </c>
    </row>
    <row r="5" spans="1:20">
      <c r="A5" s="3" t="s">
        <v>18</v>
      </c>
      <c r="B5" s="3">
        <v>2026</v>
      </c>
      <c r="C5" s="3">
        <v>1016051919</v>
      </c>
      <c r="D5" s="3" t="s">
        <v>203</v>
      </c>
      <c r="E5" s="3" t="s">
        <v>138</v>
      </c>
      <c r="F5" s="13">
        <v>46145</v>
      </c>
      <c r="G5" s="13">
        <v>46156</v>
      </c>
      <c r="H5" s="95">
        <v>12</v>
      </c>
      <c r="I5" s="3" t="s">
        <v>204</v>
      </c>
      <c r="J5" s="3" t="s">
        <v>196</v>
      </c>
      <c r="K5" s="3" t="s">
        <v>197</v>
      </c>
      <c r="L5" s="13">
        <v>46173</v>
      </c>
      <c r="M5" s="96" t="s">
        <v>205</v>
      </c>
      <c r="N5" s="97">
        <v>2110000</v>
      </c>
      <c r="O5" s="3">
        <v>10</v>
      </c>
      <c r="P5" s="97">
        <v>583635</v>
      </c>
      <c r="Q5" s="97">
        <v>583635</v>
      </c>
      <c r="R5" s="13">
        <v>46185</v>
      </c>
      <c r="S5" s="3" t="s">
        <v>202</v>
      </c>
    </row>
    <row r="6" spans="1:20">
      <c r="A6" s="3" t="s">
        <v>18</v>
      </c>
      <c r="B6" s="3">
        <v>2026</v>
      </c>
      <c r="C6" s="3">
        <v>1024523886</v>
      </c>
      <c r="D6" s="3" t="s">
        <v>206</v>
      </c>
      <c r="E6" s="3" t="s">
        <v>138</v>
      </c>
      <c r="F6" s="13">
        <v>46147</v>
      </c>
      <c r="G6" s="13">
        <v>46149</v>
      </c>
      <c r="H6" s="95">
        <v>3</v>
      </c>
      <c r="I6" s="3" t="s">
        <v>204</v>
      </c>
      <c r="J6" s="3" t="s">
        <v>196</v>
      </c>
      <c r="K6" s="3" t="s">
        <v>197</v>
      </c>
      <c r="L6" s="13">
        <v>46173</v>
      </c>
      <c r="M6" s="3" t="s">
        <v>205</v>
      </c>
      <c r="N6" s="97">
        <v>1750905</v>
      </c>
      <c r="O6" s="3">
        <v>1</v>
      </c>
      <c r="P6" s="97">
        <v>58363.5</v>
      </c>
      <c r="Q6" s="97"/>
    </row>
    <row r="7" spans="1:20">
      <c r="A7" s="3" t="s">
        <v>18</v>
      </c>
      <c r="B7" s="3">
        <v>2026</v>
      </c>
      <c r="C7" s="3">
        <v>1143972724</v>
      </c>
      <c r="D7" s="3" t="s">
        <v>207</v>
      </c>
      <c r="E7" s="3" t="s">
        <v>136</v>
      </c>
      <c r="F7" s="13">
        <v>46138</v>
      </c>
      <c r="G7" s="13">
        <v>46140</v>
      </c>
      <c r="H7" s="95">
        <v>3</v>
      </c>
      <c r="I7" s="3" t="s">
        <v>208</v>
      </c>
      <c r="J7" s="3" t="s">
        <v>209</v>
      </c>
      <c r="K7" s="3" t="s">
        <v>197</v>
      </c>
      <c r="L7" s="13">
        <v>46173</v>
      </c>
      <c r="N7" s="97">
        <v>1750905</v>
      </c>
      <c r="O7" s="3">
        <v>3</v>
      </c>
      <c r="P7" s="97">
        <v>210984</v>
      </c>
      <c r="Q7" s="97">
        <v>210984</v>
      </c>
      <c r="R7" s="13">
        <v>46184</v>
      </c>
      <c r="S7" s="3" t="s">
        <v>202</v>
      </c>
    </row>
    <row r="8" spans="1:20">
      <c r="A8" s="3" t="s">
        <v>18</v>
      </c>
      <c r="B8" s="3">
        <v>2026</v>
      </c>
      <c r="C8" s="3">
        <v>1024560775</v>
      </c>
      <c r="D8" s="3" t="s">
        <v>210</v>
      </c>
      <c r="E8" s="3" t="s">
        <v>138</v>
      </c>
      <c r="F8" s="13">
        <v>46158</v>
      </c>
      <c r="G8" s="13">
        <v>46160</v>
      </c>
      <c r="H8" s="95">
        <v>3</v>
      </c>
      <c r="I8" s="3" t="s">
        <v>211</v>
      </c>
      <c r="J8" s="3" t="s">
        <v>212</v>
      </c>
      <c r="K8" s="3" t="s">
        <v>197</v>
      </c>
      <c r="L8" s="13">
        <v>46173</v>
      </c>
      <c r="N8" s="97">
        <v>1750905</v>
      </c>
      <c r="O8" s="3">
        <v>1</v>
      </c>
      <c r="P8" s="97">
        <v>58363.5</v>
      </c>
      <c r="Q8" s="97"/>
    </row>
    <row r="9" spans="1:20">
      <c r="A9" s="3" t="s">
        <v>18</v>
      </c>
      <c r="B9" s="3">
        <v>2026</v>
      </c>
      <c r="C9" s="3">
        <v>1055750969</v>
      </c>
      <c r="D9" s="3" t="s">
        <v>213</v>
      </c>
      <c r="E9" s="3" t="s">
        <v>138</v>
      </c>
      <c r="F9" s="13">
        <v>46163</v>
      </c>
      <c r="G9" s="13">
        <v>46166</v>
      </c>
      <c r="H9" s="95">
        <v>4</v>
      </c>
      <c r="I9" s="3" t="s">
        <v>211</v>
      </c>
      <c r="J9" s="3" t="s">
        <v>214</v>
      </c>
      <c r="K9" s="3" t="s">
        <v>197</v>
      </c>
      <c r="L9" s="13">
        <v>46173</v>
      </c>
      <c r="N9" s="97">
        <v>1750905</v>
      </c>
      <c r="O9" s="3">
        <v>2</v>
      </c>
      <c r="P9" s="97">
        <v>116727</v>
      </c>
      <c r="Q9" s="97"/>
    </row>
    <row r="10" spans="1:20">
      <c r="A10" s="3" t="s">
        <v>18</v>
      </c>
      <c r="B10" s="3">
        <v>2026</v>
      </c>
      <c r="C10" s="3">
        <v>1111539360</v>
      </c>
      <c r="D10" s="3" t="s">
        <v>215</v>
      </c>
      <c r="E10" s="3" t="s">
        <v>138</v>
      </c>
      <c r="F10" s="13">
        <v>46161</v>
      </c>
      <c r="G10" s="13">
        <v>46175</v>
      </c>
      <c r="H10" s="95">
        <v>15</v>
      </c>
      <c r="I10" s="3" t="s">
        <v>216</v>
      </c>
      <c r="J10" s="3" t="s">
        <v>217</v>
      </c>
      <c r="K10" s="3" t="s">
        <v>197</v>
      </c>
      <c r="L10" s="13">
        <v>46173</v>
      </c>
      <c r="N10" s="97">
        <v>1750905</v>
      </c>
      <c r="O10" s="3">
        <v>13</v>
      </c>
      <c r="P10" s="97">
        <v>758725.5</v>
      </c>
      <c r="Q10" s="97"/>
    </row>
    <row r="11" spans="1:20">
      <c r="A11" s="3" t="s">
        <v>18</v>
      </c>
      <c r="B11" s="3">
        <v>2026</v>
      </c>
      <c r="C11" s="3">
        <v>1004774963</v>
      </c>
      <c r="D11" s="3" t="s">
        <v>218</v>
      </c>
      <c r="E11" s="3" t="s">
        <v>138</v>
      </c>
      <c r="F11" s="13">
        <v>46165</v>
      </c>
      <c r="G11" s="13">
        <v>46168</v>
      </c>
      <c r="H11" s="95">
        <v>4</v>
      </c>
      <c r="I11" s="3" t="s">
        <v>219</v>
      </c>
      <c r="J11" s="3" t="s">
        <v>220</v>
      </c>
      <c r="K11" s="3" t="s">
        <v>197</v>
      </c>
      <c r="L11" s="13">
        <v>46170</v>
      </c>
      <c r="N11" s="97">
        <v>1750905</v>
      </c>
      <c r="O11" s="3">
        <v>2</v>
      </c>
      <c r="P11" s="97">
        <v>116727</v>
      </c>
      <c r="Q11" s="97"/>
    </row>
    <row r="12" spans="1:20">
      <c r="A12" s="3" t="s">
        <v>18</v>
      </c>
      <c r="B12" s="3">
        <v>2026</v>
      </c>
      <c r="C12" s="3">
        <v>1143427761</v>
      </c>
      <c r="D12" s="3" t="s">
        <v>221</v>
      </c>
      <c r="E12" s="3" t="s">
        <v>138</v>
      </c>
      <c r="F12" s="13">
        <v>46157</v>
      </c>
      <c r="G12" s="13">
        <v>46163</v>
      </c>
      <c r="H12" s="95">
        <v>7</v>
      </c>
      <c r="I12" s="3" t="s">
        <v>219</v>
      </c>
      <c r="J12" s="3" t="s">
        <v>222</v>
      </c>
      <c r="K12" s="3" t="s">
        <v>197</v>
      </c>
      <c r="L12" s="13">
        <v>46170</v>
      </c>
      <c r="N12" s="97">
        <v>1750905</v>
      </c>
      <c r="O12" s="3">
        <v>5</v>
      </c>
      <c r="P12" s="97">
        <v>291817.5</v>
      </c>
      <c r="Q12" s="97">
        <v>408545</v>
      </c>
      <c r="R12" s="13">
        <v>46183</v>
      </c>
      <c r="S12" s="3" t="s">
        <v>202</v>
      </c>
    </row>
    <row r="13" spans="1:20">
      <c r="A13" s="3" t="s">
        <v>18</v>
      </c>
      <c r="B13" s="3">
        <v>2026</v>
      </c>
      <c r="C13" s="3">
        <v>1001005095</v>
      </c>
      <c r="D13" s="3" t="s">
        <v>223</v>
      </c>
      <c r="E13" s="3" t="s">
        <v>138</v>
      </c>
      <c r="F13" s="13">
        <v>46160</v>
      </c>
      <c r="G13" s="13">
        <v>46162</v>
      </c>
      <c r="H13" s="95">
        <v>3</v>
      </c>
      <c r="I13" s="3" t="s">
        <v>219</v>
      </c>
      <c r="J13" s="3" t="s">
        <v>220</v>
      </c>
      <c r="K13" s="3" t="s">
        <v>197</v>
      </c>
      <c r="L13" s="13">
        <v>46170</v>
      </c>
      <c r="M13" s="3" t="s">
        <v>224</v>
      </c>
      <c r="N13" s="97">
        <v>1750905</v>
      </c>
      <c r="O13" s="3">
        <v>1</v>
      </c>
      <c r="P13" s="97">
        <v>58363.5</v>
      </c>
      <c r="Q13" s="97"/>
    </row>
    <row r="14" spans="1:20">
      <c r="A14" s="3" t="s">
        <v>18</v>
      </c>
      <c r="B14" s="3">
        <v>2026</v>
      </c>
      <c r="C14" s="3">
        <v>1094289725</v>
      </c>
      <c r="D14" s="3" t="s">
        <v>225</v>
      </c>
      <c r="E14" s="3" t="s">
        <v>136</v>
      </c>
      <c r="F14" s="13">
        <v>46154</v>
      </c>
      <c r="G14" s="13">
        <v>46156</v>
      </c>
      <c r="H14" s="95">
        <v>3</v>
      </c>
      <c r="I14" s="3" t="s">
        <v>208</v>
      </c>
      <c r="J14" s="3" t="s">
        <v>226</v>
      </c>
      <c r="K14" s="3" t="s">
        <v>197</v>
      </c>
      <c r="L14" s="13">
        <v>46173</v>
      </c>
      <c r="N14" s="97">
        <v>1750905</v>
      </c>
      <c r="O14" s="3">
        <v>3</v>
      </c>
      <c r="P14" s="97">
        <v>178251</v>
      </c>
      <c r="Q14" s="97">
        <v>178251</v>
      </c>
      <c r="R14" s="13">
        <v>46184</v>
      </c>
      <c r="S14" s="3" t="s">
        <v>202</v>
      </c>
    </row>
    <row r="15" spans="1:20">
      <c r="A15" s="3" t="s">
        <v>18</v>
      </c>
      <c r="B15" s="3">
        <v>2026</v>
      </c>
      <c r="C15" s="3">
        <v>1143427761</v>
      </c>
      <c r="D15" s="3" t="s">
        <v>221</v>
      </c>
      <c r="E15" s="3" t="s">
        <v>138</v>
      </c>
      <c r="F15" s="13">
        <v>46164</v>
      </c>
      <c r="G15" s="13">
        <v>46170</v>
      </c>
      <c r="H15" s="95">
        <v>7</v>
      </c>
      <c r="I15" s="3" t="s">
        <v>219</v>
      </c>
      <c r="J15" s="3" t="s">
        <v>227</v>
      </c>
      <c r="K15" s="3" t="s">
        <v>197</v>
      </c>
      <c r="L15" s="13">
        <v>46170</v>
      </c>
      <c r="N15" s="97">
        <v>1750905</v>
      </c>
      <c r="O15" s="3">
        <v>5</v>
      </c>
      <c r="P15" s="97">
        <v>291817.5</v>
      </c>
      <c r="Q15" s="97">
        <v>408545</v>
      </c>
      <c r="R15" s="13">
        <v>46183</v>
      </c>
      <c r="S15" s="3" t="s">
        <v>202</v>
      </c>
    </row>
    <row r="16" spans="1:20">
      <c r="A16" s="3" t="s">
        <v>18</v>
      </c>
      <c r="B16" s="3">
        <v>2026</v>
      </c>
      <c r="C16" s="3">
        <v>1234190993</v>
      </c>
      <c r="D16" s="3" t="s">
        <v>228</v>
      </c>
      <c r="E16" s="3" t="s">
        <v>136</v>
      </c>
      <c r="F16" s="13">
        <v>46156</v>
      </c>
      <c r="G16" s="13">
        <v>46159</v>
      </c>
      <c r="H16" s="95">
        <v>4</v>
      </c>
      <c r="I16" s="3" t="s">
        <v>208</v>
      </c>
      <c r="J16" s="3" t="s">
        <v>229</v>
      </c>
      <c r="K16" s="3" t="s">
        <v>197</v>
      </c>
      <c r="L16" s="13">
        <v>46173</v>
      </c>
      <c r="N16" s="97">
        <v>1750905</v>
      </c>
      <c r="O16" s="3">
        <v>4</v>
      </c>
      <c r="P16" s="97">
        <v>262708</v>
      </c>
      <c r="Q16" s="97">
        <v>262708</v>
      </c>
      <c r="R16" s="13">
        <v>46184</v>
      </c>
      <c r="S16" s="3" t="s">
        <v>202</v>
      </c>
    </row>
    <row r="17" spans="1:19">
      <c r="A17" s="3" t="s">
        <v>18</v>
      </c>
      <c r="B17" s="3">
        <v>2026</v>
      </c>
      <c r="C17" s="3">
        <v>1000413322</v>
      </c>
      <c r="D17" s="3" t="s">
        <v>230</v>
      </c>
      <c r="E17" s="3" t="s">
        <v>136</v>
      </c>
      <c r="F17" s="13">
        <v>46157</v>
      </c>
      <c r="G17" s="13">
        <v>46163</v>
      </c>
      <c r="H17" s="95">
        <v>7</v>
      </c>
      <c r="I17" s="3" t="s">
        <v>208</v>
      </c>
      <c r="J17" s="3" t="s">
        <v>231</v>
      </c>
      <c r="K17" s="3" t="s">
        <v>197</v>
      </c>
      <c r="L17" s="13">
        <v>46173</v>
      </c>
      <c r="N17" s="97">
        <v>1750905</v>
      </c>
      <c r="O17" s="3">
        <v>5</v>
      </c>
      <c r="P17" s="97">
        <v>492296</v>
      </c>
      <c r="Q17" s="97">
        <v>492296</v>
      </c>
      <c r="R17" s="13">
        <v>46184</v>
      </c>
      <c r="S17" s="3" t="s">
        <v>202</v>
      </c>
    </row>
    <row r="18" spans="1:19">
      <c r="A18" s="3" t="s">
        <v>18</v>
      </c>
      <c r="B18" s="3">
        <v>2026</v>
      </c>
      <c r="C18" s="3">
        <v>1193263264</v>
      </c>
      <c r="D18" s="3" t="s">
        <v>232</v>
      </c>
      <c r="E18" s="3" t="s">
        <v>138</v>
      </c>
      <c r="F18" s="13">
        <v>46165</v>
      </c>
      <c r="G18" s="13">
        <v>46167</v>
      </c>
      <c r="H18" s="95">
        <v>3</v>
      </c>
      <c r="I18" s="3" t="s">
        <v>233</v>
      </c>
      <c r="J18" s="3" t="s">
        <v>234</v>
      </c>
      <c r="K18" s="3" t="s">
        <v>197</v>
      </c>
      <c r="L18" s="13">
        <v>46170</v>
      </c>
      <c r="N18" s="97">
        <v>1750905</v>
      </c>
      <c r="O18" s="3">
        <v>1</v>
      </c>
      <c r="P18" s="97">
        <v>58363.5</v>
      </c>
      <c r="Q18" s="97"/>
    </row>
    <row r="19" spans="1:19">
      <c r="A19" s="3" t="s">
        <v>18</v>
      </c>
      <c r="B19" s="3">
        <v>2026</v>
      </c>
      <c r="C19" s="3">
        <v>1143958740</v>
      </c>
      <c r="D19" s="3" t="s">
        <v>235</v>
      </c>
      <c r="E19" s="3" t="s">
        <v>136</v>
      </c>
      <c r="F19" s="13">
        <v>46158</v>
      </c>
      <c r="G19" s="13">
        <v>46160</v>
      </c>
      <c r="H19" s="95">
        <v>3</v>
      </c>
      <c r="I19" s="3" t="s">
        <v>208</v>
      </c>
      <c r="J19" s="3" t="s">
        <v>236</v>
      </c>
      <c r="K19" s="3" t="s">
        <v>197</v>
      </c>
      <c r="L19" s="13">
        <v>46173</v>
      </c>
      <c r="N19" s="97">
        <v>1750905</v>
      </c>
      <c r="O19" s="3">
        <v>3</v>
      </c>
      <c r="P19" s="97">
        <v>174132</v>
      </c>
      <c r="Q19" s="97">
        <v>174132</v>
      </c>
      <c r="R19" s="13">
        <v>46184</v>
      </c>
      <c r="S19" s="3" t="s">
        <v>202</v>
      </c>
    </row>
    <row r="20" spans="1:19">
      <c r="A20" s="3" t="s">
        <v>18</v>
      </c>
      <c r="B20" s="3">
        <v>2026</v>
      </c>
      <c r="C20" s="3">
        <v>1143427761</v>
      </c>
      <c r="D20" s="3" t="s">
        <v>221</v>
      </c>
      <c r="E20" s="3" t="s">
        <v>138</v>
      </c>
      <c r="F20" s="13">
        <v>46143</v>
      </c>
      <c r="G20" s="13">
        <v>46149</v>
      </c>
      <c r="H20" s="95">
        <v>7</v>
      </c>
      <c r="I20" s="3" t="s">
        <v>219</v>
      </c>
      <c r="J20" s="3" t="s">
        <v>237</v>
      </c>
      <c r="K20" s="3" t="s">
        <v>197</v>
      </c>
      <c r="L20" s="13">
        <v>46170</v>
      </c>
      <c r="N20" s="97">
        <v>1750905</v>
      </c>
      <c r="O20" s="3">
        <v>5</v>
      </c>
      <c r="P20" s="97">
        <v>291817.5</v>
      </c>
      <c r="Q20" s="97">
        <v>408545</v>
      </c>
      <c r="R20" s="13">
        <v>46183</v>
      </c>
      <c r="S20" s="3" t="s">
        <v>202</v>
      </c>
    </row>
    <row r="21" spans="1:19">
      <c r="A21" s="3" t="s">
        <v>18</v>
      </c>
      <c r="B21" s="3">
        <v>2026</v>
      </c>
      <c r="C21" s="3">
        <v>1143427761</v>
      </c>
      <c r="D21" s="3" t="s">
        <v>221</v>
      </c>
      <c r="E21" s="3" t="s">
        <v>138</v>
      </c>
      <c r="F21" s="13">
        <v>46150</v>
      </c>
      <c r="G21" s="13">
        <v>46156</v>
      </c>
      <c r="H21" s="95">
        <v>7</v>
      </c>
      <c r="I21" s="3" t="s">
        <v>219</v>
      </c>
      <c r="J21" s="3" t="s">
        <v>238</v>
      </c>
      <c r="K21" s="3" t="s">
        <v>197</v>
      </c>
      <c r="L21" s="13">
        <v>46170</v>
      </c>
      <c r="N21" s="97">
        <v>1750905</v>
      </c>
      <c r="O21" s="3">
        <v>5</v>
      </c>
      <c r="P21" s="97">
        <v>291817.5</v>
      </c>
      <c r="Q21" s="97">
        <v>408545</v>
      </c>
      <c r="R21" s="13">
        <v>46183</v>
      </c>
      <c r="S21" s="3" t="s">
        <v>202</v>
      </c>
    </row>
    <row r="22" spans="1:19">
      <c r="A22" s="3" t="s">
        <v>18</v>
      </c>
      <c r="B22" s="3">
        <v>2026</v>
      </c>
      <c r="C22" s="3">
        <v>1111539998</v>
      </c>
      <c r="D22" s="3" t="s">
        <v>239</v>
      </c>
      <c r="E22" s="3" t="s">
        <v>138</v>
      </c>
      <c r="F22" s="13">
        <v>46131</v>
      </c>
      <c r="G22" s="13">
        <v>46137</v>
      </c>
      <c r="H22" s="95">
        <v>7</v>
      </c>
      <c r="I22" s="3" t="s">
        <v>240</v>
      </c>
      <c r="J22" s="3" t="s">
        <v>241</v>
      </c>
      <c r="K22" s="3" t="s">
        <v>197</v>
      </c>
      <c r="L22" s="13">
        <v>46173</v>
      </c>
      <c r="N22" s="97">
        <v>1750905</v>
      </c>
      <c r="O22" s="3">
        <v>5</v>
      </c>
      <c r="P22" s="97">
        <v>291817.5</v>
      </c>
      <c r="Q22" s="97">
        <v>291818</v>
      </c>
      <c r="R22" s="13">
        <v>46204</v>
      </c>
      <c r="S22" s="3" t="s">
        <v>202</v>
      </c>
    </row>
    <row r="23" spans="1:19">
      <c r="A23" s="3" t="s">
        <v>18</v>
      </c>
      <c r="B23" s="3">
        <v>2026</v>
      </c>
      <c r="C23" s="3">
        <v>1111539998</v>
      </c>
      <c r="D23" s="3" t="s">
        <v>239</v>
      </c>
      <c r="E23" s="3" t="s">
        <v>138</v>
      </c>
      <c r="F23" s="13">
        <v>46142</v>
      </c>
      <c r="G23" s="13">
        <v>46148</v>
      </c>
      <c r="H23" s="95">
        <v>7</v>
      </c>
      <c r="I23" s="3" t="s">
        <v>240</v>
      </c>
      <c r="J23" s="3" t="s">
        <v>242</v>
      </c>
      <c r="K23" s="3" t="s">
        <v>197</v>
      </c>
      <c r="L23" s="13">
        <v>46173</v>
      </c>
      <c r="N23" s="97">
        <v>1750905</v>
      </c>
      <c r="O23" s="3">
        <v>5</v>
      </c>
      <c r="P23" s="97">
        <v>291817.5</v>
      </c>
      <c r="Q23" s="97">
        <v>408545</v>
      </c>
      <c r="R23" s="13">
        <v>46204</v>
      </c>
      <c r="S23" s="3" t="s">
        <v>202</v>
      </c>
    </row>
    <row r="24" spans="1:19">
      <c r="A24" s="3" t="s">
        <v>18</v>
      </c>
      <c r="B24" s="3">
        <v>2026</v>
      </c>
      <c r="C24" s="3">
        <v>1111539998</v>
      </c>
      <c r="D24" s="3" t="s">
        <v>239</v>
      </c>
      <c r="E24" s="3" t="s">
        <v>138</v>
      </c>
      <c r="F24" s="13">
        <v>46150</v>
      </c>
      <c r="G24" s="13">
        <v>46154</v>
      </c>
      <c r="H24" s="95">
        <v>5</v>
      </c>
      <c r="I24" s="3" t="s">
        <v>240</v>
      </c>
      <c r="J24" s="3" t="s">
        <v>243</v>
      </c>
      <c r="K24" s="3" t="s">
        <v>197</v>
      </c>
      <c r="L24" s="13">
        <v>46173</v>
      </c>
      <c r="N24" s="97">
        <v>1750905</v>
      </c>
      <c r="O24" s="3">
        <v>3</v>
      </c>
      <c r="P24" s="97">
        <v>175090.5</v>
      </c>
      <c r="Q24" s="97">
        <v>291818</v>
      </c>
      <c r="R24" s="13">
        <v>46204</v>
      </c>
      <c r="S24" s="3" t="s">
        <v>202</v>
      </c>
    </row>
    <row r="25" spans="1:19">
      <c r="A25" s="3" t="s">
        <v>18</v>
      </c>
      <c r="B25" s="3">
        <v>2026</v>
      </c>
      <c r="C25" s="3">
        <v>1111539998</v>
      </c>
      <c r="D25" s="3" t="s">
        <v>239</v>
      </c>
      <c r="E25" s="3" t="s">
        <v>138</v>
      </c>
      <c r="F25" s="13">
        <v>46155</v>
      </c>
      <c r="G25" s="13">
        <v>46167</v>
      </c>
      <c r="H25" s="95">
        <v>13</v>
      </c>
      <c r="I25" s="3" t="s">
        <v>240</v>
      </c>
      <c r="J25" s="3" t="s">
        <v>244</v>
      </c>
      <c r="K25" s="3" t="s">
        <v>197</v>
      </c>
      <c r="L25" s="13">
        <v>46173</v>
      </c>
      <c r="N25" s="97">
        <v>1750905</v>
      </c>
      <c r="O25" s="3">
        <v>11</v>
      </c>
      <c r="P25" s="97">
        <v>641998.5</v>
      </c>
      <c r="Q25" s="97">
        <v>875453</v>
      </c>
      <c r="R25" s="13">
        <v>46204</v>
      </c>
      <c r="S25" s="3" t="s">
        <v>202</v>
      </c>
    </row>
    <row r="26" spans="1:19">
      <c r="A26" s="3" t="s">
        <v>18</v>
      </c>
      <c r="B26" s="3">
        <v>2026</v>
      </c>
      <c r="C26" s="3">
        <v>1001774476</v>
      </c>
      <c r="D26" s="3" t="s">
        <v>245</v>
      </c>
      <c r="E26" s="3" t="s">
        <v>138</v>
      </c>
      <c r="F26" s="13">
        <v>46164</v>
      </c>
      <c r="G26" s="13">
        <v>46166</v>
      </c>
      <c r="H26" s="95">
        <v>3</v>
      </c>
      <c r="I26" s="3" t="s">
        <v>240</v>
      </c>
      <c r="J26" s="3" t="s">
        <v>246</v>
      </c>
      <c r="K26" s="3" t="s">
        <v>197</v>
      </c>
      <c r="L26" s="13">
        <v>46173</v>
      </c>
      <c r="N26" s="97">
        <v>1750905</v>
      </c>
      <c r="O26" s="3">
        <v>1</v>
      </c>
      <c r="P26" s="97">
        <v>58363.5</v>
      </c>
      <c r="Q26" s="97">
        <v>58364</v>
      </c>
      <c r="R26" s="13">
        <v>46204</v>
      </c>
      <c r="S26" s="3" t="s">
        <v>202</v>
      </c>
    </row>
    <row r="27" spans="1:19">
      <c r="A27" s="3" t="s">
        <v>18</v>
      </c>
      <c r="B27" s="3">
        <v>2026</v>
      </c>
      <c r="C27" s="3">
        <v>1007524718</v>
      </c>
      <c r="D27" s="3" t="s">
        <v>247</v>
      </c>
      <c r="E27" s="3" t="s">
        <v>138</v>
      </c>
      <c r="F27" s="13">
        <v>46157</v>
      </c>
      <c r="G27" s="13">
        <v>46159</v>
      </c>
      <c r="H27" s="95">
        <v>3</v>
      </c>
      <c r="I27" s="3" t="s">
        <v>233</v>
      </c>
      <c r="J27" s="3" t="s">
        <v>248</v>
      </c>
      <c r="K27" s="3" t="s">
        <v>197</v>
      </c>
      <c r="L27" s="13">
        <v>46170</v>
      </c>
      <c r="N27" s="97">
        <v>1750905</v>
      </c>
      <c r="O27" s="3">
        <v>1</v>
      </c>
      <c r="P27" s="97">
        <v>58363.5</v>
      </c>
      <c r="Q27" s="97">
        <v>58364</v>
      </c>
      <c r="R27" s="13">
        <v>46213</v>
      </c>
      <c r="S27" s="3" t="s">
        <v>202</v>
      </c>
    </row>
    <row r="28" spans="1:19">
      <c r="A28" s="3" t="s">
        <v>18</v>
      </c>
      <c r="B28" s="3">
        <v>2026</v>
      </c>
      <c r="C28" s="3">
        <v>1192732878</v>
      </c>
      <c r="D28" s="3" t="s">
        <v>249</v>
      </c>
      <c r="E28" s="3" t="s">
        <v>138</v>
      </c>
      <c r="F28" s="13">
        <v>46160</v>
      </c>
      <c r="G28" s="13">
        <v>46162</v>
      </c>
      <c r="H28" s="95">
        <v>3</v>
      </c>
      <c r="I28" s="3" t="s">
        <v>233</v>
      </c>
      <c r="J28" s="3" t="s">
        <v>250</v>
      </c>
      <c r="K28" s="3" t="s">
        <v>197</v>
      </c>
      <c r="L28" s="13">
        <v>46170</v>
      </c>
      <c r="N28" s="97">
        <v>1750905</v>
      </c>
      <c r="O28" s="3">
        <v>1</v>
      </c>
      <c r="P28" s="97">
        <v>58363.5</v>
      </c>
      <c r="Q28" s="97"/>
    </row>
    <row r="29" spans="1:19">
      <c r="A29" s="3" t="s">
        <v>18</v>
      </c>
      <c r="B29" s="3">
        <v>2026</v>
      </c>
      <c r="C29" s="3">
        <v>1143451286</v>
      </c>
      <c r="D29" s="3" t="s">
        <v>251</v>
      </c>
      <c r="E29" s="3" t="s">
        <v>136</v>
      </c>
      <c r="F29" s="13">
        <v>46163</v>
      </c>
      <c r="G29" s="13">
        <v>46166</v>
      </c>
      <c r="H29" s="95">
        <v>4</v>
      </c>
      <c r="I29" s="3" t="s">
        <v>208</v>
      </c>
      <c r="J29" s="3" t="s">
        <v>252</v>
      </c>
      <c r="K29" s="3" t="s">
        <v>197</v>
      </c>
      <c r="L29" s="13">
        <v>46173</v>
      </c>
      <c r="N29" s="97">
        <v>1750905</v>
      </c>
      <c r="O29" s="3">
        <v>4</v>
      </c>
      <c r="P29" s="97">
        <v>213502</v>
      </c>
      <c r="Q29" s="97">
        <v>213502</v>
      </c>
      <c r="R29" s="13">
        <v>46184</v>
      </c>
      <c r="S29" s="3" t="s">
        <v>202</v>
      </c>
    </row>
    <row r="30" spans="1:19">
      <c r="A30" s="3" t="s">
        <v>18</v>
      </c>
      <c r="B30" s="3">
        <v>2026</v>
      </c>
      <c r="C30" s="3">
        <v>1007145275</v>
      </c>
      <c r="D30" s="3" t="s">
        <v>253</v>
      </c>
      <c r="E30" s="3" t="s">
        <v>138</v>
      </c>
      <c r="F30" s="13">
        <v>46142</v>
      </c>
      <c r="G30" s="13">
        <v>46145</v>
      </c>
      <c r="H30" s="95">
        <v>4</v>
      </c>
      <c r="I30" s="3" t="s">
        <v>233</v>
      </c>
      <c r="J30" s="3" t="s">
        <v>254</v>
      </c>
      <c r="K30" s="3" t="s">
        <v>197</v>
      </c>
      <c r="L30" s="13">
        <v>46173</v>
      </c>
      <c r="N30" s="97">
        <v>1750905</v>
      </c>
      <c r="O30" s="3">
        <v>2</v>
      </c>
      <c r="P30" s="97">
        <v>116727</v>
      </c>
      <c r="Q30" s="97"/>
    </row>
    <row r="31" spans="1:19">
      <c r="A31" s="3" t="s">
        <v>18</v>
      </c>
      <c r="B31" s="3">
        <v>2026</v>
      </c>
      <c r="C31" s="3">
        <v>1152697576</v>
      </c>
      <c r="D31" s="3" t="s">
        <v>255</v>
      </c>
      <c r="E31" s="3" t="s">
        <v>138</v>
      </c>
      <c r="F31" s="13">
        <v>46142</v>
      </c>
      <c r="G31" s="13">
        <v>46144</v>
      </c>
      <c r="H31" s="95">
        <v>3</v>
      </c>
      <c r="I31" s="3" t="s">
        <v>233</v>
      </c>
      <c r="J31" s="3" t="s">
        <v>256</v>
      </c>
      <c r="K31" s="3" t="s">
        <v>197</v>
      </c>
      <c r="L31" s="13">
        <v>46173</v>
      </c>
      <c r="N31" s="97">
        <v>1750905</v>
      </c>
      <c r="O31" s="3">
        <v>1</v>
      </c>
      <c r="P31" s="97">
        <v>58363.5</v>
      </c>
      <c r="Q31" s="97">
        <v>58364</v>
      </c>
      <c r="R31" s="13">
        <v>46255</v>
      </c>
    </row>
    <row r="32" spans="1:19">
      <c r="A32" s="3" t="s">
        <v>18</v>
      </c>
      <c r="B32" s="3">
        <v>2026</v>
      </c>
      <c r="C32" s="3">
        <v>1127579827</v>
      </c>
      <c r="D32" s="3" t="s">
        <v>257</v>
      </c>
      <c r="E32" s="3" t="s">
        <v>138</v>
      </c>
      <c r="F32" s="13">
        <v>46157</v>
      </c>
      <c r="G32" s="13">
        <v>46159</v>
      </c>
      <c r="H32" s="95">
        <v>3</v>
      </c>
      <c r="I32" s="3" t="s">
        <v>233</v>
      </c>
      <c r="J32" s="3" t="s">
        <v>258</v>
      </c>
      <c r="K32" s="3" t="s">
        <v>197</v>
      </c>
      <c r="L32" s="13">
        <v>46173</v>
      </c>
      <c r="N32" s="97">
        <v>1750905</v>
      </c>
      <c r="O32" s="3">
        <v>1</v>
      </c>
      <c r="P32" s="97">
        <v>58363.5</v>
      </c>
      <c r="Q32" s="97"/>
    </row>
    <row r="33" spans="1:19">
      <c r="A33" s="3" t="s">
        <v>18</v>
      </c>
      <c r="B33" s="3">
        <v>2026</v>
      </c>
      <c r="C33" s="3">
        <v>1126904211</v>
      </c>
      <c r="D33" s="3" t="s">
        <v>259</v>
      </c>
      <c r="E33" s="3" t="s">
        <v>136</v>
      </c>
      <c r="F33" s="13">
        <v>46166</v>
      </c>
      <c r="G33" s="13">
        <v>46167</v>
      </c>
      <c r="H33" s="95">
        <v>2</v>
      </c>
      <c r="I33" s="3" t="s">
        <v>208</v>
      </c>
      <c r="J33" s="3" t="s">
        <v>260</v>
      </c>
      <c r="K33" s="3" t="s">
        <v>197</v>
      </c>
      <c r="L33" s="13">
        <v>46173</v>
      </c>
      <c r="N33" s="97">
        <v>1750905</v>
      </c>
      <c r="O33" s="3">
        <v>2</v>
      </c>
      <c r="P33" s="97">
        <v>116727</v>
      </c>
      <c r="Q33" s="97"/>
      <c r="R33" s="13"/>
    </row>
    <row r="34" spans="1:19">
      <c r="A34" s="3" t="s">
        <v>18</v>
      </c>
      <c r="B34" s="3">
        <v>2026</v>
      </c>
      <c r="C34" s="3">
        <v>1077429561</v>
      </c>
      <c r="D34" s="3" t="s">
        <v>261</v>
      </c>
      <c r="E34" s="3" t="s">
        <v>138</v>
      </c>
      <c r="F34" s="13">
        <v>46154</v>
      </c>
      <c r="G34" s="13">
        <v>46183</v>
      </c>
      <c r="H34" s="95">
        <v>30</v>
      </c>
      <c r="I34" s="3" t="s">
        <v>233</v>
      </c>
      <c r="J34" s="3" t="s">
        <v>262</v>
      </c>
      <c r="K34" s="3" t="s">
        <v>197</v>
      </c>
      <c r="L34" s="13">
        <v>46173</v>
      </c>
      <c r="N34" s="97">
        <v>1750905</v>
      </c>
      <c r="O34" s="3">
        <v>28</v>
      </c>
      <c r="P34" s="97">
        <v>1634178</v>
      </c>
      <c r="Q34" s="97">
        <v>1634178</v>
      </c>
      <c r="R34" s="13">
        <v>46255</v>
      </c>
    </row>
    <row r="35" spans="1:19">
      <c r="A35" s="3" t="s">
        <v>18</v>
      </c>
      <c r="B35" s="3">
        <v>2026</v>
      </c>
      <c r="C35" s="3">
        <v>1053873691</v>
      </c>
      <c r="D35" s="3" t="s">
        <v>263</v>
      </c>
      <c r="E35" s="3" t="s">
        <v>138</v>
      </c>
      <c r="F35" s="13">
        <v>46142</v>
      </c>
      <c r="G35" s="13">
        <v>46144</v>
      </c>
      <c r="H35" s="95">
        <v>3</v>
      </c>
      <c r="I35" s="3" t="s">
        <v>233</v>
      </c>
      <c r="J35" s="3" t="s">
        <v>264</v>
      </c>
      <c r="K35" s="3" t="s">
        <v>197</v>
      </c>
      <c r="L35" s="13">
        <v>46173</v>
      </c>
      <c r="N35" s="97">
        <v>1750905</v>
      </c>
      <c r="O35" s="3">
        <v>1</v>
      </c>
      <c r="P35" s="97">
        <v>58363.5</v>
      </c>
      <c r="Q35" s="97">
        <v>58364</v>
      </c>
    </row>
    <row r="36" spans="1:19">
      <c r="A36" s="3" t="s">
        <v>18</v>
      </c>
      <c r="B36" s="3">
        <v>2026</v>
      </c>
      <c r="C36" s="3">
        <v>1030527733</v>
      </c>
      <c r="D36" s="3" t="s">
        <v>265</v>
      </c>
      <c r="E36" s="3" t="s">
        <v>138</v>
      </c>
      <c r="F36" s="13">
        <v>46149</v>
      </c>
      <c r="G36" s="13">
        <v>46155</v>
      </c>
      <c r="H36" s="95">
        <v>7</v>
      </c>
      <c r="I36" s="3" t="s">
        <v>266</v>
      </c>
      <c r="J36" s="3" t="s">
        <v>196</v>
      </c>
      <c r="K36" s="3" t="s">
        <v>197</v>
      </c>
      <c r="L36" s="13">
        <v>46173</v>
      </c>
      <c r="M36" s="96" t="s">
        <v>267</v>
      </c>
      <c r="N36" s="97">
        <v>1750905</v>
      </c>
      <c r="O36" s="3">
        <v>5</v>
      </c>
      <c r="P36" s="97">
        <v>291817.5</v>
      </c>
      <c r="Q36" s="97"/>
    </row>
    <row r="37" spans="1:19">
      <c r="A37" s="3" t="s">
        <v>18</v>
      </c>
      <c r="B37" s="3">
        <v>2026</v>
      </c>
      <c r="C37" s="3">
        <v>1030552225</v>
      </c>
      <c r="D37" s="3" t="s">
        <v>268</v>
      </c>
      <c r="E37" s="3" t="s">
        <v>138</v>
      </c>
      <c r="F37" s="13">
        <v>46152</v>
      </c>
      <c r="G37" s="13">
        <v>46156</v>
      </c>
      <c r="H37" s="95">
        <v>5</v>
      </c>
      <c r="I37" s="3" t="s">
        <v>266</v>
      </c>
      <c r="J37" s="3" t="s">
        <v>196</v>
      </c>
      <c r="K37" s="3" t="s">
        <v>197</v>
      </c>
      <c r="L37" s="13">
        <v>46173</v>
      </c>
      <c r="M37" s="3" t="s">
        <v>267</v>
      </c>
      <c r="N37" s="97">
        <v>1750905</v>
      </c>
      <c r="O37" s="3">
        <v>3</v>
      </c>
      <c r="P37" s="97">
        <v>175090.5</v>
      </c>
      <c r="Q37" s="97"/>
    </row>
    <row r="38" spans="1:19">
      <c r="A38" s="3" t="s">
        <v>18</v>
      </c>
      <c r="B38" s="3">
        <v>2026</v>
      </c>
      <c r="C38" s="3">
        <v>1030552225</v>
      </c>
      <c r="D38" s="3" t="s">
        <v>268</v>
      </c>
      <c r="E38" s="3" t="s">
        <v>138</v>
      </c>
      <c r="F38" s="13">
        <v>46169</v>
      </c>
      <c r="G38" s="13">
        <v>46171</v>
      </c>
      <c r="H38" s="95">
        <v>3</v>
      </c>
      <c r="I38" s="3" t="s">
        <v>266</v>
      </c>
      <c r="J38" s="3" t="s">
        <v>196</v>
      </c>
      <c r="K38" s="3" t="s">
        <v>197</v>
      </c>
      <c r="L38" s="13">
        <v>46173</v>
      </c>
      <c r="M38" s="3" t="s">
        <v>267</v>
      </c>
      <c r="N38" s="97">
        <v>1750905</v>
      </c>
      <c r="O38" s="3">
        <v>1</v>
      </c>
      <c r="P38" s="97">
        <v>58363.5</v>
      </c>
      <c r="Q38" s="97"/>
    </row>
    <row r="39" spans="1:19">
      <c r="A39" s="3" t="s">
        <v>18</v>
      </c>
      <c r="B39" s="3">
        <v>2026</v>
      </c>
      <c r="C39" s="3">
        <v>1125082534</v>
      </c>
      <c r="D39" s="3" t="s">
        <v>269</v>
      </c>
      <c r="E39" s="3" t="s">
        <v>138</v>
      </c>
      <c r="F39" s="13">
        <v>46158</v>
      </c>
      <c r="G39" s="13">
        <v>46161</v>
      </c>
      <c r="H39" s="95">
        <v>4</v>
      </c>
      <c r="I39" s="3" t="s">
        <v>270</v>
      </c>
      <c r="J39" s="3" t="s">
        <v>271</v>
      </c>
      <c r="K39" s="3" t="s">
        <v>197</v>
      </c>
      <c r="L39" s="13">
        <v>46173</v>
      </c>
      <c r="M39" s="3" t="s">
        <v>272</v>
      </c>
      <c r="N39" s="97">
        <v>1750905</v>
      </c>
      <c r="O39" s="3">
        <v>2</v>
      </c>
      <c r="P39" s="97">
        <v>116727</v>
      </c>
      <c r="Q39" s="97"/>
    </row>
    <row r="40" spans="1:19">
      <c r="A40" s="3" t="s">
        <v>18</v>
      </c>
      <c r="B40" s="3">
        <v>2026</v>
      </c>
      <c r="C40" s="3">
        <v>1001888870</v>
      </c>
      <c r="D40" s="3" t="s">
        <v>273</v>
      </c>
      <c r="E40" s="3" t="s">
        <v>138</v>
      </c>
      <c r="F40" s="13">
        <v>46162</v>
      </c>
      <c r="G40" s="13">
        <v>46164</v>
      </c>
      <c r="H40" s="95">
        <v>3</v>
      </c>
      <c r="I40" s="3" t="s">
        <v>270</v>
      </c>
      <c r="J40" s="3" t="s">
        <v>274</v>
      </c>
      <c r="K40" s="3" t="s">
        <v>197</v>
      </c>
      <c r="L40" s="13">
        <v>46173</v>
      </c>
      <c r="N40" s="97">
        <v>1750905</v>
      </c>
      <c r="O40" s="3">
        <v>1</v>
      </c>
      <c r="P40" s="97">
        <v>58363.5</v>
      </c>
      <c r="Q40" s="97">
        <v>58364</v>
      </c>
      <c r="R40" s="13">
        <v>46238</v>
      </c>
      <c r="S40" s="3" t="s">
        <v>202</v>
      </c>
    </row>
    <row r="41" spans="1:19">
      <c r="A41" s="3" t="s">
        <v>18</v>
      </c>
      <c r="B41" s="3">
        <v>2026</v>
      </c>
      <c r="C41" s="3">
        <v>6005449871</v>
      </c>
      <c r="D41" s="3" t="s">
        <v>275</v>
      </c>
      <c r="E41" s="3" t="s">
        <v>138</v>
      </c>
      <c r="F41" s="13">
        <v>46148</v>
      </c>
      <c r="G41" s="13">
        <v>46177</v>
      </c>
      <c r="H41" s="95">
        <v>30</v>
      </c>
      <c r="I41" s="3" t="s">
        <v>270</v>
      </c>
      <c r="J41" s="3" t="s">
        <v>276</v>
      </c>
      <c r="K41" s="3" t="s">
        <v>197</v>
      </c>
      <c r="L41" s="13">
        <v>46173</v>
      </c>
      <c r="N41" s="97">
        <v>1750905</v>
      </c>
      <c r="O41" s="3">
        <v>28</v>
      </c>
      <c r="P41" s="97">
        <v>1634178</v>
      </c>
      <c r="Q41" s="97"/>
    </row>
    <row r="42" spans="1:19">
      <c r="A42" s="3" t="s">
        <v>18</v>
      </c>
      <c r="B42" s="3">
        <v>2026</v>
      </c>
      <c r="C42" s="3">
        <v>1036648519</v>
      </c>
      <c r="D42" s="3" t="s">
        <v>277</v>
      </c>
      <c r="E42" s="3" t="s">
        <v>138</v>
      </c>
      <c r="F42" s="13">
        <v>46147</v>
      </c>
      <c r="G42" s="13">
        <v>46149</v>
      </c>
      <c r="H42" s="95">
        <v>3</v>
      </c>
      <c r="I42" s="3" t="s">
        <v>270</v>
      </c>
      <c r="J42" s="3" t="s">
        <v>278</v>
      </c>
      <c r="K42" s="3" t="s">
        <v>197</v>
      </c>
      <c r="L42" s="13">
        <v>46173</v>
      </c>
      <c r="N42" s="97">
        <v>1750905</v>
      </c>
      <c r="O42" s="3">
        <v>1</v>
      </c>
      <c r="P42" s="97">
        <v>58363.5</v>
      </c>
      <c r="Q42" s="97">
        <v>63099</v>
      </c>
      <c r="R42" s="13">
        <v>46238</v>
      </c>
      <c r="S42" s="3" t="s">
        <v>202</v>
      </c>
    </row>
    <row r="43" spans="1:19">
      <c r="A43" s="3" t="s">
        <v>18</v>
      </c>
      <c r="B43" s="3">
        <v>2026</v>
      </c>
      <c r="C43" s="3">
        <v>1143404816</v>
      </c>
      <c r="D43" s="3" t="s">
        <v>279</v>
      </c>
      <c r="E43" s="3" t="s">
        <v>138</v>
      </c>
      <c r="F43" s="13">
        <v>46165</v>
      </c>
      <c r="G43" s="13">
        <v>46169</v>
      </c>
      <c r="H43" s="95">
        <v>5</v>
      </c>
      <c r="I43" s="3" t="s">
        <v>270</v>
      </c>
      <c r="J43" s="3" t="s">
        <v>280</v>
      </c>
      <c r="K43" s="3" t="s">
        <v>197</v>
      </c>
      <c r="L43" s="13">
        <v>46173</v>
      </c>
      <c r="N43" s="97">
        <v>1750905</v>
      </c>
      <c r="O43" s="3">
        <v>3</v>
      </c>
      <c r="P43" s="97">
        <v>175090.5</v>
      </c>
      <c r="Q43" s="97">
        <v>175092</v>
      </c>
      <c r="R43" s="13">
        <v>46238</v>
      </c>
      <c r="S43" s="3" t="s">
        <v>202</v>
      </c>
    </row>
    <row r="44" spans="1:19">
      <c r="A44" s="3" t="s">
        <v>18</v>
      </c>
      <c r="B44" s="3">
        <v>2026</v>
      </c>
      <c r="C44" s="3">
        <v>1143158959</v>
      </c>
      <c r="D44" s="3" t="s">
        <v>281</v>
      </c>
      <c r="E44" s="3" t="s">
        <v>138</v>
      </c>
      <c r="F44" s="13">
        <v>46157</v>
      </c>
      <c r="G44" s="13">
        <v>46159</v>
      </c>
      <c r="H44" s="95">
        <v>3</v>
      </c>
      <c r="I44" s="3" t="s">
        <v>270</v>
      </c>
      <c r="J44" s="3" t="s">
        <v>282</v>
      </c>
      <c r="K44" s="3" t="s">
        <v>197</v>
      </c>
      <c r="L44" s="13">
        <v>46173</v>
      </c>
      <c r="N44" s="97">
        <v>1750905</v>
      </c>
      <c r="O44" s="3">
        <v>3</v>
      </c>
      <c r="P44" s="97">
        <v>58363.5</v>
      </c>
      <c r="Q44" s="97">
        <v>175092</v>
      </c>
      <c r="R44" s="13">
        <v>46238</v>
      </c>
      <c r="S44" s="3" t="s">
        <v>202</v>
      </c>
    </row>
    <row r="45" spans="1:19">
      <c r="A45" s="3" t="s">
        <v>18</v>
      </c>
      <c r="B45" s="3">
        <v>2026</v>
      </c>
      <c r="C45" s="3">
        <v>1102831944</v>
      </c>
      <c r="D45" s="3" t="s">
        <v>283</v>
      </c>
      <c r="E45" s="3" t="s">
        <v>138</v>
      </c>
      <c r="F45" s="13">
        <v>46151</v>
      </c>
      <c r="G45" s="13">
        <v>46153</v>
      </c>
      <c r="H45" s="95">
        <v>3</v>
      </c>
      <c r="I45" s="3" t="s">
        <v>270</v>
      </c>
      <c r="J45" s="3" t="s">
        <v>284</v>
      </c>
      <c r="K45" s="3" t="s">
        <v>197</v>
      </c>
      <c r="L45" s="13">
        <v>46173</v>
      </c>
      <c r="N45" s="97">
        <v>1750905</v>
      </c>
      <c r="O45" s="3">
        <v>1</v>
      </c>
      <c r="P45" s="97">
        <v>58363.5</v>
      </c>
      <c r="Q45" s="97">
        <v>58363.5</v>
      </c>
      <c r="R45" s="13">
        <v>46238</v>
      </c>
      <c r="S45" s="3" t="s">
        <v>202</v>
      </c>
    </row>
    <row r="46" spans="1:19">
      <c r="A46" s="3" t="s">
        <v>18</v>
      </c>
      <c r="B46" s="3">
        <v>2026</v>
      </c>
      <c r="C46" s="3">
        <v>1143158959</v>
      </c>
      <c r="D46" s="3" t="s">
        <v>281</v>
      </c>
      <c r="E46" s="3" t="s">
        <v>138</v>
      </c>
      <c r="F46" s="13">
        <v>46145</v>
      </c>
      <c r="G46" s="13">
        <v>46153</v>
      </c>
      <c r="H46" s="95">
        <v>9</v>
      </c>
      <c r="I46" s="3" t="s">
        <v>270</v>
      </c>
      <c r="J46" s="3" t="s">
        <v>285</v>
      </c>
      <c r="K46" s="3" t="s">
        <v>197</v>
      </c>
      <c r="L46" s="13">
        <v>46173</v>
      </c>
      <c r="N46" s="97">
        <v>1750905</v>
      </c>
      <c r="O46" s="3">
        <v>7</v>
      </c>
      <c r="P46" s="97">
        <v>408544.5</v>
      </c>
      <c r="Q46" s="97">
        <v>408548</v>
      </c>
      <c r="R46" s="13">
        <v>46238</v>
      </c>
      <c r="S46" s="3" t="s">
        <v>202</v>
      </c>
    </row>
    <row r="47" spans="1:19">
      <c r="A47" s="3" t="s">
        <v>18</v>
      </c>
      <c r="B47" s="3">
        <v>2026</v>
      </c>
      <c r="C47" s="3">
        <v>1143158959</v>
      </c>
      <c r="D47" s="3" t="s">
        <v>281</v>
      </c>
      <c r="E47" s="3" t="s">
        <v>138</v>
      </c>
      <c r="F47" s="13">
        <v>46153</v>
      </c>
      <c r="G47" s="13">
        <v>46155</v>
      </c>
      <c r="H47" s="95">
        <v>3</v>
      </c>
      <c r="I47" s="3" t="s">
        <v>270</v>
      </c>
      <c r="J47" s="3" t="s">
        <v>286</v>
      </c>
      <c r="K47" s="3" t="s">
        <v>197</v>
      </c>
      <c r="L47" s="13">
        <v>46173</v>
      </c>
      <c r="N47" s="97">
        <v>1750905</v>
      </c>
      <c r="O47" s="3">
        <v>2</v>
      </c>
      <c r="P47" s="97">
        <v>58363.5</v>
      </c>
      <c r="Q47" s="97">
        <v>116728</v>
      </c>
      <c r="R47" s="13">
        <v>46238</v>
      </c>
      <c r="S47" s="3" t="s">
        <v>202</v>
      </c>
    </row>
    <row r="48" spans="1:19">
      <c r="A48" s="3" t="s">
        <v>18</v>
      </c>
      <c r="B48" s="3">
        <v>2026</v>
      </c>
      <c r="C48" s="3">
        <v>1045417434</v>
      </c>
      <c r="D48" s="3" t="s">
        <v>287</v>
      </c>
      <c r="E48" s="3" t="s">
        <v>140</v>
      </c>
      <c r="F48" s="13">
        <v>46134</v>
      </c>
      <c r="G48" s="13">
        <v>46147</v>
      </c>
      <c r="H48" s="95">
        <v>14</v>
      </c>
      <c r="I48" s="3" t="s">
        <v>288</v>
      </c>
      <c r="J48" s="3">
        <v>1100736761</v>
      </c>
      <c r="K48" s="3" t="s">
        <v>197</v>
      </c>
      <c r="L48" s="13">
        <v>46173</v>
      </c>
      <c r="N48" s="97">
        <v>1750905</v>
      </c>
      <c r="O48" s="3">
        <v>14</v>
      </c>
      <c r="P48" s="97">
        <v>817089</v>
      </c>
      <c r="Q48" s="97">
        <v>958958</v>
      </c>
      <c r="R48" s="13">
        <v>46184</v>
      </c>
      <c r="S48" s="3" t="s">
        <v>202</v>
      </c>
    </row>
    <row r="49" spans="1:19" ht="17.25">
      <c r="A49" s="3" t="s">
        <v>19</v>
      </c>
      <c r="B49" s="3">
        <v>2026</v>
      </c>
      <c r="C49" s="3">
        <v>1053873691</v>
      </c>
      <c r="D49" s="3" t="s">
        <v>289</v>
      </c>
      <c r="E49" s="3" t="s">
        <v>138</v>
      </c>
      <c r="F49" s="13">
        <v>46175</v>
      </c>
      <c r="G49" s="13">
        <v>46179</v>
      </c>
      <c r="H49" s="95">
        <v>5</v>
      </c>
      <c r="I49" s="3" t="s">
        <v>233</v>
      </c>
      <c r="J49" s="99">
        <v>2634931</v>
      </c>
      <c r="K49" s="3" t="s">
        <v>197</v>
      </c>
      <c r="L49" s="13">
        <v>46250</v>
      </c>
      <c r="N49" s="97">
        <v>1750905</v>
      </c>
      <c r="O49" s="3">
        <v>3</v>
      </c>
      <c r="P49" s="97">
        <v>175090.5</v>
      </c>
      <c r="Q49" s="97"/>
    </row>
    <row r="50" spans="1:19" ht="17.25">
      <c r="A50" s="3" t="s">
        <v>19</v>
      </c>
      <c r="B50" s="3">
        <v>2026</v>
      </c>
      <c r="C50" s="3">
        <v>1053873691</v>
      </c>
      <c r="D50" s="3" t="s">
        <v>289</v>
      </c>
      <c r="E50" s="3" t="s">
        <v>138</v>
      </c>
      <c r="F50" s="13">
        <v>46182</v>
      </c>
      <c r="G50" s="13">
        <v>46184</v>
      </c>
      <c r="H50" s="95">
        <v>3</v>
      </c>
      <c r="I50" s="3" t="s">
        <v>233</v>
      </c>
      <c r="J50" s="99">
        <v>2634932</v>
      </c>
      <c r="K50" s="3" t="s">
        <v>197</v>
      </c>
      <c r="L50" s="13">
        <v>46250</v>
      </c>
      <c r="N50" s="97">
        <v>1750905</v>
      </c>
      <c r="O50" s="3">
        <v>1</v>
      </c>
      <c r="P50" s="97">
        <v>58363.5</v>
      </c>
      <c r="Q50" s="97">
        <v>58364</v>
      </c>
    </row>
    <row r="51" spans="1:19">
      <c r="A51" s="3" t="s">
        <v>19</v>
      </c>
      <c r="B51" s="3">
        <v>2026</v>
      </c>
      <c r="C51" s="3">
        <v>5001216229</v>
      </c>
      <c r="D51" s="3" t="s">
        <v>290</v>
      </c>
      <c r="E51" s="3" t="s">
        <v>138</v>
      </c>
      <c r="F51" s="13">
        <v>46181</v>
      </c>
      <c r="G51" s="13">
        <v>46184</v>
      </c>
      <c r="H51" s="95">
        <v>4</v>
      </c>
      <c r="I51" s="3" t="s">
        <v>211</v>
      </c>
      <c r="J51" s="100">
        <v>62016585</v>
      </c>
      <c r="K51" s="3" t="s">
        <v>197</v>
      </c>
      <c r="L51" s="13">
        <v>46208</v>
      </c>
      <c r="N51" s="97">
        <v>1750905</v>
      </c>
      <c r="O51" s="3">
        <v>2</v>
      </c>
      <c r="P51" s="97">
        <v>116727</v>
      </c>
      <c r="Q51" s="97"/>
    </row>
    <row r="52" spans="1:19">
      <c r="A52" s="3" t="s">
        <v>19</v>
      </c>
      <c r="B52" s="3">
        <v>2026</v>
      </c>
      <c r="C52" s="3">
        <v>43587868</v>
      </c>
      <c r="D52" s="3" t="s">
        <v>291</v>
      </c>
      <c r="E52" s="3" t="s">
        <v>136</v>
      </c>
      <c r="F52" s="13">
        <v>46179</v>
      </c>
      <c r="G52" s="13">
        <v>46179</v>
      </c>
      <c r="H52" s="95">
        <v>1</v>
      </c>
      <c r="I52" s="3" t="s">
        <v>208</v>
      </c>
      <c r="J52" s="3">
        <v>878053086086</v>
      </c>
      <c r="K52" s="3" t="s">
        <v>197</v>
      </c>
      <c r="L52" s="13">
        <v>46208</v>
      </c>
      <c r="N52" s="97">
        <v>1750905</v>
      </c>
      <c r="O52" s="3">
        <v>1</v>
      </c>
      <c r="P52" s="97">
        <v>58363.5</v>
      </c>
      <c r="Q52" s="97"/>
    </row>
    <row r="53" spans="1:19">
      <c r="A53" s="3" t="s">
        <v>19</v>
      </c>
      <c r="B53" s="3">
        <v>2026</v>
      </c>
      <c r="C53" s="3">
        <v>1019038428</v>
      </c>
      <c r="D53" s="3" t="s">
        <v>292</v>
      </c>
      <c r="E53" s="3" t="s">
        <v>138</v>
      </c>
      <c r="F53" s="13">
        <v>46183</v>
      </c>
      <c r="G53" s="13">
        <v>46185</v>
      </c>
      <c r="H53" s="95">
        <v>3</v>
      </c>
      <c r="I53" s="3" t="s">
        <v>204</v>
      </c>
      <c r="J53" s="3" t="s">
        <v>196</v>
      </c>
      <c r="K53" s="3" t="s">
        <v>197</v>
      </c>
      <c r="L53" s="13">
        <v>46208</v>
      </c>
      <c r="M53" s="3" t="s">
        <v>205</v>
      </c>
      <c r="N53" s="97">
        <v>1750905</v>
      </c>
      <c r="O53" s="3">
        <v>1</v>
      </c>
      <c r="P53" s="97">
        <v>58363.5</v>
      </c>
      <c r="Q53" s="97"/>
    </row>
    <row r="54" spans="1:19" ht="17.25">
      <c r="A54" s="3" t="s">
        <v>19</v>
      </c>
      <c r="B54" s="3">
        <v>2026</v>
      </c>
      <c r="C54" s="3">
        <v>1077429561</v>
      </c>
      <c r="D54" s="3" t="s">
        <v>293</v>
      </c>
      <c r="E54" s="3" t="s">
        <v>138</v>
      </c>
      <c r="F54" s="13">
        <v>46184</v>
      </c>
      <c r="G54" s="13">
        <v>46190</v>
      </c>
      <c r="H54" s="95">
        <v>7</v>
      </c>
      <c r="I54" s="3" t="s">
        <v>233</v>
      </c>
      <c r="J54" s="99">
        <v>2634936</v>
      </c>
      <c r="K54" s="3" t="s">
        <v>197</v>
      </c>
      <c r="L54" s="13">
        <v>46250</v>
      </c>
      <c r="N54" s="97">
        <v>1750905</v>
      </c>
      <c r="O54" s="3">
        <v>5</v>
      </c>
      <c r="P54" s="97">
        <v>291817.5</v>
      </c>
      <c r="Q54" s="97"/>
    </row>
    <row r="55" spans="1:19">
      <c r="A55" s="3" t="s">
        <v>19</v>
      </c>
      <c r="B55" s="3">
        <v>2026</v>
      </c>
      <c r="C55" s="3">
        <v>1038094582</v>
      </c>
      <c r="D55" s="3" t="s">
        <v>294</v>
      </c>
      <c r="E55" s="3" t="s">
        <v>138</v>
      </c>
      <c r="F55" s="13">
        <v>46172</v>
      </c>
      <c r="G55" s="13">
        <v>46201</v>
      </c>
      <c r="H55" s="95">
        <v>30</v>
      </c>
      <c r="I55" s="3" t="s">
        <v>219</v>
      </c>
      <c r="J55" s="3">
        <v>11850018</v>
      </c>
      <c r="K55" s="3" t="s">
        <v>197</v>
      </c>
      <c r="L55" s="13">
        <v>46208</v>
      </c>
      <c r="N55" s="97">
        <v>1750905</v>
      </c>
      <c r="O55" s="3">
        <v>28</v>
      </c>
      <c r="P55" s="97">
        <v>1634178</v>
      </c>
      <c r="Q55" s="97">
        <v>1634178</v>
      </c>
      <c r="R55" s="13">
        <v>46219</v>
      </c>
      <c r="S55" s="3" t="s">
        <v>202</v>
      </c>
    </row>
    <row r="56" spans="1:19" ht="15.75">
      <c r="A56" s="3" t="s">
        <v>19</v>
      </c>
      <c r="B56" s="3">
        <v>2026</v>
      </c>
      <c r="C56" s="3">
        <v>1140861730</v>
      </c>
      <c r="D56" s="3" t="s">
        <v>295</v>
      </c>
      <c r="E56" s="3" t="s">
        <v>138</v>
      </c>
      <c r="F56" s="13">
        <v>46170</v>
      </c>
      <c r="G56" s="13">
        <v>46199</v>
      </c>
      <c r="H56" s="95">
        <v>30</v>
      </c>
      <c r="I56" s="3" t="s">
        <v>270</v>
      </c>
      <c r="J56" s="101">
        <v>705261818</v>
      </c>
      <c r="K56" s="3" t="s">
        <v>197</v>
      </c>
      <c r="L56" s="13">
        <v>46208</v>
      </c>
      <c r="N56" s="97">
        <v>1750905</v>
      </c>
      <c r="O56" s="3">
        <v>28</v>
      </c>
      <c r="P56" s="97">
        <v>1634178</v>
      </c>
      <c r="Q56" s="97"/>
    </row>
    <row r="57" spans="1:19" ht="15.75">
      <c r="A57" s="3" t="s">
        <v>19</v>
      </c>
      <c r="B57" s="3">
        <v>2026</v>
      </c>
      <c r="C57" s="3">
        <v>1067840974</v>
      </c>
      <c r="D57" s="3" t="s">
        <v>296</v>
      </c>
      <c r="E57" s="3" t="s">
        <v>138</v>
      </c>
      <c r="F57" s="13">
        <v>46176</v>
      </c>
      <c r="G57" s="13">
        <v>46178</v>
      </c>
      <c r="H57" s="95">
        <v>3</v>
      </c>
      <c r="I57" s="3" t="s">
        <v>270</v>
      </c>
      <c r="J57" s="101">
        <v>816262198</v>
      </c>
      <c r="K57" s="3" t="s">
        <v>197</v>
      </c>
      <c r="L57" s="13">
        <v>46250</v>
      </c>
      <c r="N57" s="97">
        <v>1750905</v>
      </c>
      <c r="O57" s="3">
        <v>1</v>
      </c>
      <c r="P57" s="97">
        <v>58363.5</v>
      </c>
      <c r="Q57" s="97"/>
    </row>
    <row r="58" spans="1:19">
      <c r="A58" s="3" t="s">
        <v>19</v>
      </c>
      <c r="B58" s="3">
        <v>2026</v>
      </c>
      <c r="C58" s="3">
        <v>1041151546</v>
      </c>
      <c r="D58" s="3" t="s">
        <v>297</v>
      </c>
      <c r="E58" s="3" t="s">
        <v>136</v>
      </c>
      <c r="F58" s="13">
        <v>46171</v>
      </c>
      <c r="G58" s="13">
        <v>46180</v>
      </c>
      <c r="H58" s="95">
        <v>10</v>
      </c>
      <c r="I58" s="3" t="s">
        <v>208</v>
      </c>
      <c r="J58" s="3">
        <v>111380830799</v>
      </c>
      <c r="K58" s="3" t="s">
        <v>197</v>
      </c>
      <c r="L58" s="13">
        <v>46208</v>
      </c>
      <c r="N58" s="97">
        <v>1750905</v>
      </c>
      <c r="O58" s="3">
        <v>10</v>
      </c>
      <c r="P58" s="97">
        <v>646725</v>
      </c>
      <c r="Q58" s="97">
        <v>646725</v>
      </c>
      <c r="R58" s="13">
        <v>46226</v>
      </c>
      <c r="S58" s="3" t="s">
        <v>202</v>
      </c>
    </row>
    <row r="59" spans="1:19">
      <c r="A59" s="3" t="s">
        <v>19</v>
      </c>
      <c r="B59" s="3">
        <v>2026</v>
      </c>
      <c r="C59" s="3">
        <v>1030552225</v>
      </c>
      <c r="D59" s="3" t="s">
        <v>268</v>
      </c>
      <c r="E59" s="3" t="s">
        <v>138</v>
      </c>
      <c r="F59" s="13">
        <v>46174</v>
      </c>
      <c r="G59" s="13">
        <v>46176</v>
      </c>
      <c r="H59" s="95">
        <v>3</v>
      </c>
      <c r="I59" s="3" t="s">
        <v>266</v>
      </c>
      <c r="K59" s="3" t="s">
        <v>298</v>
      </c>
      <c r="N59" s="97">
        <v>1750905</v>
      </c>
      <c r="O59" s="3">
        <v>1</v>
      </c>
      <c r="P59" s="97">
        <v>58363.5</v>
      </c>
      <c r="Q59" s="97"/>
    </row>
    <row r="60" spans="1:19">
      <c r="A60" s="3" t="s">
        <v>19</v>
      </c>
      <c r="B60" s="3">
        <v>2026</v>
      </c>
      <c r="C60" s="3">
        <v>1111539360</v>
      </c>
      <c r="D60" s="3" t="s">
        <v>215</v>
      </c>
      <c r="E60" s="3" t="s">
        <v>138</v>
      </c>
      <c r="F60" s="13">
        <v>46176</v>
      </c>
      <c r="G60" s="13">
        <v>46180</v>
      </c>
      <c r="H60" s="95">
        <v>5</v>
      </c>
      <c r="I60" s="3" t="s">
        <v>216</v>
      </c>
      <c r="J60" s="102" t="s">
        <v>299</v>
      </c>
      <c r="K60" s="3" t="s">
        <v>197</v>
      </c>
      <c r="L60" s="13">
        <v>46208</v>
      </c>
      <c r="N60" s="97">
        <v>1750905</v>
      </c>
      <c r="O60" s="3">
        <v>3</v>
      </c>
      <c r="P60" s="97">
        <v>175090.5</v>
      </c>
      <c r="Q60" s="97"/>
    </row>
    <row r="61" spans="1:19">
      <c r="A61" s="3" t="s">
        <v>19</v>
      </c>
      <c r="B61" s="3">
        <v>2026</v>
      </c>
      <c r="C61" s="3">
        <v>1063962560</v>
      </c>
      <c r="D61" s="3" t="s">
        <v>300</v>
      </c>
      <c r="E61" s="3" t="s">
        <v>136</v>
      </c>
      <c r="F61" s="13">
        <v>46179</v>
      </c>
      <c r="G61" s="13">
        <v>46181</v>
      </c>
      <c r="H61" s="95">
        <v>3</v>
      </c>
      <c r="I61" s="3" t="s">
        <v>208</v>
      </c>
      <c r="J61" s="3">
        <v>410321111623</v>
      </c>
      <c r="K61" s="3" t="s">
        <v>197</v>
      </c>
      <c r="L61" s="13">
        <v>46208</v>
      </c>
      <c r="N61" s="97">
        <v>1750905</v>
      </c>
      <c r="O61" s="3">
        <v>3</v>
      </c>
      <c r="P61" s="97">
        <v>259385</v>
      </c>
      <c r="Q61" s="97">
        <v>259385</v>
      </c>
      <c r="R61" s="13">
        <v>46226</v>
      </c>
      <c r="S61" s="3" t="s">
        <v>202</v>
      </c>
    </row>
    <row r="62" spans="1:19" ht="15.75">
      <c r="A62" s="3" t="s">
        <v>19</v>
      </c>
      <c r="B62" s="3">
        <v>2026</v>
      </c>
      <c r="C62" s="3">
        <v>6005449871</v>
      </c>
      <c r="D62" s="3" t="s">
        <v>275</v>
      </c>
      <c r="E62" s="3" t="s">
        <v>138</v>
      </c>
      <c r="F62" s="13">
        <v>46178</v>
      </c>
      <c r="G62" s="13">
        <v>46207</v>
      </c>
      <c r="H62" s="95">
        <v>30</v>
      </c>
      <c r="I62" s="3" t="s">
        <v>270</v>
      </c>
      <c r="J62" s="101">
        <v>816262223</v>
      </c>
      <c r="K62" s="13" t="s">
        <v>197</v>
      </c>
      <c r="L62" s="13">
        <v>46250</v>
      </c>
      <c r="N62" s="97">
        <v>1750905</v>
      </c>
      <c r="O62" s="3">
        <v>28</v>
      </c>
      <c r="P62" s="97">
        <v>1634178</v>
      </c>
      <c r="Q62" s="97"/>
    </row>
    <row r="63" spans="1:19">
      <c r="A63" s="3" t="s">
        <v>19</v>
      </c>
      <c r="B63" s="3">
        <v>2026</v>
      </c>
      <c r="C63" s="3">
        <v>1063962560</v>
      </c>
      <c r="D63" s="3" t="s">
        <v>300</v>
      </c>
      <c r="E63" s="3" t="s">
        <v>136</v>
      </c>
      <c r="F63" s="13">
        <v>46183</v>
      </c>
      <c r="G63" s="13">
        <v>46185</v>
      </c>
      <c r="H63" s="95">
        <v>3</v>
      </c>
      <c r="I63" s="3" t="s">
        <v>208</v>
      </c>
      <c r="J63" s="3">
        <v>289098754415</v>
      </c>
      <c r="K63" s="3" t="s">
        <v>197</v>
      </c>
      <c r="L63" s="13">
        <v>46208</v>
      </c>
      <c r="N63" s="97">
        <v>1750905</v>
      </c>
      <c r="O63" s="3">
        <v>3</v>
      </c>
      <c r="P63" s="97">
        <v>259385</v>
      </c>
      <c r="Q63" s="97">
        <v>259385</v>
      </c>
      <c r="R63" s="13">
        <v>46226</v>
      </c>
      <c r="S63" s="3" t="s">
        <v>202</v>
      </c>
    </row>
    <row r="64" spans="1:19" ht="15.75">
      <c r="A64" s="3" t="s">
        <v>19</v>
      </c>
      <c r="B64" s="3">
        <v>2026</v>
      </c>
      <c r="C64" s="3">
        <v>1067840974</v>
      </c>
      <c r="D64" s="3" t="s">
        <v>296</v>
      </c>
      <c r="E64" s="3" t="s">
        <v>138</v>
      </c>
      <c r="F64" s="13">
        <v>46179</v>
      </c>
      <c r="G64" s="13">
        <v>46181</v>
      </c>
      <c r="H64" s="95">
        <v>3</v>
      </c>
      <c r="I64" s="3" t="s">
        <v>270</v>
      </c>
      <c r="J64" s="101">
        <v>816262201</v>
      </c>
      <c r="K64" s="3" t="s">
        <v>197</v>
      </c>
      <c r="L64" s="13">
        <v>46250</v>
      </c>
      <c r="N64" s="97">
        <v>1750905</v>
      </c>
      <c r="O64" s="3">
        <v>1</v>
      </c>
      <c r="P64" s="97">
        <v>58363.5</v>
      </c>
      <c r="Q64" s="97"/>
    </row>
    <row r="65" spans="1:19">
      <c r="A65" s="3" t="s">
        <v>19</v>
      </c>
      <c r="B65" s="3">
        <v>2026</v>
      </c>
      <c r="C65" s="3">
        <v>1015442110</v>
      </c>
      <c r="D65" s="3" t="s">
        <v>301</v>
      </c>
      <c r="E65" s="3" t="s">
        <v>138</v>
      </c>
      <c r="F65" s="13">
        <v>46174</v>
      </c>
      <c r="G65" s="13">
        <v>46176</v>
      </c>
      <c r="H65" s="95">
        <v>3</v>
      </c>
      <c r="I65" s="3" t="s">
        <v>200</v>
      </c>
      <c r="J65" s="3" t="s">
        <v>302</v>
      </c>
      <c r="K65" s="3" t="s">
        <v>197</v>
      </c>
      <c r="L65" s="13">
        <v>46208</v>
      </c>
      <c r="N65" s="97">
        <v>1750905</v>
      </c>
      <c r="O65" s="3">
        <v>1</v>
      </c>
      <c r="P65" s="97">
        <v>58363.5</v>
      </c>
      <c r="Q65" s="97"/>
    </row>
    <row r="66" spans="1:19">
      <c r="A66" s="3" t="s">
        <v>19</v>
      </c>
      <c r="B66" s="3">
        <v>2026</v>
      </c>
      <c r="C66" s="3">
        <v>1143427761</v>
      </c>
      <c r="D66" s="3" t="s">
        <v>221</v>
      </c>
      <c r="E66" s="3" t="s">
        <v>138</v>
      </c>
      <c r="F66" s="13">
        <v>46171</v>
      </c>
      <c r="G66" s="13">
        <v>46177</v>
      </c>
      <c r="H66" s="95">
        <v>7</v>
      </c>
      <c r="I66" s="3" t="s">
        <v>219</v>
      </c>
      <c r="J66" s="3">
        <v>11850019</v>
      </c>
      <c r="K66" s="3" t="s">
        <v>197</v>
      </c>
      <c r="L66" s="13">
        <v>46208</v>
      </c>
      <c r="N66" s="97">
        <v>1750905</v>
      </c>
      <c r="O66" s="3">
        <v>7</v>
      </c>
      <c r="P66" s="97">
        <v>408544.5</v>
      </c>
      <c r="Q66" s="97">
        <v>408545</v>
      </c>
      <c r="R66" s="13">
        <v>46219</v>
      </c>
      <c r="S66" s="3" t="s">
        <v>202</v>
      </c>
    </row>
    <row r="67" spans="1:19">
      <c r="A67" s="3" t="s">
        <v>19</v>
      </c>
      <c r="B67" s="3">
        <v>2026</v>
      </c>
      <c r="C67" s="3">
        <v>1143427761</v>
      </c>
      <c r="D67" s="3" t="s">
        <v>221</v>
      </c>
      <c r="E67" s="3" t="s">
        <v>138</v>
      </c>
      <c r="F67" s="13">
        <v>46178</v>
      </c>
      <c r="G67" s="13">
        <v>46184</v>
      </c>
      <c r="H67" s="95">
        <v>7</v>
      </c>
      <c r="I67" s="3" t="s">
        <v>219</v>
      </c>
      <c r="J67" s="3">
        <v>1185020</v>
      </c>
      <c r="K67" s="3" t="s">
        <v>197</v>
      </c>
      <c r="L67" s="13">
        <v>46208</v>
      </c>
      <c r="N67" s="97">
        <v>1750905</v>
      </c>
      <c r="O67" s="3">
        <v>7</v>
      </c>
      <c r="P67" s="97">
        <v>408544.5</v>
      </c>
      <c r="Q67" s="97">
        <v>408545</v>
      </c>
      <c r="R67" s="13">
        <v>46219</v>
      </c>
      <c r="S67" s="3" t="s">
        <v>202</v>
      </c>
    </row>
    <row r="68" spans="1:19">
      <c r="A68" s="3" t="s">
        <v>19</v>
      </c>
      <c r="B68" s="3">
        <v>2026</v>
      </c>
      <c r="C68" s="3">
        <v>1143146796</v>
      </c>
      <c r="D68" s="3" t="s">
        <v>303</v>
      </c>
      <c r="E68" s="3" t="s">
        <v>138</v>
      </c>
      <c r="F68" s="13">
        <v>46170</v>
      </c>
      <c r="G68" s="13">
        <v>46174</v>
      </c>
      <c r="H68" s="95">
        <v>5</v>
      </c>
      <c r="I68" s="3" t="s">
        <v>270</v>
      </c>
      <c r="J68" s="3" t="s">
        <v>304</v>
      </c>
      <c r="K68" s="3" t="s">
        <v>197</v>
      </c>
      <c r="L68" s="13">
        <v>46250</v>
      </c>
      <c r="N68" s="97">
        <v>1750905</v>
      </c>
      <c r="O68" s="3">
        <v>3</v>
      </c>
      <c r="P68" s="97">
        <v>175090.5</v>
      </c>
      <c r="Q68" s="97"/>
    </row>
    <row r="69" spans="1:19">
      <c r="A69" s="3" t="s">
        <v>19</v>
      </c>
      <c r="B69" s="3">
        <v>2026</v>
      </c>
      <c r="C69" s="3">
        <v>1097393738</v>
      </c>
      <c r="D69" s="3" t="s">
        <v>305</v>
      </c>
      <c r="E69" s="3" t="s">
        <v>138</v>
      </c>
      <c r="F69" s="13">
        <v>46173</v>
      </c>
      <c r="G69" s="13">
        <v>46175</v>
      </c>
      <c r="H69" s="95">
        <v>3</v>
      </c>
      <c r="I69" s="3" t="s">
        <v>200</v>
      </c>
      <c r="J69" s="3" t="s">
        <v>302</v>
      </c>
      <c r="K69" s="3" t="s">
        <v>197</v>
      </c>
      <c r="L69" s="13">
        <v>46208</v>
      </c>
      <c r="N69" s="97">
        <v>1750905</v>
      </c>
      <c r="O69" s="3">
        <v>1</v>
      </c>
      <c r="P69" s="97">
        <v>58363.5</v>
      </c>
      <c r="Q69" s="97"/>
    </row>
    <row r="70" spans="1:19">
      <c r="A70" s="3" t="s">
        <v>19</v>
      </c>
      <c r="B70" s="3">
        <v>2026</v>
      </c>
      <c r="C70" s="3">
        <v>1043636635</v>
      </c>
      <c r="D70" s="3" t="s">
        <v>306</v>
      </c>
      <c r="E70" s="3" t="s">
        <v>138</v>
      </c>
      <c r="F70" s="13">
        <v>46178</v>
      </c>
      <c r="G70" s="13">
        <v>46180</v>
      </c>
      <c r="H70" s="95">
        <v>3</v>
      </c>
      <c r="I70" s="3" t="s">
        <v>240</v>
      </c>
      <c r="K70" s="3" t="s">
        <v>298</v>
      </c>
      <c r="N70" s="97">
        <v>1750905</v>
      </c>
      <c r="O70" s="3">
        <v>1</v>
      </c>
      <c r="P70" s="97">
        <v>58363.5</v>
      </c>
      <c r="Q70" s="97"/>
    </row>
    <row r="71" spans="1:19">
      <c r="A71" s="3" t="s">
        <v>19</v>
      </c>
      <c r="B71" s="3">
        <v>2026</v>
      </c>
      <c r="C71" s="3">
        <v>6005454469</v>
      </c>
      <c r="D71" s="3" t="s">
        <v>307</v>
      </c>
      <c r="E71" s="3" t="s">
        <v>136</v>
      </c>
      <c r="F71" s="13">
        <v>46173</v>
      </c>
      <c r="G71" s="13">
        <v>46176</v>
      </c>
      <c r="H71" s="95">
        <v>4</v>
      </c>
      <c r="I71" s="3" t="s">
        <v>208</v>
      </c>
      <c r="J71" s="3">
        <v>66732069181</v>
      </c>
      <c r="K71" s="3" t="s">
        <v>197</v>
      </c>
      <c r="L71" s="13">
        <v>46208</v>
      </c>
      <c r="N71" s="97">
        <v>1750905</v>
      </c>
      <c r="O71" s="3">
        <v>4</v>
      </c>
      <c r="P71" s="97">
        <v>277598</v>
      </c>
      <c r="Q71" s="97">
        <v>277598</v>
      </c>
      <c r="R71" s="13">
        <v>46226</v>
      </c>
      <c r="S71" s="3" t="s">
        <v>202</v>
      </c>
    </row>
    <row r="72" spans="1:19">
      <c r="A72" s="3" t="s">
        <v>19</v>
      </c>
      <c r="B72" s="3">
        <v>2026</v>
      </c>
      <c r="C72" s="3">
        <v>1067295833</v>
      </c>
      <c r="D72" s="3" t="s">
        <v>308</v>
      </c>
      <c r="E72" s="3" t="s">
        <v>138</v>
      </c>
      <c r="F72" s="13">
        <v>46191</v>
      </c>
      <c r="G72" s="13">
        <v>46198</v>
      </c>
      <c r="H72" s="95">
        <v>8</v>
      </c>
      <c r="I72" s="3" t="s">
        <v>219</v>
      </c>
      <c r="J72" s="3">
        <v>11987691</v>
      </c>
      <c r="K72" s="3" t="s">
        <v>197</v>
      </c>
      <c r="L72" s="13">
        <v>46250</v>
      </c>
      <c r="N72" s="97">
        <v>1750905</v>
      </c>
      <c r="O72" s="3">
        <v>6</v>
      </c>
      <c r="P72" s="97">
        <v>233454</v>
      </c>
      <c r="Q72" s="97">
        <v>175091</v>
      </c>
      <c r="R72" s="13">
        <v>46261</v>
      </c>
      <c r="S72" s="3" t="s">
        <v>202</v>
      </c>
    </row>
    <row r="73" spans="1:19">
      <c r="A73" s="3" t="s">
        <v>19</v>
      </c>
      <c r="B73" s="3">
        <v>2026</v>
      </c>
      <c r="C73" s="3">
        <v>1005330204</v>
      </c>
      <c r="D73" s="3" t="s">
        <v>309</v>
      </c>
      <c r="E73" s="3" t="s">
        <v>138</v>
      </c>
      <c r="F73" s="13">
        <v>46197</v>
      </c>
      <c r="G73" s="13">
        <v>46199</v>
      </c>
      <c r="H73" s="95">
        <v>3</v>
      </c>
      <c r="I73" s="3" t="s">
        <v>219</v>
      </c>
      <c r="J73" s="3" t="s">
        <v>310</v>
      </c>
      <c r="K73" s="3" t="s">
        <v>197</v>
      </c>
      <c r="L73" s="13">
        <v>46250</v>
      </c>
      <c r="M73" s="3" t="s">
        <v>311</v>
      </c>
      <c r="N73" s="97">
        <v>1750905</v>
      </c>
      <c r="O73" s="3">
        <v>1</v>
      </c>
      <c r="P73" s="97">
        <v>58363.5</v>
      </c>
      <c r="Q73" s="97"/>
    </row>
    <row r="74" spans="1:19">
      <c r="A74" s="3" t="s">
        <v>19</v>
      </c>
      <c r="B74" s="3">
        <v>2026</v>
      </c>
      <c r="C74" s="3">
        <v>1006093704</v>
      </c>
      <c r="D74" s="3" t="s">
        <v>312</v>
      </c>
      <c r="E74" s="3" t="s">
        <v>138</v>
      </c>
      <c r="F74" s="13">
        <v>46199</v>
      </c>
      <c r="G74" s="13">
        <v>46202</v>
      </c>
      <c r="H74" s="95">
        <v>4</v>
      </c>
      <c r="I74" s="3" t="s">
        <v>313</v>
      </c>
      <c r="K74" s="3" t="s">
        <v>298</v>
      </c>
      <c r="N74" s="97">
        <v>1750905</v>
      </c>
      <c r="O74" s="3">
        <v>2</v>
      </c>
      <c r="P74" s="97">
        <v>116727</v>
      </c>
      <c r="Q74" s="97"/>
    </row>
    <row r="75" spans="1:19">
      <c r="A75" s="3" t="s">
        <v>19</v>
      </c>
      <c r="B75" s="3">
        <v>2026</v>
      </c>
      <c r="C75" s="3">
        <v>1063176693</v>
      </c>
      <c r="D75" s="3" t="s">
        <v>314</v>
      </c>
      <c r="E75" s="3" t="s">
        <v>138</v>
      </c>
      <c r="F75" s="13">
        <v>46198</v>
      </c>
      <c r="G75" s="13">
        <v>46200</v>
      </c>
      <c r="H75" s="95">
        <v>3</v>
      </c>
      <c r="I75" s="3" t="s">
        <v>219</v>
      </c>
      <c r="J75" s="3">
        <v>11987692</v>
      </c>
      <c r="K75" s="3" t="s">
        <v>197</v>
      </c>
      <c r="L75" s="13">
        <v>46250</v>
      </c>
      <c r="N75" s="97">
        <v>1750905</v>
      </c>
      <c r="O75" s="3">
        <v>1</v>
      </c>
      <c r="P75" s="97">
        <v>58363.5</v>
      </c>
      <c r="Q75" s="97">
        <v>58364</v>
      </c>
      <c r="R75" s="13">
        <v>46261</v>
      </c>
    </row>
    <row r="76" spans="1:19">
      <c r="A76" s="3" t="s">
        <v>19</v>
      </c>
      <c r="B76" s="3">
        <v>2026</v>
      </c>
      <c r="C76" s="3">
        <v>1005066292</v>
      </c>
      <c r="D76" s="3" t="s">
        <v>315</v>
      </c>
      <c r="E76" s="3" t="s">
        <v>136</v>
      </c>
      <c r="F76" s="13">
        <v>46199</v>
      </c>
      <c r="G76" s="13">
        <v>46203</v>
      </c>
      <c r="H76" s="95">
        <v>5</v>
      </c>
      <c r="I76" s="3" t="s">
        <v>208</v>
      </c>
      <c r="J76" s="3">
        <v>712098410510</v>
      </c>
      <c r="K76" s="3" t="s">
        <v>197</v>
      </c>
      <c r="L76" s="13">
        <v>46250</v>
      </c>
      <c r="N76" s="97">
        <v>2909000</v>
      </c>
      <c r="O76" s="3">
        <v>3</v>
      </c>
      <c r="P76" s="97">
        <v>687868</v>
      </c>
      <c r="Q76" s="97">
        <v>687868</v>
      </c>
      <c r="R76" s="13">
        <v>46260</v>
      </c>
    </row>
    <row r="77" spans="1:19" ht="17.25">
      <c r="A77" s="3" t="s">
        <v>19</v>
      </c>
      <c r="B77" s="3">
        <v>2026</v>
      </c>
      <c r="C77" s="3">
        <v>1003098021</v>
      </c>
      <c r="D77" s="3" t="s">
        <v>316</v>
      </c>
      <c r="E77" s="3" t="s">
        <v>138</v>
      </c>
      <c r="F77" s="13">
        <v>46199</v>
      </c>
      <c r="G77" s="13">
        <v>46211</v>
      </c>
      <c r="H77" s="95">
        <v>13</v>
      </c>
      <c r="I77" s="3" t="s">
        <v>233</v>
      </c>
      <c r="J77" s="99">
        <v>2634939</v>
      </c>
      <c r="K77" s="3" t="s">
        <v>197</v>
      </c>
      <c r="L77" s="13">
        <v>46250</v>
      </c>
      <c r="N77" s="97">
        <v>1750905</v>
      </c>
      <c r="O77" s="3">
        <v>11</v>
      </c>
      <c r="P77" s="97">
        <v>641998.5</v>
      </c>
      <c r="Q77" s="97"/>
    </row>
    <row r="78" spans="1:19">
      <c r="A78" s="3" t="s">
        <v>19</v>
      </c>
      <c r="B78" s="3">
        <v>2026</v>
      </c>
      <c r="C78" s="3">
        <v>1111539360</v>
      </c>
      <c r="D78" s="3" t="s">
        <v>215</v>
      </c>
      <c r="E78" s="3" t="s">
        <v>138</v>
      </c>
      <c r="F78" s="13">
        <v>46183</v>
      </c>
      <c r="G78" s="13">
        <v>46187</v>
      </c>
      <c r="H78" s="95">
        <v>5</v>
      </c>
      <c r="I78" s="3" t="s">
        <v>216</v>
      </c>
      <c r="K78" s="3" t="s">
        <v>298</v>
      </c>
      <c r="N78" s="97">
        <v>1750905</v>
      </c>
      <c r="O78" s="3">
        <v>3</v>
      </c>
      <c r="P78" s="97">
        <v>175090.5</v>
      </c>
      <c r="Q78" s="97"/>
    </row>
    <row r="79" spans="1:19" s="103" customFormat="1">
      <c r="A79" s="103" t="s">
        <v>19</v>
      </c>
      <c r="B79" s="103">
        <v>2026</v>
      </c>
      <c r="C79" s="103">
        <v>1020106460</v>
      </c>
      <c r="D79" s="103" t="s">
        <v>317</v>
      </c>
      <c r="E79" s="3" t="s">
        <v>138</v>
      </c>
      <c r="F79" s="104">
        <v>46189</v>
      </c>
      <c r="G79" s="104">
        <v>46191</v>
      </c>
      <c r="H79" s="105">
        <v>3</v>
      </c>
      <c r="I79" s="103" t="s">
        <v>219</v>
      </c>
      <c r="J79" s="103">
        <v>11987695</v>
      </c>
      <c r="K79" s="103" t="s">
        <v>197</v>
      </c>
      <c r="L79" s="104">
        <v>46250</v>
      </c>
      <c r="N79" s="106">
        <v>1750905</v>
      </c>
      <c r="O79" s="103">
        <v>1</v>
      </c>
      <c r="P79" s="106">
        <v>58363.5</v>
      </c>
      <c r="Q79" s="106">
        <v>58363.5</v>
      </c>
      <c r="R79" s="104">
        <v>46261</v>
      </c>
      <c r="S79" s="103" t="s">
        <v>202</v>
      </c>
    </row>
    <row r="80" spans="1:19">
      <c r="A80" s="3" t="s">
        <v>19</v>
      </c>
      <c r="B80" s="3">
        <v>2026</v>
      </c>
      <c r="C80" s="3">
        <v>5001216229</v>
      </c>
      <c r="D80" s="3" t="s">
        <v>290</v>
      </c>
      <c r="E80" s="3" t="s">
        <v>138</v>
      </c>
      <c r="F80" s="13">
        <v>46185</v>
      </c>
      <c r="G80" s="13">
        <v>46188</v>
      </c>
      <c r="H80" s="95">
        <v>4</v>
      </c>
      <c r="I80" s="3" t="s">
        <v>211</v>
      </c>
      <c r="K80" s="3" t="s">
        <v>298</v>
      </c>
      <c r="N80" s="97">
        <v>1750905</v>
      </c>
      <c r="O80" s="3">
        <v>2</v>
      </c>
      <c r="P80" s="97">
        <v>116727</v>
      </c>
      <c r="Q80" s="97"/>
    </row>
    <row r="81" spans="1:19" ht="15.75">
      <c r="A81" s="3" t="s">
        <v>19</v>
      </c>
      <c r="B81" s="3">
        <v>2026</v>
      </c>
      <c r="C81" s="3">
        <v>1067840974</v>
      </c>
      <c r="D81" s="3" t="s">
        <v>296</v>
      </c>
      <c r="E81" s="3" t="s">
        <v>138</v>
      </c>
      <c r="F81" s="13">
        <v>46186</v>
      </c>
      <c r="G81" s="13">
        <v>46189</v>
      </c>
      <c r="H81" s="95">
        <v>4</v>
      </c>
      <c r="I81" s="3" t="s">
        <v>270</v>
      </c>
      <c r="J81" s="101">
        <v>816262207</v>
      </c>
      <c r="K81" s="3" t="s">
        <v>197</v>
      </c>
      <c r="L81" s="13">
        <v>46250</v>
      </c>
      <c r="N81" s="97">
        <v>1750905</v>
      </c>
      <c r="O81" s="3">
        <v>2</v>
      </c>
      <c r="P81" s="97">
        <v>116727</v>
      </c>
      <c r="Q81" s="97"/>
    </row>
    <row r="82" spans="1:19" ht="15.75">
      <c r="A82" s="3" t="s">
        <v>19</v>
      </c>
      <c r="B82" s="3">
        <v>2026</v>
      </c>
      <c r="C82" s="3">
        <v>1071352746</v>
      </c>
      <c r="D82" s="3" t="s">
        <v>318</v>
      </c>
      <c r="E82" s="3" t="s">
        <v>138</v>
      </c>
      <c r="F82" s="13">
        <v>46186</v>
      </c>
      <c r="G82" s="13">
        <v>46189</v>
      </c>
      <c r="H82" s="95">
        <v>4</v>
      </c>
      <c r="I82" s="3" t="s">
        <v>270</v>
      </c>
      <c r="J82" s="101">
        <v>817261645</v>
      </c>
      <c r="K82" s="3" t="s">
        <v>298</v>
      </c>
      <c r="L82" s="13">
        <v>46251</v>
      </c>
      <c r="N82" s="97">
        <v>1750905</v>
      </c>
      <c r="O82" s="3">
        <v>2</v>
      </c>
      <c r="P82" s="97">
        <v>116727</v>
      </c>
      <c r="Q82" s="97"/>
    </row>
    <row r="83" spans="1:19">
      <c r="A83" s="3" t="s">
        <v>19</v>
      </c>
      <c r="B83" s="3">
        <v>2026</v>
      </c>
      <c r="C83" s="3">
        <v>1003100279</v>
      </c>
      <c r="D83" s="3" t="s">
        <v>319</v>
      </c>
      <c r="E83" s="3" t="s">
        <v>138</v>
      </c>
      <c r="F83" s="13">
        <v>46186</v>
      </c>
      <c r="G83" s="13">
        <v>46188</v>
      </c>
      <c r="H83" s="95">
        <v>3</v>
      </c>
      <c r="I83" s="3" t="s">
        <v>320</v>
      </c>
      <c r="K83" s="3" t="s">
        <v>298</v>
      </c>
      <c r="N83" s="97">
        <v>1750905</v>
      </c>
      <c r="O83" s="3">
        <v>1</v>
      </c>
      <c r="P83" s="97">
        <v>58363.5</v>
      </c>
      <c r="Q83" s="97"/>
    </row>
    <row r="84" spans="1:19" ht="15.75">
      <c r="A84" s="3" t="s">
        <v>19</v>
      </c>
      <c r="B84" s="3">
        <v>2026</v>
      </c>
      <c r="C84" s="3">
        <v>1004634188</v>
      </c>
      <c r="D84" s="3" t="s">
        <v>321</v>
      </c>
      <c r="E84" s="3" t="s">
        <v>138</v>
      </c>
      <c r="F84" s="13">
        <v>46183</v>
      </c>
      <c r="G84" s="13">
        <v>46212</v>
      </c>
      <c r="H84" s="95">
        <v>30</v>
      </c>
      <c r="I84" s="3" t="s">
        <v>270</v>
      </c>
      <c r="J84" s="101">
        <v>817261677</v>
      </c>
      <c r="K84" s="3" t="s">
        <v>197</v>
      </c>
      <c r="L84" s="13">
        <v>46251</v>
      </c>
      <c r="N84" s="97">
        <v>1750905</v>
      </c>
      <c r="O84" s="3">
        <v>28</v>
      </c>
      <c r="P84" s="97">
        <v>1634178</v>
      </c>
      <c r="Q84" s="97"/>
    </row>
    <row r="85" spans="1:19" ht="17.25">
      <c r="A85" s="3" t="s">
        <v>19</v>
      </c>
      <c r="B85" s="3">
        <v>2026</v>
      </c>
      <c r="C85" s="3">
        <v>1053873691</v>
      </c>
      <c r="D85" s="3" t="s">
        <v>289</v>
      </c>
      <c r="E85" s="3" t="s">
        <v>138</v>
      </c>
      <c r="F85" s="13">
        <v>46184</v>
      </c>
      <c r="G85" s="13">
        <v>46186</v>
      </c>
      <c r="H85" s="95">
        <v>3</v>
      </c>
      <c r="I85" s="3" t="s">
        <v>233</v>
      </c>
      <c r="J85" s="99">
        <v>2634933</v>
      </c>
      <c r="K85" s="3" t="s">
        <v>197</v>
      </c>
      <c r="L85" s="13">
        <v>46250</v>
      </c>
      <c r="N85" s="97">
        <v>1750905</v>
      </c>
      <c r="O85" s="3">
        <v>1</v>
      </c>
      <c r="P85" s="97">
        <v>58363.5</v>
      </c>
      <c r="Q85" s="97"/>
    </row>
    <row r="86" spans="1:19" ht="15.75">
      <c r="A86" s="3" t="s">
        <v>19</v>
      </c>
      <c r="B86" s="3">
        <v>2026</v>
      </c>
      <c r="C86" s="3">
        <v>1152454079</v>
      </c>
      <c r="D86" s="3" t="s">
        <v>322</v>
      </c>
      <c r="E86" s="3" t="s">
        <v>138</v>
      </c>
      <c r="F86" s="13">
        <v>46189</v>
      </c>
      <c r="G86" s="13">
        <v>46192</v>
      </c>
      <c r="H86" s="95">
        <v>4</v>
      </c>
      <c r="I86" s="3" t="s">
        <v>288</v>
      </c>
      <c r="J86" s="107">
        <v>1100778334</v>
      </c>
      <c r="K86" s="3" t="s">
        <v>197</v>
      </c>
      <c r="L86" s="13">
        <v>46251</v>
      </c>
      <c r="N86" s="97">
        <v>1750905</v>
      </c>
      <c r="O86" s="3">
        <v>2</v>
      </c>
      <c r="P86" s="97">
        <v>116727</v>
      </c>
      <c r="Q86" s="97"/>
    </row>
    <row r="87" spans="1:19">
      <c r="A87" s="3" t="s">
        <v>19</v>
      </c>
      <c r="B87" s="3">
        <v>2026</v>
      </c>
      <c r="C87" s="3">
        <v>1033652606</v>
      </c>
      <c r="D87" s="3" t="s">
        <v>323</v>
      </c>
      <c r="E87" s="3" t="s">
        <v>136</v>
      </c>
      <c r="F87" s="13">
        <v>46187</v>
      </c>
      <c r="G87" s="13">
        <v>46191</v>
      </c>
      <c r="H87" s="95">
        <v>5</v>
      </c>
      <c r="I87" s="3" t="s">
        <v>208</v>
      </c>
      <c r="J87" s="3">
        <v>457022086858</v>
      </c>
      <c r="K87" s="3" t="s">
        <v>197</v>
      </c>
      <c r="L87" s="13">
        <v>46250</v>
      </c>
      <c r="N87" s="97">
        <v>1809000</v>
      </c>
      <c r="O87" s="3">
        <v>5</v>
      </c>
      <c r="P87" s="97">
        <v>357571</v>
      </c>
      <c r="Q87" s="97">
        <v>357571</v>
      </c>
      <c r="R87" s="13">
        <v>46260</v>
      </c>
    </row>
    <row r="88" spans="1:19">
      <c r="A88" s="3" t="s">
        <v>19</v>
      </c>
      <c r="B88" s="3">
        <v>2026</v>
      </c>
      <c r="C88" s="3">
        <v>1143427761</v>
      </c>
      <c r="D88" s="3" t="s">
        <v>221</v>
      </c>
      <c r="E88" s="3" t="s">
        <v>138</v>
      </c>
      <c r="F88" s="13">
        <v>46185</v>
      </c>
      <c r="G88" s="13">
        <v>46191</v>
      </c>
      <c r="H88" s="95">
        <v>7</v>
      </c>
      <c r="I88" s="3" t="s">
        <v>219</v>
      </c>
      <c r="J88" s="3">
        <v>11987696</v>
      </c>
      <c r="K88" s="3" t="s">
        <v>197</v>
      </c>
      <c r="L88" s="13">
        <v>46250</v>
      </c>
      <c r="N88" s="97">
        <v>1750905</v>
      </c>
      <c r="O88" s="3">
        <v>5</v>
      </c>
      <c r="P88" s="97">
        <v>408544.5</v>
      </c>
      <c r="Q88" s="97">
        <v>408544.5</v>
      </c>
      <c r="R88" s="13">
        <v>46261</v>
      </c>
      <c r="S88" s="3" t="s">
        <v>202</v>
      </c>
    </row>
    <row r="89" spans="1:19" ht="15.75">
      <c r="A89" s="3" t="s">
        <v>19</v>
      </c>
      <c r="B89" s="3">
        <v>2026</v>
      </c>
      <c r="C89" s="3">
        <v>1001712047</v>
      </c>
      <c r="D89" s="3" t="s">
        <v>324</v>
      </c>
      <c r="E89" s="3" t="s">
        <v>138</v>
      </c>
      <c r="F89" s="13">
        <v>46193</v>
      </c>
      <c r="G89" s="13">
        <v>46199</v>
      </c>
      <c r="H89" s="95">
        <v>7</v>
      </c>
      <c r="I89" s="3" t="s">
        <v>288</v>
      </c>
      <c r="J89" s="107">
        <v>1100778335</v>
      </c>
      <c r="K89" s="3" t="s">
        <v>197</v>
      </c>
      <c r="L89" s="13">
        <v>46251</v>
      </c>
      <c r="N89" s="97">
        <v>1750905</v>
      </c>
      <c r="O89" s="3">
        <v>5</v>
      </c>
      <c r="P89" s="97">
        <v>291817.5</v>
      </c>
      <c r="Q89" s="97"/>
    </row>
    <row r="90" spans="1:19">
      <c r="A90" s="3" t="s">
        <v>19</v>
      </c>
      <c r="B90" s="3">
        <v>2026</v>
      </c>
      <c r="C90" s="3">
        <v>1111539998</v>
      </c>
      <c r="D90" s="3" t="s">
        <v>239</v>
      </c>
      <c r="E90" s="3" t="s">
        <v>138</v>
      </c>
      <c r="F90" s="13">
        <v>46176</v>
      </c>
      <c r="G90" s="13">
        <v>46178</v>
      </c>
      <c r="H90" s="95">
        <v>3</v>
      </c>
      <c r="I90" s="3" t="s">
        <v>195</v>
      </c>
      <c r="K90" s="3" t="s">
        <v>298</v>
      </c>
      <c r="N90" s="97">
        <v>1750905</v>
      </c>
      <c r="O90" s="3">
        <v>1</v>
      </c>
      <c r="P90" s="97">
        <v>58363.5</v>
      </c>
      <c r="Q90" s="97"/>
    </row>
    <row r="91" spans="1:19" ht="17.25">
      <c r="A91" s="3" t="s">
        <v>19</v>
      </c>
      <c r="B91" s="3">
        <v>2026</v>
      </c>
      <c r="C91" s="3">
        <v>1077429561</v>
      </c>
      <c r="D91" s="3" t="s">
        <v>261</v>
      </c>
      <c r="E91" s="3" t="s">
        <v>138</v>
      </c>
      <c r="F91" s="13">
        <v>46192</v>
      </c>
      <c r="G91" s="13">
        <v>46201</v>
      </c>
      <c r="H91" s="95">
        <v>10</v>
      </c>
      <c r="I91" s="3" t="s">
        <v>233</v>
      </c>
      <c r="J91" s="99">
        <v>2634937</v>
      </c>
      <c r="K91" s="3" t="s">
        <v>197</v>
      </c>
      <c r="L91" s="13">
        <v>46250</v>
      </c>
      <c r="N91" s="97">
        <v>1750905</v>
      </c>
      <c r="O91" s="3">
        <v>8</v>
      </c>
      <c r="P91" s="97">
        <v>466908</v>
      </c>
      <c r="Q91" s="97"/>
    </row>
    <row r="92" spans="1:19">
      <c r="A92" s="3" t="s">
        <v>19</v>
      </c>
      <c r="B92" s="3">
        <v>2026</v>
      </c>
      <c r="C92" s="3">
        <v>1003100279</v>
      </c>
      <c r="D92" s="3" t="s">
        <v>319</v>
      </c>
      <c r="E92" s="3" t="s">
        <v>138</v>
      </c>
      <c r="F92" s="13">
        <v>46192</v>
      </c>
      <c r="G92" s="13">
        <v>46198</v>
      </c>
      <c r="H92" s="95">
        <v>7</v>
      </c>
      <c r="I92" s="3" t="s">
        <v>320</v>
      </c>
      <c r="K92" s="3" t="s">
        <v>298</v>
      </c>
      <c r="N92" s="97">
        <v>1750905</v>
      </c>
      <c r="O92" s="3">
        <v>5</v>
      </c>
      <c r="P92" s="97">
        <v>291817.5</v>
      </c>
      <c r="Q92" s="97"/>
    </row>
    <row r="93" spans="1:19" ht="15.75">
      <c r="A93" s="3" t="s">
        <v>19</v>
      </c>
      <c r="B93" s="3">
        <v>2026</v>
      </c>
      <c r="C93" s="3">
        <v>1000400918</v>
      </c>
      <c r="D93" s="3" t="s">
        <v>325</v>
      </c>
      <c r="E93" s="3" t="s">
        <v>138</v>
      </c>
      <c r="F93" s="13">
        <v>46192</v>
      </c>
      <c r="G93" s="13">
        <v>46194</v>
      </c>
      <c r="H93" s="95">
        <v>3</v>
      </c>
      <c r="I93" s="3" t="s">
        <v>270</v>
      </c>
      <c r="J93" s="101">
        <v>817261714</v>
      </c>
      <c r="K93" s="3" t="s">
        <v>197</v>
      </c>
      <c r="L93" s="13">
        <v>46251</v>
      </c>
      <c r="N93" s="97">
        <v>1750905</v>
      </c>
      <c r="O93" s="3">
        <v>1</v>
      </c>
      <c r="P93" s="97">
        <v>58363.5</v>
      </c>
      <c r="Q93" s="97"/>
    </row>
    <row r="94" spans="1:19" ht="15.75">
      <c r="A94" s="3" t="s">
        <v>19</v>
      </c>
      <c r="B94" s="3">
        <v>2026</v>
      </c>
      <c r="C94" s="3">
        <v>1102807603</v>
      </c>
      <c r="D94" s="3" t="s">
        <v>326</v>
      </c>
      <c r="E94" s="3" t="s">
        <v>138</v>
      </c>
      <c r="F94" s="13">
        <v>46193</v>
      </c>
      <c r="G94" s="13">
        <v>46195</v>
      </c>
      <c r="H94" s="95">
        <v>3</v>
      </c>
      <c r="I94" s="3" t="s">
        <v>270</v>
      </c>
      <c r="J94" s="101">
        <v>817261794</v>
      </c>
      <c r="K94" s="3" t="s">
        <v>197</v>
      </c>
      <c r="L94" s="13">
        <v>46251</v>
      </c>
      <c r="N94" s="97">
        <v>1750905</v>
      </c>
      <c r="O94" s="3">
        <v>1</v>
      </c>
      <c r="P94" s="97">
        <v>58363.5</v>
      </c>
      <c r="Q94" s="97"/>
    </row>
    <row r="95" spans="1:19">
      <c r="A95" s="3" t="s">
        <v>19</v>
      </c>
      <c r="B95" s="3">
        <v>2026</v>
      </c>
      <c r="C95" s="3">
        <v>1018481219</v>
      </c>
      <c r="D95" s="3" t="s">
        <v>199</v>
      </c>
      <c r="E95" s="3" t="s">
        <v>138</v>
      </c>
      <c r="F95" s="13">
        <v>46193</v>
      </c>
      <c r="G95" s="13">
        <v>46196</v>
      </c>
      <c r="H95" s="95">
        <v>4</v>
      </c>
      <c r="I95" s="3" t="s">
        <v>200</v>
      </c>
      <c r="K95" s="3" t="s">
        <v>298</v>
      </c>
      <c r="N95" s="97">
        <v>1750905</v>
      </c>
      <c r="O95" s="3">
        <v>2</v>
      </c>
      <c r="P95" s="97">
        <v>116727</v>
      </c>
      <c r="Q95" s="97"/>
    </row>
    <row r="96" spans="1:19">
      <c r="A96" s="3" t="s">
        <v>19</v>
      </c>
      <c r="B96" s="3">
        <v>2026</v>
      </c>
      <c r="C96" s="3">
        <v>1047476202</v>
      </c>
      <c r="D96" s="3" t="s">
        <v>327</v>
      </c>
      <c r="E96" s="3" t="s">
        <v>136</v>
      </c>
      <c r="F96" s="13">
        <v>46193</v>
      </c>
      <c r="G96" s="13">
        <v>46199</v>
      </c>
      <c r="H96" s="95">
        <v>7</v>
      </c>
      <c r="I96" s="3" t="s">
        <v>208</v>
      </c>
      <c r="J96" s="3">
        <v>756132355787</v>
      </c>
      <c r="K96" s="3" t="s">
        <v>197</v>
      </c>
      <c r="L96" s="13">
        <v>46250</v>
      </c>
      <c r="N96" s="97">
        <v>1750905</v>
      </c>
      <c r="O96" s="3">
        <v>7</v>
      </c>
      <c r="P96" s="97">
        <v>556258</v>
      </c>
      <c r="Q96" s="97">
        <v>556258</v>
      </c>
      <c r="R96" s="13">
        <v>46260</v>
      </c>
    </row>
    <row r="97" spans="1:19">
      <c r="A97" s="3" t="s">
        <v>19</v>
      </c>
      <c r="B97" s="3">
        <v>2026</v>
      </c>
      <c r="C97" s="3">
        <v>1143427761</v>
      </c>
      <c r="D97" s="3" t="s">
        <v>221</v>
      </c>
      <c r="E97" s="3" t="s">
        <v>138</v>
      </c>
      <c r="F97" s="13">
        <v>46193</v>
      </c>
      <c r="G97" s="13">
        <v>46199</v>
      </c>
      <c r="H97" s="95">
        <v>7</v>
      </c>
      <c r="I97" s="3" t="s">
        <v>219</v>
      </c>
      <c r="J97" s="3">
        <v>11987697</v>
      </c>
      <c r="K97" s="3" t="s">
        <v>197</v>
      </c>
      <c r="L97" s="13">
        <v>46250</v>
      </c>
      <c r="N97" s="97">
        <v>1750905</v>
      </c>
      <c r="O97" s="3">
        <v>5</v>
      </c>
      <c r="P97" s="97">
        <v>408544.5</v>
      </c>
      <c r="Q97" s="97">
        <v>408544.5</v>
      </c>
      <c r="R97" s="13">
        <v>46261</v>
      </c>
      <c r="S97" s="3" t="s">
        <v>202</v>
      </c>
    </row>
    <row r="98" spans="1:19" ht="17.25">
      <c r="A98" s="3" t="s">
        <v>19</v>
      </c>
      <c r="B98" s="3">
        <v>2026</v>
      </c>
      <c r="C98" s="3">
        <v>1053869620</v>
      </c>
      <c r="D98" s="3" t="s">
        <v>328</v>
      </c>
      <c r="E98" s="3" t="s">
        <v>138</v>
      </c>
      <c r="F98" s="13">
        <v>46193</v>
      </c>
      <c r="G98" s="13">
        <v>46195</v>
      </c>
      <c r="H98" s="95">
        <v>3</v>
      </c>
      <c r="I98" s="3" t="s">
        <v>233</v>
      </c>
      <c r="J98" s="99">
        <v>2634940</v>
      </c>
      <c r="K98" s="3" t="s">
        <v>197</v>
      </c>
      <c r="L98" s="13">
        <v>46250</v>
      </c>
      <c r="N98" s="97">
        <v>1750905</v>
      </c>
      <c r="O98" s="3">
        <v>1</v>
      </c>
      <c r="P98" s="97">
        <v>58363.5</v>
      </c>
      <c r="Q98" s="97"/>
    </row>
    <row r="99" spans="1:19" ht="15.75">
      <c r="A99" s="3" t="s">
        <v>19</v>
      </c>
      <c r="B99" s="3">
        <v>2026</v>
      </c>
      <c r="C99" s="3">
        <v>1007145275</v>
      </c>
      <c r="D99" s="3" t="s">
        <v>253</v>
      </c>
      <c r="E99" s="3" t="s">
        <v>138</v>
      </c>
      <c r="F99" s="13">
        <v>46197</v>
      </c>
      <c r="G99" s="13">
        <v>46200</v>
      </c>
      <c r="H99" s="95">
        <v>4</v>
      </c>
      <c r="I99" s="3" t="s">
        <v>270</v>
      </c>
      <c r="J99" s="101">
        <v>817261874</v>
      </c>
      <c r="K99" s="3" t="s">
        <v>197</v>
      </c>
      <c r="L99" s="13">
        <v>46251</v>
      </c>
      <c r="N99" s="97">
        <v>1750905</v>
      </c>
      <c r="O99" s="3">
        <v>2</v>
      </c>
      <c r="P99" s="97">
        <v>116727</v>
      </c>
      <c r="Q99" s="97"/>
    </row>
    <row r="100" spans="1:19" ht="15.75">
      <c r="A100" s="3" t="s">
        <v>20</v>
      </c>
      <c r="B100" s="3">
        <v>2026</v>
      </c>
      <c r="C100" s="3">
        <v>8125390</v>
      </c>
      <c r="D100" s="3" t="s">
        <v>329</v>
      </c>
      <c r="E100" s="3" t="s">
        <v>138</v>
      </c>
      <c r="F100" s="13">
        <v>46211</v>
      </c>
      <c r="G100" s="13">
        <v>46213</v>
      </c>
      <c r="H100" s="95">
        <v>3</v>
      </c>
      <c r="I100" s="3" t="s">
        <v>270</v>
      </c>
      <c r="J100" s="101">
        <v>817261895</v>
      </c>
      <c r="K100" s="3" t="s">
        <v>197</v>
      </c>
      <c r="L100" s="13">
        <v>46251</v>
      </c>
      <c r="N100" s="97">
        <v>1750905</v>
      </c>
      <c r="O100" s="3">
        <v>1</v>
      </c>
      <c r="P100" s="97">
        <v>58363.5</v>
      </c>
      <c r="Q100" s="97"/>
    </row>
    <row r="101" spans="1:19">
      <c r="A101" s="3" t="s">
        <v>20</v>
      </c>
      <c r="B101" s="3">
        <v>2026</v>
      </c>
      <c r="C101" s="3">
        <v>1020436194</v>
      </c>
      <c r="D101" s="3" t="s">
        <v>330</v>
      </c>
      <c r="E101" s="3" t="s">
        <v>136</v>
      </c>
      <c r="F101" s="13">
        <v>46200</v>
      </c>
      <c r="G101" s="13">
        <v>46202</v>
      </c>
      <c r="H101" s="95">
        <v>3</v>
      </c>
      <c r="I101" s="3" t="s">
        <v>208</v>
      </c>
      <c r="J101" s="3">
        <v>367492934109</v>
      </c>
      <c r="K101" s="3" t="s">
        <v>197</v>
      </c>
      <c r="L101" s="13">
        <v>46250</v>
      </c>
      <c r="N101" s="97">
        <v>1750905</v>
      </c>
      <c r="O101" s="3">
        <v>3</v>
      </c>
      <c r="P101" s="97">
        <v>210984</v>
      </c>
      <c r="Q101" s="97">
        <v>210984</v>
      </c>
      <c r="R101" s="13">
        <v>46260</v>
      </c>
    </row>
    <row r="102" spans="1:19">
      <c r="A102" s="3" t="s">
        <v>20</v>
      </c>
      <c r="B102" s="3">
        <v>2026</v>
      </c>
      <c r="C102" s="3">
        <v>1052077012</v>
      </c>
      <c r="D102" s="3" t="s">
        <v>331</v>
      </c>
      <c r="E102" s="3" t="s">
        <v>138</v>
      </c>
      <c r="F102" s="13">
        <v>46211</v>
      </c>
      <c r="G102" s="13">
        <v>46225</v>
      </c>
      <c r="H102" s="95">
        <v>15</v>
      </c>
      <c r="I102" s="3" t="s">
        <v>219</v>
      </c>
      <c r="J102" s="3" t="s">
        <v>332</v>
      </c>
      <c r="K102" s="13" t="s">
        <v>197</v>
      </c>
      <c r="L102" s="13">
        <v>46250</v>
      </c>
      <c r="M102" s="3" t="s">
        <v>333</v>
      </c>
      <c r="N102" s="97">
        <v>1750905</v>
      </c>
      <c r="O102" s="3">
        <v>13</v>
      </c>
      <c r="P102" s="97">
        <v>758725.5</v>
      </c>
      <c r="Q102" s="97"/>
    </row>
    <row r="103" spans="1:19">
      <c r="A103" s="3" t="s">
        <v>20</v>
      </c>
      <c r="B103" s="3">
        <v>2026</v>
      </c>
      <c r="C103" s="3">
        <v>1018481219</v>
      </c>
      <c r="D103" s="3" t="s">
        <v>199</v>
      </c>
      <c r="E103" s="3" t="s">
        <v>138</v>
      </c>
      <c r="F103" s="13">
        <v>46229</v>
      </c>
      <c r="G103" s="13">
        <v>46231</v>
      </c>
      <c r="H103" s="95">
        <v>3</v>
      </c>
      <c r="I103" s="3" t="s">
        <v>200</v>
      </c>
      <c r="K103" s="3" t="s">
        <v>298</v>
      </c>
      <c r="N103" s="97">
        <v>1750905</v>
      </c>
      <c r="O103" s="3">
        <v>1</v>
      </c>
      <c r="P103" s="97">
        <v>58363.5</v>
      </c>
      <c r="Q103" s="97"/>
    </row>
    <row r="104" spans="1:19" ht="17.25">
      <c r="A104" s="3" t="s">
        <v>20</v>
      </c>
      <c r="B104" s="3">
        <v>2026</v>
      </c>
      <c r="C104" s="3">
        <v>1104405051</v>
      </c>
      <c r="D104" s="3" t="s">
        <v>334</v>
      </c>
      <c r="E104" s="3" t="s">
        <v>138</v>
      </c>
      <c r="F104" s="13">
        <v>46220</v>
      </c>
      <c r="G104" s="13">
        <v>46223</v>
      </c>
      <c r="H104" s="95">
        <v>4</v>
      </c>
      <c r="I104" s="3" t="s">
        <v>233</v>
      </c>
      <c r="J104" s="99">
        <v>2634941</v>
      </c>
      <c r="K104" s="3" t="s">
        <v>197</v>
      </c>
      <c r="L104" s="13">
        <v>46250</v>
      </c>
      <c r="N104" s="97">
        <v>1750905</v>
      </c>
      <c r="O104" s="3">
        <v>2</v>
      </c>
      <c r="P104" s="97">
        <v>116727</v>
      </c>
      <c r="Q104" s="97"/>
    </row>
    <row r="105" spans="1:19">
      <c r="A105" s="3" t="s">
        <v>20</v>
      </c>
      <c r="B105" s="3">
        <v>2026</v>
      </c>
      <c r="C105" s="3">
        <v>1096187998</v>
      </c>
      <c r="D105" s="3" t="s">
        <v>335</v>
      </c>
      <c r="E105" s="3" t="s">
        <v>138</v>
      </c>
      <c r="F105" s="13">
        <v>46218</v>
      </c>
      <c r="G105" s="13">
        <v>46220</v>
      </c>
      <c r="H105" s="95">
        <v>3</v>
      </c>
      <c r="I105" s="3" t="s">
        <v>219</v>
      </c>
      <c r="J105" s="13" t="s">
        <v>310</v>
      </c>
      <c r="K105" s="3" t="s">
        <v>197</v>
      </c>
      <c r="L105" s="13">
        <v>46250</v>
      </c>
      <c r="M105" s="3" t="s">
        <v>336</v>
      </c>
      <c r="N105" s="97">
        <v>1750905</v>
      </c>
      <c r="O105" s="3">
        <v>1</v>
      </c>
      <c r="P105" s="97">
        <v>58363.5</v>
      </c>
      <c r="Q105" s="97"/>
    </row>
    <row r="106" spans="1:19" ht="15.75">
      <c r="A106" s="3" t="s">
        <v>20</v>
      </c>
      <c r="B106" s="3">
        <v>2026</v>
      </c>
      <c r="C106" s="3">
        <v>1102807603</v>
      </c>
      <c r="D106" s="3" t="s">
        <v>326</v>
      </c>
      <c r="E106" s="3" t="s">
        <v>138</v>
      </c>
      <c r="F106" s="13">
        <v>46198</v>
      </c>
      <c r="G106" s="13">
        <v>46207</v>
      </c>
      <c r="H106" s="95">
        <v>10</v>
      </c>
      <c r="I106" s="3" t="s">
        <v>270</v>
      </c>
      <c r="J106" s="101">
        <v>817261852</v>
      </c>
      <c r="K106" s="3" t="s">
        <v>197</v>
      </c>
      <c r="L106" s="13">
        <v>46251</v>
      </c>
      <c r="N106" s="97">
        <v>1750905</v>
      </c>
      <c r="O106" s="3">
        <v>8</v>
      </c>
      <c r="P106" s="97">
        <v>466908</v>
      </c>
      <c r="Q106" s="97"/>
    </row>
    <row r="107" spans="1:19">
      <c r="A107" s="3" t="s">
        <v>20</v>
      </c>
      <c r="B107" s="3">
        <v>2026</v>
      </c>
      <c r="C107" s="3">
        <v>1143432556</v>
      </c>
      <c r="D107" s="3" t="s">
        <v>337</v>
      </c>
      <c r="E107" s="3" t="s">
        <v>136</v>
      </c>
      <c r="F107" s="13">
        <v>46201</v>
      </c>
      <c r="G107" s="13">
        <v>46211</v>
      </c>
      <c r="H107" s="95">
        <v>11</v>
      </c>
      <c r="I107" s="3" t="s">
        <v>208</v>
      </c>
      <c r="J107" s="3">
        <v>882184073893</v>
      </c>
      <c r="K107" s="3" t="s">
        <v>197</v>
      </c>
      <c r="L107" s="13">
        <v>46250</v>
      </c>
      <c r="N107" s="97">
        <v>1750905</v>
      </c>
      <c r="O107" s="3">
        <v>11</v>
      </c>
      <c r="P107" s="97">
        <v>856264</v>
      </c>
      <c r="Q107" s="97">
        <v>856264</v>
      </c>
      <c r="R107" s="13">
        <v>46260</v>
      </c>
    </row>
    <row r="108" spans="1:19">
      <c r="A108" s="3" t="s">
        <v>20</v>
      </c>
      <c r="B108" s="3">
        <v>2026</v>
      </c>
      <c r="C108" s="3">
        <v>1104405051</v>
      </c>
      <c r="D108" s="3" t="s">
        <v>334</v>
      </c>
      <c r="E108" s="3" t="s">
        <v>136</v>
      </c>
      <c r="F108" s="13">
        <v>46229</v>
      </c>
      <c r="G108" s="13">
        <v>46231</v>
      </c>
      <c r="H108" s="95">
        <v>3</v>
      </c>
      <c r="I108" s="3" t="s">
        <v>208</v>
      </c>
      <c r="J108" s="3">
        <v>854085875372</v>
      </c>
      <c r="K108" s="3" t="s">
        <v>197</v>
      </c>
      <c r="L108" s="13">
        <v>46250</v>
      </c>
      <c r="N108" s="97">
        <v>1750905</v>
      </c>
      <c r="O108" s="3">
        <v>3</v>
      </c>
      <c r="P108" s="97">
        <v>288449</v>
      </c>
      <c r="Q108" s="97">
        <v>288449</v>
      </c>
      <c r="R108" s="13">
        <v>46266</v>
      </c>
      <c r="S108" s="3" t="s">
        <v>202</v>
      </c>
    </row>
    <row r="109" spans="1:19">
      <c r="A109" s="3" t="s">
        <v>20</v>
      </c>
      <c r="B109" s="3">
        <v>2026</v>
      </c>
      <c r="C109" s="3">
        <v>1000413322</v>
      </c>
      <c r="D109" s="3" t="s">
        <v>230</v>
      </c>
      <c r="E109" s="3" t="s">
        <v>138</v>
      </c>
      <c r="F109" s="13">
        <v>46195</v>
      </c>
      <c r="G109" s="13">
        <v>46197</v>
      </c>
      <c r="H109" s="95">
        <v>3</v>
      </c>
      <c r="I109" s="3" t="s">
        <v>219</v>
      </c>
      <c r="J109" s="3">
        <v>11987704</v>
      </c>
      <c r="K109" s="3" t="s">
        <v>197</v>
      </c>
      <c r="L109" s="13">
        <v>46250</v>
      </c>
      <c r="N109" s="97">
        <v>1750905</v>
      </c>
      <c r="O109" s="3">
        <v>1</v>
      </c>
      <c r="P109" s="97">
        <v>58363.5</v>
      </c>
      <c r="Q109" s="97">
        <v>58364</v>
      </c>
      <c r="R109" s="13">
        <v>46261</v>
      </c>
      <c r="S109" s="3" t="s">
        <v>202</v>
      </c>
    </row>
    <row r="110" spans="1:19" ht="15.75">
      <c r="A110" s="3" t="s">
        <v>20</v>
      </c>
      <c r="B110" s="3">
        <v>2026</v>
      </c>
      <c r="C110" s="3">
        <v>1004634188</v>
      </c>
      <c r="D110" s="3" t="s">
        <v>321</v>
      </c>
      <c r="E110" s="3" t="s">
        <v>138</v>
      </c>
      <c r="F110" s="13">
        <v>46213</v>
      </c>
      <c r="G110" s="13">
        <v>46222</v>
      </c>
      <c r="H110" s="95">
        <v>10</v>
      </c>
      <c r="I110" s="3" t="s">
        <v>270</v>
      </c>
      <c r="J110" s="101">
        <v>817261699</v>
      </c>
      <c r="K110" s="3" t="s">
        <v>197</v>
      </c>
      <c r="L110" s="13">
        <v>46251</v>
      </c>
      <c r="N110" s="97">
        <v>1750905</v>
      </c>
      <c r="O110" s="3">
        <v>8</v>
      </c>
      <c r="P110" s="97">
        <v>466908</v>
      </c>
      <c r="Q110" s="97"/>
    </row>
    <row r="111" spans="1:19">
      <c r="A111" s="3" t="s">
        <v>20</v>
      </c>
      <c r="B111" s="3">
        <v>2026</v>
      </c>
      <c r="C111" s="3">
        <v>1006398859</v>
      </c>
      <c r="D111" s="3" t="s">
        <v>338</v>
      </c>
      <c r="E111" s="3" t="s">
        <v>136</v>
      </c>
      <c r="F111" s="13">
        <v>46211</v>
      </c>
      <c r="G111" s="13">
        <v>46214</v>
      </c>
      <c r="H111" s="95">
        <v>4</v>
      </c>
      <c r="I111" s="3" t="s">
        <v>208</v>
      </c>
      <c r="J111" s="3">
        <v>854085875372</v>
      </c>
      <c r="K111" s="3" t="s">
        <v>197</v>
      </c>
      <c r="L111" s="13">
        <v>46250</v>
      </c>
      <c r="N111" s="97">
        <v>1750905</v>
      </c>
      <c r="O111" s="3">
        <v>4</v>
      </c>
      <c r="P111" s="97">
        <v>290767</v>
      </c>
      <c r="Q111" s="97">
        <v>290767</v>
      </c>
      <c r="R111" s="13">
        <v>46266</v>
      </c>
    </row>
    <row r="112" spans="1:19">
      <c r="A112" s="3" t="s">
        <v>20</v>
      </c>
      <c r="B112" s="3">
        <v>2026</v>
      </c>
      <c r="C112" s="3">
        <v>1143427761</v>
      </c>
      <c r="D112" s="3" t="s">
        <v>221</v>
      </c>
      <c r="E112" s="3" t="s">
        <v>138</v>
      </c>
      <c r="F112" s="13">
        <v>46200</v>
      </c>
      <c r="G112" s="13">
        <v>46206</v>
      </c>
      <c r="H112" s="95">
        <v>7</v>
      </c>
      <c r="I112" s="3" t="s">
        <v>219</v>
      </c>
      <c r="J112" s="3">
        <v>11987698</v>
      </c>
      <c r="K112" s="3" t="s">
        <v>197</v>
      </c>
      <c r="L112" s="13">
        <v>46250</v>
      </c>
      <c r="N112" s="97">
        <v>1750905</v>
      </c>
      <c r="O112" s="3">
        <v>5</v>
      </c>
      <c r="P112" s="97">
        <v>408544.5</v>
      </c>
      <c r="Q112" s="97">
        <v>408544.5</v>
      </c>
      <c r="R112" s="13">
        <v>46261</v>
      </c>
      <c r="S112" s="3" t="s">
        <v>202</v>
      </c>
    </row>
    <row r="113" spans="1:19">
      <c r="A113" s="3" t="s">
        <v>20</v>
      </c>
      <c r="B113" s="3">
        <v>2026</v>
      </c>
      <c r="C113" s="3">
        <v>1003100279</v>
      </c>
      <c r="D113" s="3" t="s">
        <v>319</v>
      </c>
      <c r="E113" s="3" t="s">
        <v>138</v>
      </c>
      <c r="F113" s="13">
        <v>46199</v>
      </c>
      <c r="G113" s="13">
        <v>46208</v>
      </c>
      <c r="H113" s="95">
        <v>10</v>
      </c>
      <c r="I113" s="3" t="s">
        <v>320</v>
      </c>
      <c r="K113" s="3" t="s">
        <v>298</v>
      </c>
      <c r="N113" s="97">
        <v>1750905</v>
      </c>
      <c r="O113" s="3">
        <v>8</v>
      </c>
      <c r="P113" s="97">
        <v>466908</v>
      </c>
      <c r="Q113" s="97"/>
    </row>
    <row r="114" spans="1:19" s="108" customFormat="1">
      <c r="A114" s="108" t="s">
        <v>20</v>
      </c>
      <c r="B114" s="108">
        <v>2026</v>
      </c>
      <c r="C114" s="108">
        <v>1067840974</v>
      </c>
      <c r="D114" s="108" t="s">
        <v>296</v>
      </c>
      <c r="E114" s="3" t="s">
        <v>138</v>
      </c>
      <c r="F114" s="109">
        <v>46207</v>
      </c>
      <c r="G114" s="109">
        <v>46216</v>
      </c>
      <c r="H114" s="110">
        <v>10</v>
      </c>
      <c r="I114" s="108" t="s">
        <v>270</v>
      </c>
      <c r="K114" s="3" t="s">
        <v>298</v>
      </c>
      <c r="N114" s="111">
        <v>1750905</v>
      </c>
      <c r="O114" s="108">
        <v>8</v>
      </c>
      <c r="P114" s="111">
        <v>466908</v>
      </c>
      <c r="Q114" s="111"/>
    </row>
    <row r="115" spans="1:19" ht="15.75">
      <c r="A115" s="3" t="s">
        <v>20</v>
      </c>
      <c r="B115" s="3">
        <v>2026</v>
      </c>
      <c r="C115" s="3">
        <v>1000400918</v>
      </c>
      <c r="D115" s="3" t="s">
        <v>325</v>
      </c>
      <c r="E115" s="3" t="s">
        <v>138</v>
      </c>
      <c r="F115" s="13">
        <v>46216</v>
      </c>
      <c r="G115" s="13">
        <v>46220</v>
      </c>
      <c r="H115" s="95">
        <v>5</v>
      </c>
      <c r="I115" s="3" t="s">
        <v>270</v>
      </c>
      <c r="J115" s="101">
        <v>817261737</v>
      </c>
      <c r="K115" s="3" t="s">
        <v>197</v>
      </c>
      <c r="L115" s="13">
        <v>46251</v>
      </c>
      <c r="N115" s="97">
        <v>1750905</v>
      </c>
      <c r="O115" s="3">
        <v>3</v>
      </c>
      <c r="P115" s="97">
        <v>175090.5</v>
      </c>
      <c r="Q115" s="97"/>
    </row>
    <row r="116" spans="1:19">
      <c r="A116" s="3" t="s">
        <v>20</v>
      </c>
      <c r="B116" s="3">
        <v>2026</v>
      </c>
      <c r="C116" s="3">
        <v>1001005095</v>
      </c>
      <c r="D116" s="3" t="s">
        <v>223</v>
      </c>
      <c r="E116" s="3" t="s">
        <v>138</v>
      </c>
      <c r="F116" s="13">
        <v>46215</v>
      </c>
      <c r="G116" s="13">
        <v>46219</v>
      </c>
      <c r="H116" s="95">
        <v>5</v>
      </c>
      <c r="I116" s="3" t="s">
        <v>219</v>
      </c>
      <c r="J116" s="3" t="s">
        <v>310</v>
      </c>
      <c r="K116" s="3" t="s">
        <v>197</v>
      </c>
      <c r="L116" s="13">
        <v>46250</v>
      </c>
      <c r="M116" s="3" t="s">
        <v>224</v>
      </c>
      <c r="N116" s="97">
        <v>1750905</v>
      </c>
      <c r="O116" s="3">
        <v>3</v>
      </c>
      <c r="P116" s="97">
        <v>175090.5</v>
      </c>
      <c r="Q116" s="97"/>
    </row>
    <row r="117" spans="1:19" ht="15.75">
      <c r="A117" s="3" t="s">
        <v>20</v>
      </c>
      <c r="B117" s="3">
        <v>2026</v>
      </c>
      <c r="C117" s="3">
        <v>1127945986</v>
      </c>
      <c r="D117" s="3" t="s">
        <v>339</v>
      </c>
      <c r="E117" s="3" t="s">
        <v>138</v>
      </c>
      <c r="F117" s="13">
        <v>46226</v>
      </c>
      <c r="G117" s="13">
        <v>46228</v>
      </c>
      <c r="H117" s="95">
        <v>3</v>
      </c>
      <c r="I117" s="3" t="s">
        <v>270</v>
      </c>
      <c r="J117" s="101">
        <v>817261906</v>
      </c>
      <c r="K117" s="3" t="s">
        <v>197</v>
      </c>
      <c r="L117" s="13">
        <v>46251</v>
      </c>
      <c r="N117" s="97">
        <v>1750905</v>
      </c>
      <c r="O117" s="3">
        <v>1</v>
      </c>
      <c r="P117" s="97">
        <v>58363.5</v>
      </c>
      <c r="Q117" s="97"/>
    </row>
    <row r="118" spans="1:19">
      <c r="A118" s="3" t="s">
        <v>20</v>
      </c>
      <c r="B118" s="3">
        <v>2026</v>
      </c>
      <c r="C118" s="3">
        <v>1143427761</v>
      </c>
      <c r="D118" s="3" t="s">
        <v>221</v>
      </c>
      <c r="E118" s="3" t="s">
        <v>138</v>
      </c>
      <c r="F118" s="13">
        <v>46217</v>
      </c>
      <c r="G118" s="13">
        <v>46223</v>
      </c>
      <c r="H118" s="95">
        <v>7</v>
      </c>
      <c r="I118" s="3" t="s">
        <v>219</v>
      </c>
      <c r="J118" s="3">
        <v>11987700</v>
      </c>
      <c r="K118" s="3" t="s">
        <v>197</v>
      </c>
      <c r="L118" s="13">
        <v>46250</v>
      </c>
      <c r="N118" s="97">
        <v>1750905</v>
      </c>
      <c r="O118" s="3">
        <v>5</v>
      </c>
      <c r="P118" s="97">
        <v>408544.5</v>
      </c>
      <c r="Q118" s="97"/>
    </row>
    <row r="119" spans="1:19">
      <c r="A119" s="3" t="s">
        <v>20</v>
      </c>
      <c r="B119" s="3">
        <v>2026</v>
      </c>
      <c r="C119" s="3">
        <v>1065574214</v>
      </c>
      <c r="D119" s="3" t="s">
        <v>340</v>
      </c>
      <c r="E119" s="3" t="s">
        <v>138</v>
      </c>
      <c r="F119" s="13">
        <v>46197</v>
      </c>
      <c r="G119" s="13">
        <v>46199</v>
      </c>
      <c r="H119" s="95">
        <v>3</v>
      </c>
      <c r="I119" s="3" t="s">
        <v>219</v>
      </c>
      <c r="J119" s="3" t="s">
        <v>332</v>
      </c>
      <c r="K119" s="3" t="s">
        <v>197</v>
      </c>
      <c r="L119" s="13">
        <v>46250</v>
      </c>
      <c r="M119" s="3" t="s">
        <v>341</v>
      </c>
      <c r="N119" s="97">
        <v>1750905</v>
      </c>
      <c r="O119" s="3">
        <v>1</v>
      </c>
      <c r="P119" s="97">
        <v>58363.5</v>
      </c>
      <c r="Q119" s="97"/>
    </row>
    <row r="120" spans="1:19" ht="15.75">
      <c r="A120" s="3" t="s">
        <v>20</v>
      </c>
      <c r="B120" s="3">
        <v>2026</v>
      </c>
      <c r="C120" s="3">
        <v>1055358487</v>
      </c>
      <c r="D120" s="3" t="s">
        <v>342</v>
      </c>
      <c r="E120" s="3" t="s">
        <v>138</v>
      </c>
      <c r="F120" s="13">
        <v>46199</v>
      </c>
      <c r="G120" s="13">
        <v>46203</v>
      </c>
      <c r="H120" s="95">
        <v>5</v>
      </c>
      <c r="I120" s="3" t="s">
        <v>270</v>
      </c>
      <c r="J120" s="101">
        <v>817261921</v>
      </c>
      <c r="K120" s="3" t="s">
        <v>197</v>
      </c>
      <c r="L120" s="13">
        <v>46251</v>
      </c>
      <c r="N120" s="97">
        <v>1750905</v>
      </c>
      <c r="O120" s="3">
        <v>3</v>
      </c>
      <c r="P120" s="97">
        <v>175090.5</v>
      </c>
      <c r="Q120" s="97"/>
    </row>
    <row r="121" spans="1:19">
      <c r="A121" s="3" t="s">
        <v>20</v>
      </c>
      <c r="B121" s="3">
        <v>2026</v>
      </c>
      <c r="C121" s="3">
        <v>43621537</v>
      </c>
      <c r="D121" s="3" t="s">
        <v>343</v>
      </c>
      <c r="E121" s="3" t="s">
        <v>136</v>
      </c>
      <c r="F121" s="13">
        <v>46209</v>
      </c>
      <c r="G121" s="13">
        <v>46210</v>
      </c>
      <c r="H121" s="95">
        <v>2</v>
      </c>
      <c r="I121" s="3" t="s">
        <v>208</v>
      </c>
      <c r="J121" s="3">
        <v>854085875372</v>
      </c>
      <c r="K121" s="3" t="s">
        <v>197</v>
      </c>
      <c r="L121" s="13">
        <v>46250</v>
      </c>
      <c r="N121" s="97">
        <v>1750905</v>
      </c>
      <c r="O121" s="3">
        <v>2</v>
      </c>
      <c r="P121" s="97">
        <v>140656</v>
      </c>
      <c r="Q121" s="97">
        <v>140656</v>
      </c>
      <c r="R121" s="13">
        <v>46266</v>
      </c>
      <c r="S121" s="3" t="s">
        <v>202</v>
      </c>
    </row>
    <row r="122" spans="1:19">
      <c r="A122" s="3" t="s">
        <v>20</v>
      </c>
      <c r="B122" s="3">
        <v>2026</v>
      </c>
      <c r="C122" s="3">
        <v>1006093704</v>
      </c>
      <c r="D122" s="3" t="s">
        <v>312</v>
      </c>
      <c r="E122" s="3" t="s">
        <v>138</v>
      </c>
      <c r="F122" s="13">
        <v>46204</v>
      </c>
      <c r="G122" s="13">
        <v>46206</v>
      </c>
      <c r="H122" s="95">
        <v>3</v>
      </c>
      <c r="I122" s="3" t="s">
        <v>313</v>
      </c>
      <c r="K122" s="3" t="s">
        <v>298</v>
      </c>
      <c r="N122" s="97">
        <v>1750905</v>
      </c>
      <c r="O122" s="3">
        <v>1</v>
      </c>
      <c r="P122" s="97">
        <v>58363.5</v>
      </c>
      <c r="Q122" s="97"/>
    </row>
    <row r="123" spans="1:19" s="108" customFormat="1">
      <c r="A123" s="108" t="s">
        <v>20</v>
      </c>
      <c r="B123" s="108">
        <v>2026</v>
      </c>
      <c r="C123" s="108">
        <v>1067840974</v>
      </c>
      <c r="D123" s="108" t="s">
        <v>296</v>
      </c>
      <c r="E123" s="3" t="s">
        <v>138</v>
      </c>
      <c r="F123" s="109">
        <v>46226</v>
      </c>
      <c r="G123" s="109">
        <v>46232</v>
      </c>
      <c r="H123" s="110">
        <v>7</v>
      </c>
      <c r="I123" s="108" t="s">
        <v>270</v>
      </c>
      <c r="K123" s="3" t="s">
        <v>298</v>
      </c>
      <c r="N123" s="111">
        <v>1750905</v>
      </c>
      <c r="O123" s="108">
        <v>5</v>
      </c>
      <c r="P123" s="111">
        <v>291817.5</v>
      </c>
      <c r="Q123" s="111"/>
    </row>
    <row r="124" spans="1:19" ht="15.75">
      <c r="A124" s="3" t="s">
        <v>20</v>
      </c>
      <c r="B124" s="3">
        <v>2026</v>
      </c>
      <c r="C124" s="3">
        <v>1092529169</v>
      </c>
      <c r="D124" s="3" t="s">
        <v>344</v>
      </c>
      <c r="E124" s="3" t="s">
        <v>138</v>
      </c>
      <c r="F124" s="13">
        <v>46203</v>
      </c>
      <c r="G124" s="13">
        <v>46207</v>
      </c>
      <c r="H124" s="95">
        <v>5</v>
      </c>
      <c r="I124" s="3" t="s">
        <v>288</v>
      </c>
      <c r="J124" s="107">
        <v>1100778336</v>
      </c>
      <c r="K124" s="3" t="s">
        <v>197</v>
      </c>
      <c r="L124" s="13">
        <v>46251</v>
      </c>
      <c r="N124" s="97">
        <v>1750905</v>
      </c>
      <c r="O124" s="3">
        <v>3</v>
      </c>
      <c r="P124" s="97">
        <v>175090.5</v>
      </c>
      <c r="Q124" s="97"/>
    </row>
    <row r="125" spans="1:19">
      <c r="A125" s="3" t="s">
        <v>20</v>
      </c>
      <c r="B125" s="3">
        <v>2026</v>
      </c>
      <c r="C125" s="3">
        <v>1065574214</v>
      </c>
      <c r="D125" s="3" t="s">
        <v>340</v>
      </c>
      <c r="E125" s="3" t="s">
        <v>138</v>
      </c>
      <c r="F125" s="13">
        <v>46205</v>
      </c>
      <c r="G125" s="13">
        <v>46208</v>
      </c>
      <c r="H125" s="95">
        <v>4</v>
      </c>
      <c r="I125" s="3" t="s">
        <v>219</v>
      </c>
      <c r="J125" s="3">
        <v>11987706</v>
      </c>
      <c r="K125" s="3" t="s">
        <v>197</v>
      </c>
      <c r="L125" s="13">
        <v>46250</v>
      </c>
      <c r="N125" s="97">
        <v>1750905</v>
      </c>
      <c r="O125" s="3">
        <v>2</v>
      </c>
      <c r="P125" s="97">
        <v>116727</v>
      </c>
      <c r="Q125" s="97">
        <v>142120</v>
      </c>
      <c r="R125" s="13">
        <v>46261</v>
      </c>
      <c r="S125" s="3" t="s">
        <v>202</v>
      </c>
    </row>
    <row r="126" spans="1:19" s="108" customFormat="1">
      <c r="A126" s="108" t="s">
        <v>20</v>
      </c>
      <c r="B126" s="108">
        <v>2026</v>
      </c>
      <c r="C126" s="108">
        <v>1067840974</v>
      </c>
      <c r="D126" s="108" t="s">
        <v>296</v>
      </c>
      <c r="E126" s="3" t="s">
        <v>138</v>
      </c>
      <c r="F126" s="109">
        <v>46202</v>
      </c>
      <c r="G126" s="109">
        <v>46206</v>
      </c>
      <c r="H126" s="110">
        <v>5</v>
      </c>
      <c r="I126" s="108" t="s">
        <v>270</v>
      </c>
      <c r="K126" s="3" t="s">
        <v>298</v>
      </c>
      <c r="N126" s="111">
        <v>1750905</v>
      </c>
      <c r="O126" s="108">
        <v>3</v>
      </c>
      <c r="P126" s="111">
        <v>175090.5</v>
      </c>
      <c r="Q126" s="111"/>
    </row>
    <row r="127" spans="1:19">
      <c r="A127" s="3" t="s">
        <v>20</v>
      </c>
      <c r="B127" s="3">
        <v>2026</v>
      </c>
      <c r="C127" s="3">
        <v>1025652234</v>
      </c>
      <c r="D127" s="3" t="s">
        <v>345</v>
      </c>
      <c r="E127" s="3" t="s">
        <v>138</v>
      </c>
      <c r="F127" s="13">
        <v>46206</v>
      </c>
      <c r="G127" s="13">
        <v>46209</v>
      </c>
      <c r="H127" s="95">
        <v>4</v>
      </c>
      <c r="I127" s="3" t="s">
        <v>219</v>
      </c>
      <c r="J127" s="3" t="s">
        <v>310</v>
      </c>
      <c r="K127" s="3" t="s">
        <v>197</v>
      </c>
      <c r="L127" s="13">
        <v>46250</v>
      </c>
      <c r="M127" s="3" t="s">
        <v>346</v>
      </c>
      <c r="N127" s="97">
        <v>1750905</v>
      </c>
      <c r="O127" s="3">
        <v>2</v>
      </c>
      <c r="P127" s="97">
        <v>116727</v>
      </c>
      <c r="Q127" s="97"/>
    </row>
    <row r="128" spans="1:19">
      <c r="A128" s="3" t="s">
        <v>20</v>
      </c>
      <c r="B128" s="3">
        <v>2026</v>
      </c>
      <c r="C128" s="3">
        <v>1143427761</v>
      </c>
      <c r="D128" s="3" t="s">
        <v>221</v>
      </c>
      <c r="E128" s="3" t="s">
        <v>138</v>
      </c>
      <c r="F128" s="13">
        <v>46207</v>
      </c>
      <c r="G128" s="13">
        <v>46213</v>
      </c>
      <c r="H128" s="95">
        <v>7</v>
      </c>
      <c r="I128" s="3" t="s">
        <v>219</v>
      </c>
      <c r="J128" s="3">
        <v>11987699</v>
      </c>
      <c r="K128" s="3" t="s">
        <v>197</v>
      </c>
      <c r="L128" s="13">
        <v>46250</v>
      </c>
      <c r="N128" s="97">
        <v>1750905</v>
      </c>
      <c r="O128" s="3">
        <v>5</v>
      </c>
      <c r="P128" s="97">
        <v>408544.5</v>
      </c>
      <c r="Q128" s="97">
        <v>233454</v>
      </c>
      <c r="R128" s="13">
        <v>46261</v>
      </c>
      <c r="S128" s="3" t="s">
        <v>202</v>
      </c>
    </row>
    <row r="129" spans="1:19">
      <c r="A129" s="3" t="s">
        <v>20</v>
      </c>
      <c r="B129" s="3">
        <v>2026</v>
      </c>
      <c r="C129" s="3">
        <v>1024560775</v>
      </c>
      <c r="D129" s="3" t="s">
        <v>210</v>
      </c>
      <c r="E129" s="3" t="s">
        <v>138</v>
      </c>
      <c r="F129" s="13">
        <v>46209</v>
      </c>
      <c r="G129" s="13">
        <v>46212</v>
      </c>
      <c r="H129" s="95">
        <v>4</v>
      </c>
      <c r="I129" s="3" t="s">
        <v>211</v>
      </c>
      <c r="K129" s="3" t="s">
        <v>298</v>
      </c>
      <c r="N129" s="97">
        <v>1750905</v>
      </c>
      <c r="O129" s="3">
        <v>2</v>
      </c>
      <c r="P129" s="97">
        <v>116727</v>
      </c>
      <c r="Q129" s="97"/>
    </row>
    <row r="130" spans="1:19" ht="15.75">
      <c r="A130" s="3" t="s">
        <v>20</v>
      </c>
      <c r="B130" s="3">
        <v>2026</v>
      </c>
      <c r="C130" s="3">
        <v>6005449871</v>
      </c>
      <c r="D130" s="3" t="s">
        <v>275</v>
      </c>
      <c r="E130" s="3" t="s">
        <v>138</v>
      </c>
      <c r="F130" s="13">
        <v>46208</v>
      </c>
      <c r="G130" s="13">
        <v>46237</v>
      </c>
      <c r="H130" s="95">
        <v>30</v>
      </c>
      <c r="I130" s="3" t="s">
        <v>270</v>
      </c>
      <c r="J130" s="101">
        <v>816262233</v>
      </c>
      <c r="K130" s="13" t="s">
        <v>197</v>
      </c>
      <c r="L130" s="13">
        <v>46250</v>
      </c>
      <c r="N130" s="97">
        <v>1750905</v>
      </c>
      <c r="O130" s="3">
        <v>28</v>
      </c>
      <c r="P130" s="97">
        <v>1634178</v>
      </c>
      <c r="Q130" s="97"/>
    </row>
    <row r="131" spans="1:19" s="108" customFormat="1">
      <c r="A131" s="108" t="s">
        <v>20</v>
      </c>
      <c r="B131" s="108">
        <v>2026</v>
      </c>
      <c r="C131" s="108">
        <v>1067840974</v>
      </c>
      <c r="D131" s="108" t="s">
        <v>296</v>
      </c>
      <c r="E131" s="3" t="s">
        <v>138</v>
      </c>
      <c r="F131" s="109">
        <v>46217</v>
      </c>
      <c r="G131" s="109">
        <v>46225</v>
      </c>
      <c r="H131" s="110">
        <v>9</v>
      </c>
      <c r="I131" s="108" t="s">
        <v>270</v>
      </c>
      <c r="K131" s="3" t="s">
        <v>298</v>
      </c>
      <c r="N131" s="111">
        <v>1750905</v>
      </c>
      <c r="O131" s="108">
        <v>7</v>
      </c>
      <c r="P131" s="111">
        <v>408544.5</v>
      </c>
      <c r="Q131" s="111"/>
    </row>
    <row r="132" spans="1:19">
      <c r="A132" s="3" t="s">
        <v>20</v>
      </c>
      <c r="B132" s="3">
        <v>2026</v>
      </c>
      <c r="C132" s="3">
        <v>1101462255</v>
      </c>
      <c r="D132" s="3" t="s">
        <v>347</v>
      </c>
      <c r="E132" s="3" t="s">
        <v>136</v>
      </c>
      <c r="F132" s="13">
        <v>46228</v>
      </c>
      <c r="G132" s="13">
        <v>46232</v>
      </c>
      <c r="H132" s="95">
        <v>5</v>
      </c>
      <c r="I132" s="3" t="s">
        <v>208</v>
      </c>
      <c r="J132" s="3">
        <v>667281161615</v>
      </c>
      <c r="K132" s="3" t="s">
        <v>197</v>
      </c>
      <c r="L132" s="13">
        <v>46251</v>
      </c>
      <c r="N132" s="97">
        <v>1750905</v>
      </c>
      <c r="O132" s="3">
        <v>3</v>
      </c>
      <c r="P132" s="97">
        <v>351640</v>
      </c>
      <c r="Q132" s="97">
        <v>351640</v>
      </c>
      <c r="R132" s="13">
        <v>46260</v>
      </c>
    </row>
    <row r="133" spans="1:19" ht="15.75">
      <c r="A133" s="3" t="s">
        <v>20</v>
      </c>
      <c r="B133" s="3">
        <v>2026</v>
      </c>
      <c r="C133" s="3">
        <v>1216715765</v>
      </c>
      <c r="D133" s="3" t="s">
        <v>348</v>
      </c>
      <c r="E133" s="3" t="s">
        <v>138</v>
      </c>
      <c r="F133" s="13">
        <v>46223</v>
      </c>
      <c r="G133" s="13">
        <v>46226</v>
      </c>
      <c r="H133" s="95">
        <v>3</v>
      </c>
      <c r="I133" s="3" t="s">
        <v>288</v>
      </c>
      <c r="J133" s="107">
        <v>1100778337</v>
      </c>
      <c r="K133" s="3" t="s">
        <v>197</v>
      </c>
      <c r="L133" s="13">
        <v>46251</v>
      </c>
      <c r="N133" s="97">
        <v>1750905</v>
      </c>
      <c r="O133" s="3">
        <v>1</v>
      </c>
      <c r="P133" s="97">
        <v>58363.5</v>
      </c>
      <c r="Q133" s="97"/>
    </row>
    <row r="134" spans="1:19">
      <c r="A134" s="3" t="s">
        <v>20</v>
      </c>
      <c r="B134" s="3">
        <v>2026</v>
      </c>
      <c r="C134" s="3">
        <v>1131074667</v>
      </c>
      <c r="D134" s="3" t="s">
        <v>349</v>
      </c>
      <c r="E134" s="3" t="s">
        <v>136</v>
      </c>
      <c r="F134" s="13">
        <v>46221</v>
      </c>
      <c r="G134" s="13">
        <v>46222</v>
      </c>
      <c r="H134" s="95">
        <v>2</v>
      </c>
      <c r="I134" s="3" t="s">
        <v>208</v>
      </c>
      <c r="J134" s="3">
        <v>854085875372</v>
      </c>
      <c r="K134" s="3" t="s">
        <v>197</v>
      </c>
      <c r="L134" s="13">
        <v>46250</v>
      </c>
      <c r="N134" s="97">
        <v>1750905</v>
      </c>
      <c r="O134" s="3">
        <v>2</v>
      </c>
      <c r="P134" s="97">
        <v>95069</v>
      </c>
      <c r="Q134" s="97">
        <v>95069</v>
      </c>
      <c r="R134" s="13">
        <v>46266</v>
      </c>
    </row>
    <row r="135" spans="1:19">
      <c r="A135" s="3" t="s">
        <v>20</v>
      </c>
      <c r="B135" s="3">
        <v>2026</v>
      </c>
      <c r="C135" s="3">
        <v>1077429561</v>
      </c>
      <c r="D135" s="3" t="s">
        <v>261</v>
      </c>
      <c r="E135" s="3" t="s">
        <v>136</v>
      </c>
      <c r="F135" s="13">
        <v>46208</v>
      </c>
      <c r="G135" s="13">
        <v>46209</v>
      </c>
      <c r="H135" s="95">
        <v>2</v>
      </c>
      <c r="I135" s="3" t="s">
        <v>208</v>
      </c>
      <c r="J135" s="3">
        <v>854085875372</v>
      </c>
      <c r="K135" s="3" t="s">
        <v>197</v>
      </c>
      <c r="L135" s="13">
        <v>46250</v>
      </c>
      <c r="N135" s="97">
        <v>1750905</v>
      </c>
      <c r="O135" s="3">
        <v>2</v>
      </c>
      <c r="P135" s="97">
        <v>70328</v>
      </c>
      <c r="Q135" s="97">
        <v>70328</v>
      </c>
      <c r="R135" s="13">
        <v>46266</v>
      </c>
      <c r="S135" s="3" t="s">
        <v>202</v>
      </c>
    </row>
    <row r="136" spans="1:19">
      <c r="A136" s="3" t="s">
        <v>20</v>
      </c>
      <c r="B136" s="3">
        <v>2026</v>
      </c>
      <c r="C136" s="3">
        <v>1063962560</v>
      </c>
      <c r="D136" s="3" t="s">
        <v>300</v>
      </c>
      <c r="E136" s="3" t="s">
        <v>136</v>
      </c>
      <c r="F136" s="13">
        <v>46208</v>
      </c>
      <c r="G136" s="13">
        <v>46212</v>
      </c>
      <c r="H136" s="95">
        <v>5</v>
      </c>
      <c r="I136" s="3" t="s">
        <v>208</v>
      </c>
      <c r="J136" s="3">
        <v>854085875372</v>
      </c>
      <c r="K136" s="3" t="s">
        <v>197</v>
      </c>
      <c r="L136" s="13">
        <v>46250</v>
      </c>
      <c r="N136" s="97">
        <v>1750905</v>
      </c>
      <c r="O136" s="3">
        <v>5</v>
      </c>
      <c r="P136" s="97">
        <v>339075</v>
      </c>
      <c r="Q136" s="97">
        <v>339075</v>
      </c>
      <c r="R136" s="13">
        <v>46266</v>
      </c>
      <c r="S136" s="3" t="s">
        <v>202</v>
      </c>
    </row>
    <row r="137" spans="1:19" ht="17.25">
      <c r="A137" s="3" t="s">
        <v>20</v>
      </c>
      <c r="B137" s="3">
        <v>2026</v>
      </c>
      <c r="C137" s="3">
        <v>1045721981</v>
      </c>
      <c r="D137" s="3" t="s">
        <v>350</v>
      </c>
      <c r="E137" s="3" t="s">
        <v>138</v>
      </c>
      <c r="F137" s="13">
        <v>46207</v>
      </c>
      <c r="G137" s="13">
        <v>46221</v>
      </c>
      <c r="H137" s="95">
        <v>15</v>
      </c>
      <c r="I137" s="3" t="s">
        <v>233</v>
      </c>
      <c r="J137" s="99">
        <v>2634942</v>
      </c>
      <c r="K137" s="3" t="s">
        <v>197</v>
      </c>
      <c r="L137" s="13">
        <v>46250</v>
      </c>
      <c r="N137" s="97">
        <v>1750905</v>
      </c>
      <c r="O137" s="3">
        <v>13</v>
      </c>
      <c r="P137" s="97">
        <v>758725.5</v>
      </c>
      <c r="Q137" s="97"/>
    </row>
    <row r="138" spans="1:19">
      <c r="A138" s="3" t="s">
        <v>20</v>
      </c>
      <c r="B138" s="3">
        <v>2026</v>
      </c>
      <c r="C138" s="3">
        <v>1038094582</v>
      </c>
      <c r="D138" s="3" t="s">
        <v>351</v>
      </c>
      <c r="E138" s="3" t="s">
        <v>138</v>
      </c>
      <c r="F138" s="13">
        <v>46202</v>
      </c>
      <c r="G138" s="13">
        <v>46231</v>
      </c>
      <c r="H138" s="95">
        <v>30</v>
      </c>
      <c r="I138" s="3" t="s">
        <v>219</v>
      </c>
      <c r="J138" s="3">
        <v>11987707</v>
      </c>
      <c r="K138" s="3" t="s">
        <v>197</v>
      </c>
      <c r="L138" s="13">
        <v>46250</v>
      </c>
      <c r="N138" s="97">
        <v>1750905</v>
      </c>
      <c r="O138" s="3">
        <v>28</v>
      </c>
      <c r="P138" s="97">
        <v>1634178</v>
      </c>
      <c r="Q138" s="97">
        <v>1750905</v>
      </c>
      <c r="R138" s="13">
        <v>46261</v>
      </c>
      <c r="S138" s="3" t="s">
        <v>202</v>
      </c>
    </row>
    <row r="139" spans="1:19">
      <c r="A139" s="3" t="s">
        <v>20</v>
      </c>
      <c r="B139" s="3">
        <v>2026</v>
      </c>
      <c r="C139" s="3">
        <v>1104405051</v>
      </c>
      <c r="D139" s="3" t="s">
        <v>334</v>
      </c>
      <c r="E139" s="3" t="s">
        <v>136</v>
      </c>
      <c r="F139" s="13">
        <v>46224</v>
      </c>
      <c r="G139" s="13">
        <v>46228</v>
      </c>
      <c r="H139" s="95">
        <v>5</v>
      </c>
      <c r="I139" s="3" t="s">
        <v>208</v>
      </c>
      <c r="J139" s="3">
        <v>854085875372</v>
      </c>
      <c r="K139" s="3" t="s">
        <v>197</v>
      </c>
      <c r="L139" s="13">
        <v>46250</v>
      </c>
      <c r="N139" s="97">
        <v>1750905</v>
      </c>
      <c r="O139" s="3">
        <v>5</v>
      </c>
      <c r="P139" s="97">
        <v>480748</v>
      </c>
      <c r="Q139" s="97">
        <v>480748</v>
      </c>
      <c r="R139" s="13">
        <v>46266</v>
      </c>
      <c r="S139" s="3" t="s">
        <v>202</v>
      </c>
    </row>
    <row r="140" spans="1:19">
      <c r="A140" s="3" t="s">
        <v>20</v>
      </c>
      <c r="B140" s="3">
        <v>2026</v>
      </c>
      <c r="C140" s="3">
        <v>1216717673</v>
      </c>
      <c r="D140" s="3" t="s">
        <v>352</v>
      </c>
      <c r="E140" s="3" t="s">
        <v>138</v>
      </c>
      <c r="F140" s="13">
        <v>46224</v>
      </c>
      <c r="G140" s="13">
        <v>46226</v>
      </c>
      <c r="H140" s="95">
        <v>3</v>
      </c>
      <c r="I140" s="3" t="s">
        <v>219</v>
      </c>
      <c r="J140" s="3">
        <v>11987708</v>
      </c>
      <c r="K140" s="3" t="s">
        <v>197</v>
      </c>
      <c r="L140" s="13">
        <v>46250</v>
      </c>
      <c r="N140" s="97">
        <v>1750905</v>
      </c>
      <c r="O140" s="3">
        <v>1</v>
      </c>
      <c r="P140" s="97">
        <v>58363.5</v>
      </c>
      <c r="Q140" s="97">
        <v>58364</v>
      </c>
      <c r="R140" s="13">
        <v>46261</v>
      </c>
      <c r="S140" s="3" t="s">
        <v>202</v>
      </c>
    </row>
    <row r="141" spans="1:19">
      <c r="A141" s="3" t="s">
        <v>20</v>
      </c>
      <c r="B141" s="3">
        <v>2026</v>
      </c>
      <c r="C141" s="3">
        <v>1143427761</v>
      </c>
      <c r="D141" s="3" t="s">
        <v>221</v>
      </c>
      <c r="E141" s="3" t="s">
        <v>138</v>
      </c>
      <c r="F141" s="13">
        <v>46224</v>
      </c>
      <c r="G141" s="13">
        <v>46230</v>
      </c>
      <c r="H141" s="95">
        <v>7</v>
      </c>
      <c r="I141" s="3" t="s">
        <v>219</v>
      </c>
      <c r="J141" s="3">
        <v>11987701</v>
      </c>
      <c r="K141" s="3" t="s">
        <v>197</v>
      </c>
      <c r="L141" s="13">
        <v>46250</v>
      </c>
      <c r="N141" s="97">
        <v>1750905</v>
      </c>
      <c r="O141" s="3">
        <v>5</v>
      </c>
      <c r="P141" s="97">
        <v>408544.5</v>
      </c>
      <c r="Q141" s="97"/>
    </row>
    <row r="142" spans="1:19">
      <c r="A142" s="3" t="s">
        <v>20</v>
      </c>
      <c r="B142" s="3">
        <v>2026</v>
      </c>
      <c r="C142" s="3">
        <v>1067881884</v>
      </c>
      <c r="D142" s="3" t="s">
        <v>353</v>
      </c>
      <c r="E142" s="3" t="s">
        <v>136</v>
      </c>
      <c r="F142" s="13">
        <v>46226</v>
      </c>
      <c r="G142" s="13">
        <v>46228</v>
      </c>
      <c r="H142" s="95">
        <v>3</v>
      </c>
      <c r="I142" s="3" t="s">
        <v>208</v>
      </c>
      <c r="J142" s="3">
        <v>854085875372</v>
      </c>
      <c r="K142" s="3" t="s">
        <v>197</v>
      </c>
      <c r="L142" s="13">
        <v>46250</v>
      </c>
      <c r="N142" s="97">
        <v>2021000</v>
      </c>
      <c r="O142" s="3">
        <v>3</v>
      </c>
      <c r="P142" s="97">
        <v>406084</v>
      </c>
      <c r="Q142" s="97">
        <v>406084</v>
      </c>
      <c r="R142" s="13">
        <v>46266</v>
      </c>
    </row>
    <row r="143" spans="1:19">
      <c r="A143" s="3" t="s">
        <v>20</v>
      </c>
      <c r="B143" s="3">
        <v>2026</v>
      </c>
      <c r="C143" s="3">
        <v>1055750969</v>
      </c>
      <c r="D143" s="3" t="s">
        <v>213</v>
      </c>
      <c r="E143" s="3" t="s">
        <v>138</v>
      </c>
      <c r="F143" s="13">
        <v>46227</v>
      </c>
      <c r="G143" s="13">
        <v>46229</v>
      </c>
      <c r="H143" s="95">
        <v>3</v>
      </c>
      <c r="I143" s="3" t="s">
        <v>211</v>
      </c>
      <c r="K143" s="3" t="s">
        <v>298</v>
      </c>
      <c r="N143" s="97">
        <v>1750905</v>
      </c>
      <c r="O143" s="3">
        <v>1</v>
      </c>
      <c r="P143" s="97">
        <v>58363.5</v>
      </c>
      <c r="Q143" s="97"/>
    </row>
    <row r="144" spans="1:19" ht="17.25">
      <c r="A144" s="3" t="s">
        <v>19</v>
      </c>
      <c r="B144" s="3">
        <v>2026</v>
      </c>
      <c r="C144" s="3">
        <v>1053873691</v>
      </c>
      <c r="D144" s="3" t="s">
        <v>289</v>
      </c>
      <c r="E144" s="3" t="s">
        <v>138</v>
      </c>
      <c r="F144" s="13">
        <v>46196</v>
      </c>
      <c r="G144" s="13">
        <v>46197</v>
      </c>
      <c r="H144" s="95">
        <v>2</v>
      </c>
      <c r="I144" s="3" t="s">
        <v>233</v>
      </c>
      <c r="J144" s="99">
        <v>2634933</v>
      </c>
      <c r="K144" s="3" t="s">
        <v>197</v>
      </c>
      <c r="L144" s="13">
        <v>46250</v>
      </c>
      <c r="N144" s="97">
        <v>1750905</v>
      </c>
      <c r="O144" s="3">
        <v>2</v>
      </c>
      <c r="P144" s="97">
        <v>116727</v>
      </c>
      <c r="Q144" s="97">
        <v>116627</v>
      </c>
      <c r="R144" s="13">
        <v>46255</v>
      </c>
      <c r="S144" s="3" t="s">
        <v>202</v>
      </c>
    </row>
    <row r="145" spans="1:19" ht="17.25">
      <c r="A145" s="3" t="s">
        <v>19</v>
      </c>
      <c r="B145" s="3">
        <v>2026</v>
      </c>
      <c r="C145" s="3">
        <v>1053873691</v>
      </c>
      <c r="D145" s="3" t="s">
        <v>289</v>
      </c>
      <c r="E145" s="3" t="s">
        <v>138</v>
      </c>
      <c r="F145" s="13">
        <v>46199</v>
      </c>
      <c r="G145" s="13">
        <v>46199</v>
      </c>
      <c r="H145" s="95">
        <v>1</v>
      </c>
      <c r="I145" s="3" t="s">
        <v>233</v>
      </c>
      <c r="J145" s="99">
        <v>2634933</v>
      </c>
      <c r="K145" s="3" t="s">
        <v>197</v>
      </c>
      <c r="L145" s="13">
        <v>46250</v>
      </c>
      <c r="N145" s="97">
        <v>1750905</v>
      </c>
      <c r="O145" s="3">
        <v>1</v>
      </c>
      <c r="P145" s="97">
        <v>58364</v>
      </c>
      <c r="Q145" s="97">
        <v>58364</v>
      </c>
      <c r="R145" s="13">
        <v>46255</v>
      </c>
      <c r="S145" s="3" t="s">
        <v>202</v>
      </c>
    </row>
    <row r="146" spans="1:19">
      <c r="A146" s="3" t="s">
        <v>21</v>
      </c>
      <c r="B146" s="3">
        <v>2026</v>
      </c>
      <c r="C146" s="3">
        <v>1000442177</v>
      </c>
      <c r="D146" s="3" t="s">
        <v>354</v>
      </c>
      <c r="E146" s="3" t="s">
        <v>138</v>
      </c>
      <c r="F146" s="112">
        <v>46245</v>
      </c>
      <c r="G146" s="112">
        <v>46249</v>
      </c>
      <c r="H146" s="95">
        <v>5</v>
      </c>
      <c r="I146" s="3" t="s">
        <v>219</v>
      </c>
      <c r="L146" s="13"/>
      <c r="N146" s="97">
        <v>1750905</v>
      </c>
      <c r="O146" s="95">
        <v>5</v>
      </c>
      <c r="P146" s="97">
        <v>175091</v>
      </c>
      <c r="Q146" s="97"/>
    </row>
    <row r="147" spans="1:19">
      <c r="A147" s="3" t="s">
        <v>21</v>
      </c>
      <c r="B147" s="3">
        <v>2026</v>
      </c>
      <c r="C147" s="3">
        <v>1000442177</v>
      </c>
      <c r="D147" s="3" t="s">
        <v>354</v>
      </c>
      <c r="E147" s="3" t="s">
        <v>138</v>
      </c>
      <c r="F147" s="112">
        <v>46250</v>
      </c>
      <c r="G147" s="112">
        <v>46252</v>
      </c>
      <c r="H147" s="95">
        <v>3</v>
      </c>
      <c r="I147" s="3" t="s">
        <v>219</v>
      </c>
      <c r="J147" s="3">
        <v>12058369</v>
      </c>
      <c r="K147" s="3" t="s">
        <v>197</v>
      </c>
      <c r="L147" s="13">
        <v>46268</v>
      </c>
      <c r="N147" s="97">
        <v>1750905</v>
      </c>
      <c r="O147" s="95">
        <v>3</v>
      </c>
      <c r="P147" s="97">
        <v>58364</v>
      </c>
      <c r="Q147" s="97"/>
    </row>
    <row r="148" spans="1:19">
      <c r="A148" s="3" t="s">
        <v>21</v>
      </c>
      <c r="B148" s="3">
        <v>2026</v>
      </c>
      <c r="C148" s="3">
        <v>1003358035</v>
      </c>
      <c r="D148" s="3" t="s">
        <v>355</v>
      </c>
      <c r="E148" s="3" t="s">
        <v>136</v>
      </c>
      <c r="F148" s="112">
        <v>46250</v>
      </c>
      <c r="G148" s="112">
        <v>46252</v>
      </c>
      <c r="H148" s="95">
        <v>3</v>
      </c>
      <c r="I148" s="3" t="s">
        <v>208</v>
      </c>
      <c r="J148" s="3">
        <v>949014944253</v>
      </c>
      <c r="K148" s="13" t="s">
        <v>197</v>
      </c>
      <c r="L148" s="13">
        <v>46268</v>
      </c>
      <c r="N148" s="97">
        <v>1750905</v>
      </c>
      <c r="O148" s="95">
        <v>3</v>
      </c>
      <c r="P148" s="97">
        <v>194056</v>
      </c>
      <c r="Q148" s="97"/>
    </row>
    <row r="149" spans="1:19">
      <c r="A149" s="3" t="s">
        <v>21</v>
      </c>
      <c r="B149" s="3">
        <v>2026</v>
      </c>
      <c r="C149" s="3">
        <v>1003358035</v>
      </c>
      <c r="D149" s="3" t="s">
        <v>355</v>
      </c>
      <c r="E149" s="3" t="s">
        <v>138</v>
      </c>
      <c r="F149" s="112">
        <v>46258</v>
      </c>
      <c r="G149" s="112">
        <v>46264</v>
      </c>
      <c r="H149" s="95">
        <v>7</v>
      </c>
      <c r="I149" s="3" t="s">
        <v>219</v>
      </c>
      <c r="N149" s="97">
        <v>1750905</v>
      </c>
      <c r="O149" s="95">
        <v>7</v>
      </c>
      <c r="P149" s="97">
        <v>291818</v>
      </c>
      <c r="Q149" s="97"/>
    </row>
    <row r="150" spans="1:19">
      <c r="A150" s="3" t="s">
        <v>21</v>
      </c>
      <c r="B150" s="3">
        <v>2026</v>
      </c>
      <c r="C150" s="3">
        <v>1005441626</v>
      </c>
      <c r="D150" s="3" t="s">
        <v>356</v>
      </c>
      <c r="E150" s="3" t="s">
        <v>138</v>
      </c>
      <c r="F150" s="112">
        <v>46250</v>
      </c>
      <c r="G150" s="112">
        <v>46252</v>
      </c>
      <c r="H150" s="95">
        <v>3</v>
      </c>
      <c r="I150" s="3" t="s">
        <v>270</v>
      </c>
      <c r="J150" s="3">
        <v>90326165606</v>
      </c>
      <c r="K150" s="3" t="s">
        <v>197</v>
      </c>
      <c r="L150" s="13">
        <v>46268</v>
      </c>
      <c r="N150" s="97">
        <v>1750905</v>
      </c>
      <c r="O150" s="95">
        <v>3</v>
      </c>
      <c r="P150" s="97">
        <v>58364</v>
      </c>
      <c r="Q150" s="97"/>
    </row>
    <row r="151" spans="1:19">
      <c r="A151" s="3" t="s">
        <v>21</v>
      </c>
      <c r="B151" s="3">
        <v>2026</v>
      </c>
      <c r="C151" s="3">
        <v>1013342687</v>
      </c>
      <c r="D151" s="3" t="s">
        <v>357</v>
      </c>
      <c r="E151" s="3" t="s">
        <v>138</v>
      </c>
      <c r="F151" s="112">
        <v>46258</v>
      </c>
      <c r="G151" s="112">
        <v>46261</v>
      </c>
      <c r="H151" s="95">
        <v>4</v>
      </c>
      <c r="I151" s="3" t="s">
        <v>219</v>
      </c>
      <c r="N151" s="97">
        <v>1750905</v>
      </c>
      <c r="O151" s="95">
        <v>4</v>
      </c>
      <c r="P151" s="97">
        <v>116727</v>
      </c>
      <c r="Q151" s="97"/>
    </row>
    <row r="152" spans="1:19">
      <c r="A152" s="3" t="s">
        <v>21</v>
      </c>
      <c r="B152" s="3">
        <v>2026</v>
      </c>
      <c r="C152" s="3">
        <v>1018481219</v>
      </c>
      <c r="D152" s="3" t="s">
        <v>199</v>
      </c>
      <c r="E152" s="3" t="s">
        <v>138</v>
      </c>
      <c r="F152" s="112">
        <v>46247</v>
      </c>
      <c r="G152" s="112">
        <v>46249</v>
      </c>
      <c r="H152" s="95">
        <v>3</v>
      </c>
      <c r="I152" s="3" t="s">
        <v>200</v>
      </c>
      <c r="J152" s="3" t="s">
        <v>358</v>
      </c>
      <c r="K152" s="3" t="s">
        <v>197</v>
      </c>
      <c r="L152" s="13">
        <v>46268</v>
      </c>
      <c r="N152" s="97">
        <v>1750905</v>
      </c>
      <c r="O152" s="95">
        <v>3</v>
      </c>
      <c r="P152" s="97">
        <v>58364</v>
      </c>
      <c r="Q152" s="97"/>
    </row>
    <row r="153" spans="1:19">
      <c r="A153" s="3" t="s">
        <v>21</v>
      </c>
      <c r="B153" s="3">
        <v>2026</v>
      </c>
      <c r="C153" s="3">
        <v>1018481219</v>
      </c>
      <c r="D153" s="3" t="s">
        <v>199</v>
      </c>
      <c r="E153" s="3" t="s">
        <v>138</v>
      </c>
      <c r="F153" s="112">
        <v>46254</v>
      </c>
      <c r="G153" s="112">
        <v>46256</v>
      </c>
      <c r="H153" s="95">
        <v>3</v>
      </c>
      <c r="I153" s="3" t="s">
        <v>200</v>
      </c>
      <c r="J153" s="3" t="s">
        <v>358</v>
      </c>
      <c r="K153" s="3" t="s">
        <v>197</v>
      </c>
      <c r="L153" s="13">
        <v>46268</v>
      </c>
      <c r="N153" s="97">
        <v>1750905</v>
      </c>
      <c r="O153" s="95">
        <v>3</v>
      </c>
      <c r="P153" s="97">
        <v>58364</v>
      </c>
      <c r="Q153" s="97"/>
    </row>
    <row r="154" spans="1:19">
      <c r="A154" s="3" t="s">
        <v>21</v>
      </c>
      <c r="B154" s="3">
        <v>2026</v>
      </c>
      <c r="C154" s="3">
        <v>1018481219</v>
      </c>
      <c r="D154" s="3" t="s">
        <v>199</v>
      </c>
      <c r="E154" s="3" t="s">
        <v>138</v>
      </c>
      <c r="F154" s="112">
        <v>46257</v>
      </c>
      <c r="G154" s="112">
        <v>46259</v>
      </c>
      <c r="H154" s="95">
        <v>3</v>
      </c>
      <c r="I154" s="3" t="s">
        <v>200</v>
      </c>
      <c r="J154" s="3" t="s">
        <v>358</v>
      </c>
      <c r="K154" s="3" t="s">
        <v>197</v>
      </c>
      <c r="L154" s="13">
        <v>46268</v>
      </c>
      <c r="N154" s="97">
        <v>1750905</v>
      </c>
      <c r="O154" s="95">
        <v>3</v>
      </c>
      <c r="P154" s="97">
        <v>58364</v>
      </c>
      <c r="Q154" s="97"/>
    </row>
    <row r="155" spans="1:19">
      <c r="A155" s="3" t="s">
        <v>21</v>
      </c>
      <c r="B155" s="3">
        <v>2026</v>
      </c>
      <c r="C155" s="3">
        <v>1018481219</v>
      </c>
      <c r="D155" s="3" t="s">
        <v>199</v>
      </c>
      <c r="E155" s="3" t="s">
        <v>138</v>
      </c>
      <c r="F155" s="112">
        <v>46260</v>
      </c>
      <c r="G155" s="112">
        <v>46266</v>
      </c>
      <c r="H155" s="95">
        <v>7</v>
      </c>
      <c r="I155" s="3" t="s">
        <v>200</v>
      </c>
      <c r="J155" s="3" t="s">
        <v>358</v>
      </c>
      <c r="K155" s="3" t="s">
        <v>197</v>
      </c>
      <c r="L155" s="13">
        <v>46268</v>
      </c>
      <c r="N155" s="97">
        <v>1750905</v>
      </c>
      <c r="O155" s="95">
        <v>7</v>
      </c>
      <c r="P155" s="97">
        <v>291818</v>
      </c>
      <c r="Q155" s="97"/>
    </row>
    <row r="156" spans="1:19">
      <c r="A156" s="3" t="s">
        <v>21</v>
      </c>
      <c r="B156" s="3">
        <v>2026</v>
      </c>
      <c r="C156" s="3">
        <v>1035873687</v>
      </c>
      <c r="D156" s="3" t="s">
        <v>359</v>
      </c>
      <c r="E156" s="3" t="s">
        <v>140</v>
      </c>
      <c r="F156" s="112">
        <v>46252</v>
      </c>
      <c r="G156" s="112">
        <v>46265</v>
      </c>
      <c r="H156" s="95">
        <v>14</v>
      </c>
      <c r="I156" s="3" t="s">
        <v>219</v>
      </c>
      <c r="J156" s="3" t="s">
        <v>360</v>
      </c>
      <c r="K156" s="3" t="s">
        <v>197</v>
      </c>
      <c r="L156" s="13">
        <v>46268</v>
      </c>
      <c r="N156" s="97">
        <v>1750905</v>
      </c>
      <c r="O156" s="95">
        <v>14</v>
      </c>
      <c r="P156" s="97">
        <v>817089</v>
      </c>
      <c r="Q156" s="97"/>
    </row>
    <row r="157" spans="1:19">
      <c r="A157" s="3" t="s">
        <v>21</v>
      </c>
      <c r="B157" s="3">
        <v>2026</v>
      </c>
      <c r="C157" s="3">
        <v>1036623531</v>
      </c>
      <c r="D157" s="3" t="s">
        <v>361</v>
      </c>
      <c r="E157" s="3" t="s">
        <v>138</v>
      </c>
      <c r="F157" s="112">
        <v>46258</v>
      </c>
      <c r="G157" s="112">
        <v>46260</v>
      </c>
      <c r="H157" s="95">
        <v>3</v>
      </c>
      <c r="I157" s="3" t="s">
        <v>270</v>
      </c>
      <c r="J157" s="3">
        <v>90326165635</v>
      </c>
      <c r="K157" s="3" t="s">
        <v>197</v>
      </c>
      <c r="L157" s="13">
        <v>46268</v>
      </c>
      <c r="N157" s="97">
        <v>1750905</v>
      </c>
      <c r="O157" s="95">
        <v>3</v>
      </c>
      <c r="P157" s="97">
        <v>59284</v>
      </c>
      <c r="Q157" s="97"/>
    </row>
    <row r="158" spans="1:19">
      <c r="A158" s="3" t="s">
        <v>21</v>
      </c>
      <c r="B158" s="3">
        <v>2026</v>
      </c>
      <c r="C158" s="3">
        <v>1038094582</v>
      </c>
      <c r="D158" s="3" t="s">
        <v>294</v>
      </c>
      <c r="E158" s="3" t="s">
        <v>138</v>
      </c>
      <c r="F158" s="112">
        <v>46235</v>
      </c>
      <c r="G158" s="112">
        <v>46248</v>
      </c>
      <c r="H158" s="95">
        <v>14</v>
      </c>
      <c r="I158" s="3" t="s">
        <v>219</v>
      </c>
      <c r="J158" s="3">
        <v>12058372</v>
      </c>
      <c r="K158" s="3" t="s">
        <v>197</v>
      </c>
      <c r="L158" s="13">
        <v>46268</v>
      </c>
      <c r="N158" s="97">
        <v>1750905</v>
      </c>
      <c r="O158" s="95">
        <v>14</v>
      </c>
      <c r="P158" s="97">
        <v>817089</v>
      </c>
      <c r="Q158" s="97"/>
    </row>
    <row r="159" spans="1:19">
      <c r="A159" s="3" t="s">
        <v>21</v>
      </c>
      <c r="B159" s="3">
        <v>2026</v>
      </c>
      <c r="C159" s="3">
        <v>1038094582</v>
      </c>
      <c r="D159" s="3" t="s">
        <v>294</v>
      </c>
      <c r="E159" s="3" t="s">
        <v>138</v>
      </c>
      <c r="F159" s="112">
        <v>46249</v>
      </c>
      <c r="G159" s="112">
        <v>46254</v>
      </c>
      <c r="H159" s="95">
        <v>6</v>
      </c>
      <c r="I159" s="3" t="s">
        <v>219</v>
      </c>
      <c r="J159" s="3">
        <v>12058373</v>
      </c>
      <c r="K159" s="3" t="s">
        <v>197</v>
      </c>
      <c r="L159" s="13">
        <v>46268</v>
      </c>
      <c r="N159" s="97">
        <v>1750905</v>
      </c>
      <c r="O159" s="95">
        <v>6</v>
      </c>
      <c r="P159" s="97">
        <v>350181</v>
      </c>
      <c r="Q159" s="97"/>
    </row>
    <row r="160" spans="1:19">
      <c r="A160" s="3" t="s">
        <v>21</v>
      </c>
      <c r="B160" s="3">
        <v>2026</v>
      </c>
      <c r="C160" s="3">
        <v>1038094582</v>
      </c>
      <c r="D160" s="3" t="s">
        <v>294</v>
      </c>
      <c r="E160" s="3" t="s">
        <v>138</v>
      </c>
      <c r="F160" s="112">
        <v>46255</v>
      </c>
      <c r="G160" s="112">
        <v>46281</v>
      </c>
      <c r="H160" s="95">
        <v>27</v>
      </c>
      <c r="I160" s="3" t="s">
        <v>219</v>
      </c>
      <c r="J160" s="3">
        <v>12058378</v>
      </c>
      <c r="K160" s="3" t="s">
        <v>197</v>
      </c>
      <c r="L160" s="13">
        <v>46268</v>
      </c>
      <c r="N160" s="97">
        <v>1750905</v>
      </c>
      <c r="O160" s="95">
        <v>27</v>
      </c>
      <c r="P160" s="97">
        <v>1575815</v>
      </c>
      <c r="Q160" s="97"/>
    </row>
    <row r="161" spans="1:17">
      <c r="A161" s="3" t="s">
        <v>21</v>
      </c>
      <c r="B161" s="3">
        <v>2026</v>
      </c>
      <c r="C161" s="3">
        <v>1043436854</v>
      </c>
      <c r="D161" s="3" t="s">
        <v>362</v>
      </c>
      <c r="E161" s="3" t="s">
        <v>136</v>
      </c>
      <c r="F161" s="112">
        <v>46240</v>
      </c>
      <c r="G161" s="112">
        <v>46240</v>
      </c>
      <c r="H161" s="95">
        <v>1</v>
      </c>
      <c r="I161" s="3" t="s">
        <v>208</v>
      </c>
      <c r="J161" s="3">
        <v>899489132013</v>
      </c>
      <c r="K161" s="13" t="s">
        <v>197</v>
      </c>
      <c r="L161" s="13">
        <v>46268</v>
      </c>
      <c r="N161" s="97">
        <v>1750905</v>
      </c>
      <c r="O161" s="95">
        <v>1</v>
      </c>
      <c r="P161" s="97">
        <v>76632</v>
      </c>
      <c r="Q161" s="97"/>
    </row>
    <row r="162" spans="1:17" ht="17.25">
      <c r="A162" s="3" t="s">
        <v>21</v>
      </c>
      <c r="B162" s="3">
        <v>2026</v>
      </c>
      <c r="C162" s="3">
        <v>1053869620</v>
      </c>
      <c r="D162" s="3" t="s">
        <v>328</v>
      </c>
      <c r="E162" s="3" t="s">
        <v>138</v>
      </c>
      <c r="F162" s="112">
        <v>46260</v>
      </c>
      <c r="G162" s="112">
        <v>46262</v>
      </c>
      <c r="H162" s="95">
        <v>3</v>
      </c>
      <c r="I162" s="3" t="s">
        <v>233</v>
      </c>
      <c r="J162" s="99">
        <v>2671538</v>
      </c>
      <c r="K162" s="3" t="s">
        <v>197</v>
      </c>
      <c r="L162" s="13">
        <v>46268</v>
      </c>
      <c r="N162" s="97">
        <v>1750905</v>
      </c>
      <c r="O162" s="95">
        <v>3</v>
      </c>
      <c r="P162" s="97">
        <v>58364</v>
      </c>
      <c r="Q162" s="97"/>
    </row>
    <row r="163" spans="1:17" ht="17.25">
      <c r="A163" s="3" t="s">
        <v>21</v>
      </c>
      <c r="B163" s="3">
        <v>2026</v>
      </c>
      <c r="C163" s="3">
        <v>1053873691</v>
      </c>
      <c r="D163" s="3" t="s">
        <v>263</v>
      </c>
      <c r="E163" s="3" t="s">
        <v>138</v>
      </c>
      <c r="F163" s="112">
        <v>46240</v>
      </c>
      <c r="G163" s="112">
        <v>46254</v>
      </c>
      <c r="H163" s="95">
        <v>15</v>
      </c>
      <c r="I163" s="3" t="s">
        <v>233</v>
      </c>
      <c r="J163" s="99">
        <v>2671542</v>
      </c>
      <c r="K163" s="3" t="s">
        <v>197</v>
      </c>
      <c r="L163" s="13">
        <v>46268</v>
      </c>
      <c r="N163" s="97">
        <v>1750905</v>
      </c>
      <c r="O163" s="95">
        <v>15</v>
      </c>
      <c r="P163" s="97">
        <v>758726</v>
      </c>
      <c r="Q163" s="97"/>
    </row>
    <row r="164" spans="1:17" ht="17.25">
      <c r="A164" s="3" t="s">
        <v>21</v>
      </c>
      <c r="B164" s="3">
        <v>2026</v>
      </c>
      <c r="C164" s="3">
        <v>1053873691</v>
      </c>
      <c r="D164" s="3" t="s">
        <v>263</v>
      </c>
      <c r="E164" s="3" t="s">
        <v>138</v>
      </c>
      <c r="F164" s="112">
        <v>46235</v>
      </c>
      <c r="G164" s="112">
        <v>46239</v>
      </c>
      <c r="H164" s="95">
        <v>5</v>
      </c>
      <c r="I164" s="3" t="s">
        <v>233</v>
      </c>
      <c r="J164" s="99">
        <v>2671543</v>
      </c>
      <c r="K164" s="3" t="s">
        <v>197</v>
      </c>
      <c r="L164" s="13">
        <v>46268</v>
      </c>
      <c r="N164" s="97">
        <v>1750905</v>
      </c>
      <c r="O164" s="95">
        <v>5</v>
      </c>
      <c r="P164" s="97">
        <v>175091</v>
      </c>
      <c r="Q164" s="97"/>
    </row>
    <row r="165" spans="1:17" ht="17.25">
      <c r="A165" s="3" t="s">
        <v>21</v>
      </c>
      <c r="B165" s="3">
        <v>2026</v>
      </c>
      <c r="C165" s="3">
        <v>1053873691</v>
      </c>
      <c r="D165" s="3" t="s">
        <v>263</v>
      </c>
      <c r="E165" s="3" t="s">
        <v>138</v>
      </c>
      <c r="F165" s="112">
        <v>46255</v>
      </c>
      <c r="G165" s="112">
        <v>46263</v>
      </c>
      <c r="H165" s="95">
        <v>9</v>
      </c>
      <c r="I165" s="3" t="s">
        <v>233</v>
      </c>
      <c r="J165" s="99">
        <v>2671548</v>
      </c>
      <c r="K165" s="3" t="s">
        <v>197</v>
      </c>
      <c r="L165" s="13">
        <v>46268</v>
      </c>
      <c r="N165" s="97">
        <v>1750905</v>
      </c>
      <c r="O165" s="95">
        <v>9</v>
      </c>
      <c r="P165" s="97">
        <v>525272</v>
      </c>
      <c r="Q165" s="97"/>
    </row>
    <row r="166" spans="1:17">
      <c r="A166" s="3" t="s">
        <v>21</v>
      </c>
      <c r="B166" s="3">
        <v>2026</v>
      </c>
      <c r="C166" s="3">
        <v>1055750969</v>
      </c>
      <c r="D166" s="3" t="s">
        <v>213</v>
      </c>
      <c r="E166" s="3" t="s">
        <v>138</v>
      </c>
      <c r="F166" s="112">
        <v>46235</v>
      </c>
      <c r="G166" s="112">
        <v>46237</v>
      </c>
      <c r="H166" s="95">
        <v>3</v>
      </c>
      <c r="I166" s="3" t="s">
        <v>211</v>
      </c>
      <c r="J166" s="3">
        <v>62231093</v>
      </c>
      <c r="K166" s="3" t="s">
        <v>197</v>
      </c>
      <c r="L166" s="13">
        <v>46268</v>
      </c>
      <c r="N166" s="97">
        <v>1750905</v>
      </c>
      <c r="O166" s="95">
        <v>3</v>
      </c>
      <c r="P166" s="97">
        <v>58364</v>
      </c>
      <c r="Q166" s="97"/>
    </row>
    <row r="167" spans="1:17">
      <c r="A167" s="3" t="s">
        <v>21</v>
      </c>
      <c r="B167" s="3">
        <v>2026</v>
      </c>
      <c r="C167" s="3">
        <v>1063492730</v>
      </c>
      <c r="D167" s="3" t="s">
        <v>363</v>
      </c>
      <c r="E167" s="3" t="s">
        <v>138</v>
      </c>
      <c r="F167" s="112">
        <v>46250</v>
      </c>
      <c r="G167" s="112">
        <v>46259</v>
      </c>
      <c r="H167" s="95">
        <v>10</v>
      </c>
      <c r="I167" s="3" t="s">
        <v>211</v>
      </c>
      <c r="J167" s="100">
        <v>62231094</v>
      </c>
      <c r="K167" s="3" t="s">
        <v>197</v>
      </c>
      <c r="L167" s="13">
        <v>46268</v>
      </c>
      <c r="N167" s="97">
        <v>1750905</v>
      </c>
      <c r="O167" s="95">
        <v>10</v>
      </c>
      <c r="P167" s="97">
        <v>466908</v>
      </c>
      <c r="Q167" s="97"/>
    </row>
    <row r="168" spans="1:17">
      <c r="A168" s="3" t="s">
        <v>21</v>
      </c>
      <c r="B168" s="3">
        <v>2026</v>
      </c>
      <c r="C168" s="3">
        <v>1063492730</v>
      </c>
      <c r="D168" s="3" t="s">
        <v>363</v>
      </c>
      <c r="E168" s="3" t="s">
        <v>138</v>
      </c>
      <c r="F168" s="112">
        <v>46260</v>
      </c>
      <c r="G168" s="112">
        <v>46268</v>
      </c>
      <c r="H168" s="95">
        <v>9</v>
      </c>
      <c r="I168" s="3" t="s">
        <v>211</v>
      </c>
      <c r="J168" s="100">
        <v>62231096</v>
      </c>
      <c r="K168" s="3" t="s">
        <v>197</v>
      </c>
      <c r="L168" s="13">
        <v>46268</v>
      </c>
      <c r="N168" s="97">
        <v>1750905</v>
      </c>
      <c r="O168" s="95">
        <v>9</v>
      </c>
      <c r="P168" s="97">
        <v>408545</v>
      </c>
      <c r="Q168" s="97"/>
    </row>
    <row r="169" spans="1:17">
      <c r="A169" s="3" t="s">
        <v>21</v>
      </c>
      <c r="B169" s="3">
        <v>2026</v>
      </c>
      <c r="C169" s="3">
        <v>1067840974</v>
      </c>
      <c r="D169" s="3" t="s">
        <v>296</v>
      </c>
      <c r="E169" s="3" t="s">
        <v>138</v>
      </c>
      <c r="F169" s="112">
        <v>46235</v>
      </c>
      <c r="G169" s="112">
        <v>46249</v>
      </c>
      <c r="H169" s="95">
        <v>15</v>
      </c>
      <c r="I169" s="3" t="s">
        <v>270</v>
      </c>
      <c r="L169" s="13"/>
      <c r="N169" s="97">
        <v>1750905</v>
      </c>
      <c r="O169" s="95">
        <v>15</v>
      </c>
      <c r="P169" s="97">
        <v>758726</v>
      </c>
      <c r="Q169" s="97"/>
    </row>
    <row r="170" spans="1:17">
      <c r="A170" s="3" t="s">
        <v>21</v>
      </c>
      <c r="B170" s="3">
        <v>2026</v>
      </c>
      <c r="C170" s="3">
        <v>1067840974</v>
      </c>
      <c r="D170" s="3" t="s">
        <v>296</v>
      </c>
      <c r="E170" s="3" t="s">
        <v>138</v>
      </c>
      <c r="F170" s="112">
        <v>46250</v>
      </c>
      <c r="G170" s="112">
        <v>46257</v>
      </c>
      <c r="H170" s="95">
        <v>8</v>
      </c>
      <c r="I170" s="3" t="s">
        <v>270</v>
      </c>
      <c r="J170" s="3">
        <v>90326165657</v>
      </c>
      <c r="K170" s="3" t="s">
        <v>197</v>
      </c>
      <c r="L170" s="13">
        <v>46268</v>
      </c>
      <c r="N170" s="97">
        <v>1750905</v>
      </c>
      <c r="O170" s="95">
        <v>8</v>
      </c>
      <c r="P170" s="97">
        <v>350181</v>
      </c>
      <c r="Q170" s="97"/>
    </row>
    <row r="171" spans="1:17">
      <c r="A171" s="3" t="s">
        <v>21</v>
      </c>
      <c r="B171" s="3">
        <v>2026</v>
      </c>
      <c r="C171" s="3">
        <v>1070821291</v>
      </c>
      <c r="D171" s="3" t="s">
        <v>364</v>
      </c>
      <c r="E171" s="3" t="s">
        <v>138</v>
      </c>
      <c r="F171" s="112">
        <v>46235</v>
      </c>
      <c r="G171" s="112">
        <v>46238</v>
      </c>
      <c r="H171" s="95">
        <v>4</v>
      </c>
      <c r="I171" s="3" t="s">
        <v>270</v>
      </c>
      <c r="J171" s="3">
        <v>90326165680</v>
      </c>
      <c r="K171" s="3" t="s">
        <v>197</v>
      </c>
      <c r="L171" s="13">
        <v>46268</v>
      </c>
      <c r="N171" s="97">
        <v>1750905</v>
      </c>
      <c r="O171" s="95">
        <v>4</v>
      </c>
      <c r="P171" s="97">
        <v>116727</v>
      </c>
      <c r="Q171" s="97"/>
    </row>
    <row r="172" spans="1:17">
      <c r="A172" s="3" t="s">
        <v>21</v>
      </c>
      <c r="B172" s="3">
        <v>2026</v>
      </c>
      <c r="C172" s="3">
        <v>1088243968</v>
      </c>
      <c r="D172" s="3" t="s">
        <v>365</v>
      </c>
      <c r="E172" s="3" t="s">
        <v>136</v>
      </c>
      <c r="F172" s="112">
        <v>46255</v>
      </c>
      <c r="G172" s="112">
        <v>46259</v>
      </c>
      <c r="H172" s="95">
        <v>5</v>
      </c>
      <c r="I172" s="3" t="s">
        <v>208</v>
      </c>
      <c r="J172" s="3">
        <v>941539359092</v>
      </c>
      <c r="K172" s="13" t="s">
        <v>197</v>
      </c>
      <c r="L172" s="13">
        <v>46268</v>
      </c>
      <c r="N172" s="97">
        <v>1750905</v>
      </c>
      <c r="O172" s="95">
        <v>5</v>
      </c>
      <c r="P172" s="97">
        <v>175091</v>
      </c>
      <c r="Q172" s="97"/>
    </row>
    <row r="173" spans="1:17">
      <c r="A173" s="3" t="s">
        <v>21</v>
      </c>
      <c r="B173" s="3">
        <v>2026</v>
      </c>
      <c r="C173" s="3">
        <v>1096187998</v>
      </c>
      <c r="D173" s="3" t="s">
        <v>366</v>
      </c>
      <c r="E173" s="3" t="s">
        <v>138</v>
      </c>
      <c r="F173" s="112">
        <v>46235</v>
      </c>
      <c r="G173" s="112">
        <v>46253</v>
      </c>
      <c r="H173" s="95">
        <v>19</v>
      </c>
      <c r="I173" s="3" t="s">
        <v>219</v>
      </c>
      <c r="N173" s="97">
        <v>1750905</v>
      </c>
      <c r="O173" s="95">
        <v>19</v>
      </c>
      <c r="P173" s="97">
        <v>992180</v>
      </c>
      <c r="Q173" s="97"/>
    </row>
    <row r="174" spans="1:17">
      <c r="A174" s="3" t="s">
        <v>21</v>
      </c>
      <c r="B174" s="3">
        <v>2026</v>
      </c>
      <c r="C174" s="3">
        <v>1096187998</v>
      </c>
      <c r="D174" s="3" t="s">
        <v>366</v>
      </c>
      <c r="E174" s="3" t="s">
        <v>138</v>
      </c>
      <c r="F174" s="112">
        <v>46254</v>
      </c>
      <c r="G174" s="112">
        <v>46260</v>
      </c>
      <c r="H174" s="95">
        <v>7</v>
      </c>
      <c r="I174" s="3" t="s">
        <v>219</v>
      </c>
      <c r="N174" s="97">
        <v>1750905</v>
      </c>
      <c r="O174" s="95">
        <v>7</v>
      </c>
      <c r="P174" s="97">
        <v>291818</v>
      </c>
      <c r="Q174" s="97"/>
    </row>
    <row r="175" spans="1:17">
      <c r="A175" s="3" t="s">
        <v>21</v>
      </c>
      <c r="B175" s="3">
        <v>2026</v>
      </c>
      <c r="C175" s="3">
        <v>1096187998</v>
      </c>
      <c r="D175" s="3" t="s">
        <v>366</v>
      </c>
      <c r="E175" s="3" t="s">
        <v>138</v>
      </c>
      <c r="F175" s="112">
        <v>46262</v>
      </c>
      <c r="G175" s="112">
        <v>46266</v>
      </c>
      <c r="H175" s="95">
        <v>5</v>
      </c>
      <c r="I175" s="3" t="s">
        <v>219</v>
      </c>
      <c r="J175" s="3">
        <v>12058385</v>
      </c>
      <c r="K175" s="3" t="s">
        <v>197</v>
      </c>
      <c r="L175" s="13">
        <v>46268</v>
      </c>
      <c r="N175" s="97">
        <v>1750905</v>
      </c>
      <c r="O175" s="95">
        <v>5</v>
      </c>
      <c r="P175" s="97">
        <v>175091</v>
      </c>
      <c r="Q175" s="97"/>
    </row>
    <row r="176" spans="1:17">
      <c r="A176" s="3" t="s">
        <v>21</v>
      </c>
      <c r="B176" s="3">
        <v>2026</v>
      </c>
      <c r="C176" s="3">
        <v>1105926744</v>
      </c>
      <c r="D176" s="3" t="s">
        <v>367</v>
      </c>
      <c r="E176" s="3" t="s">
        <v>136</v>
      </c>
      <c r="F176" s="112">
        <v>46242</v>
      </c>
      <c r="G176" s="112">
        <v>46243</v>
      </c>
      <c r="H176" s="95">
        <v>2</v>
      </c>
      <c r="I176" s="3" t="s">
        <v>208</v>
      </c>
      <c r="J176" s="3">
        <v>765941952181</v>
      </c>
      <c r="K176" s="13" t="s">
        <v>197</v>
      </c>
      <c r="L176" s="13">
        <v>46268</v>
      </c>
      <c r="N176" s="97">
        <v>1750905</v>
      </c>
      <c r="O176" s="95">
        <v>2</v>
      </c>
      <c r="P176" s="97">
        <v>137230</v>
      </c>
      <c r="Q176" s="97"/>
    </row>
    <row r="177" spans="1:17">
      <c r="A177" s="3" t="s">
        <v>21</v>
      </c>
      <c r="B177" s="3">
        <v>2026</v>
      </c>
      <c r="C177" s="3">
        <v>1109920469</v>
      </c>
      <c r="D177" s="3" t="s">
        <v>368</v>
      </c>
      <c r="E177" s="3" t="s">
        <v>138</v>
      </c>
      <c r="F177" s="112">
        <v>46255</v>
      </c>
      <c r="G177" s="112">
        <v>46257</v>
      </c>
      <c r="H177" s="95">
        <v>3</v>
      </c>
      <c r="I177" s="3" t="s">
        <v>270</v>
      </c>
      <c r="J177" s="3">
        <v>90326165702</v>
      </c>
      <c r="K177" s="3" t="s">
        <v>197</v>
      </c>
      <c r="L177" s="13">
        <v>46268</v>
      </c>
      <c r="N177" s="97">
        <v>1750905</v>
      </c>
      <c r="O177" s="95">
        <v>3</v>
      </c>
      <c r="P177" s="97">
        <v>58364</v>
      </c>
      <c r="Q177" s="97"/>
    </row>
    <row r="178" spans="1:17">
      <c r="A178" s="3" t="s">
        <v>21</v>
      </c>
      <c r="B178" s="3">
        <v>2026</v>
      </c>
      <c r="C178" s="3">
        <v>1118879383</v>
      </c>
      <c r="D178" s="3" t="s">
        <v>369</v>
      </c>
      <c r="E178" s="3" t="s">
        <v>138</v>
      </c>
      <c r="F178" s="112">
        <v>46255</v>
      </c>
      <c r="G178" s="112">
        <v>46257</v>
      </c>
      <c r="H178" s="95">
        <v>3</v>
      </c>
      <c r="I178" s="3" t="s">
        <v>219</v>
      </c>
      <c r="J178" s="3">
        <v>12058386</v>
      </c>
      <c r="K178" s="3" t="s">
        <v>197</v>
      </c>
      <c r="L178" s="13">
        <v>46268</v>
      </c>
      <c r="N178" s="97">
        <v>1750905</v>
      </c>
      <c r="O178" s="95">
        <v>3</v>
      </c>
      <c r="P178" s="97">
        <v>58364</v>
      </c>
      <c r="Q178" s="97"/>
    </row>
    <row r="179" spans="1:17">
      <c r="A179" s="3" t="s">
        <v>21</v>
      </c>
      <c r="B179" s="3">
        <v>2026</v>
      </c>
      <c r="C179" s="3">
        <v>1122822082</v>
      </c>
      <c r="D179" s="3" t="s">
        <v>370</v>
      </c>
      <c r="E179" s="3" t="s">
        <v>136</v>
      </c>
      <c r="F179" s="112">
        <v>46235</v>
      </c>
      <c r="G179" s="112">
        <v>46237</v>
      </c>
      <c r="H179" s="95">
        <v>3</v>
      </c>
      <c r="I179" s="3" t="s">
        <v>208</v>
      </c>
      <c r="J179" s="3">
        <v>479317226534</v>
      </c>
      <c r="K179" s="13" t="s">
        <v>197</v>
      </c>
      <c r="L179" s="13">
        <v>46268</v>
      </c>
      <c r="N179" s="97">
        <v>1750905</v>
      </c>
      <c r="O179" s="95">
        <v>3</v>
      </c>
      <c r="P179" s="97">
        <v>193617</v>
      </c>
      <c r="Q179" s="97"/>
    </row>
    <row r="180" spans="1:17">
      <c r="A180" s="3" t="s">
        <v>21</v>
      </c>
      <c r="B180" s="3">
        <v>2026</v>
      </c>
      <c r="C180" s="3">
        <v>1125082534</v>
      </c>
      <c r="D180" s="3" t="s">
        <v>371</v>
      </c>
      <c r="E180" s="3" t="s">
        <v>138</v>
      </c>
      <c r="F180" s="112">
        <v>46256</v>
      </c>
      <c r="G180" s="112">
        <v>46269</v>
      </c>
      <c r="H180" s="95">
        <v>14</v>
      </c>
      <c r="I180" s="3" t="s">
        <v>270</v>
      </c>
      <c r="J180" s="3">
        <v>90326166055</v>
      </c>
      <c r="K180" s="3" t="s">
        <v>197</v>
      </c>
      <c r="L180" s="13">
        <v>46268</v>
      </c>
      <c r="N180" s="97">
        <v>1750905</v>
      </c>
      <c r="O180" s="95">
        <v>14</v>
      </c>
      <c r="P180" s="97">
        <v>700362</v>
      </c>
      <c r="Q180" s="97"/>
    </row>
    <row r="181" spans="1:17">
      <c r="A181" s="3" t="s">
        <v>21</v>
      </c>
      <c r="B181" s="3">
        <v>2026</v>
      </c>
      <c r="C181" s="3">
        <v>1143395617</v>
      </c>
      <c r="D181" s="3" t="s">
        <v>372</v>
      </c>
      <c r="E181" s="3" t="s">
        <v>138</v>
      </c>
      <c r="F181" s="112">
        <v>46242</v>
      </c>
      <c r="G181" s="112">
        <v>46244</v>
      </c>
      <c r="H181" s="95">
        <v>3</v>
      </c>
      <c r="I181" s="3" t="s">
        <v>270</v>
      </c>
      <c r="J181" s="3">
        <v>90326166087</v>
      </c>
      <c r="K181" s="3" t="s">
        <v>197</v>
      </c>
      <c r="L181" s="13">
        <v>46268</v>
      </c>
      <c r="N181" s="97">
        <v>1750905</v>
      </c>
      <c r="O181" s="95">
        <v>3</v>
      </c>
      <c r="P181" s="97">
        <v>58364</v>
      </c>
      <c r="Q181" s="97"/>
    </row>
    <row r="182" spans="1:17">
      <c r="A182" s="3" t="s">
        <v>21</v>
      </c>
      <c r="B182" s="3">
        <v>2026</v>
      </c>
      <c r="C182" s="3">
        <v>1143404816</v>
      </c>
      <c r="D182" s="3" t="s">
        <v>279</v>
      </c>
      <c r="E182" s="3" t="s">
        <v>138</v>
      </c>
      <c r="F182" s="112">
        <v>46235</v>
      </c>
      <c r="G182" s="112">
        <v>46240</v>
      </c>
      <c r="H182" s="95">
        <v>6</v>
      </c>
      <c r="I182" s="3" t="s">
        <v>270</v>
      </c>
      <c r="J182" s="3">
        <v>90326166133</v>
      </c>
      <c r="K182" s="3" t="s">
        <v>197</v>
      </c>
      <c r="L182" s="13">
        <v>46268</v>
      </c>
      <c r="N182" s="97">
        <v>1750905</v>
      </c>
      <c r="O182" s="95">
        <v>6</v>
      </c>
      <c r="P182" s="97">
        <v>233454</v>
      </c>
      <c r="Q182" s="97"/>
    </row>
    <row r="183" spans="1:17" ht="17.25">
      <c r="A183" s="3" t="s">
        <v>21</v>
      </c>
      <c r="B183" s="3">
        <v>2026</v>
      </c>
      <c r="C183" s="3">
        <v>1152697576</v>
      </c>
      <c r="D183" s="3" t="s">
        <v>255</v>
      </c>
      <c r="E183" s="3" t="s">
        <v>138</v>
      </c>
      <c r="F183" s="112">
        <v>46235</v>
      </c>
      <c r="G183" s="112">
        <v>46238</v>
      </c>
      <c r="H183" s="95">
        <v>4</v>
      </c>
      <c r="I183" s="3" t="s">
        <v>233</v>
      </c>
      <c r="J183" s="99">
        <v>2671549</v>
      </c>
      <c r="K183" s="3" t="s">
        <v>197</v>
      </c>
      <c r="L183" s="13">
        <v>46268</v>
      </c>
      <c r="N183" s="97">
        <v>1750905</v>
      </c>
      <c r="O183" s="95">
        <v>4</v>
      </c>
      <c r="P183" s="97">
        <v>116727</v>
      </c>
      <c r="Q183" s="97"/>
    </row>
    <row r="184" spans="1:17">
      <c r="A184" s="3" t="s">
        <v>21</v>
      </c>
      <c r="B184" s="3">
        <v>2026</v>
      </c>
      <c r="C184" s="3">
        <v>1193435332</v>
      </c>
      <c r="D184" s="3" t="s">
        <v>373</v>
      </c>
      <c r="E184" s="3" t="s">
        <v>138</v>
      </c>
      <c r="F184" s="112">
        <v>46240</v>
      </c>
      <c r="G184" s="112">
        <v>46249</v>
      </c>
      <c r="H184" s="95">
        <v>10</v>
      </c>
      <c r="I184" s="3" t="s">
        <v>374</v>
      </c>
      <c r="N184" s="97">
        <v>1750905</v>
      </c>
      <c r="O184" s="95">
        <v>10</v>
      </c>
      <c r="P184" s="97">
        <v>466908</v>
      </c>
      <c r="Q184" s="97"/>
    </row>
    <row r="185" spans="1:17">
      <c r="A185" s="3" t="s">
        <v>21</v>
      </c>
      <c r="B185" s="3">
        <v>2026</v>
      </c>
      <c r="C185" s="3">
        <v>1193435332</v>
      </c>
      <c r="D185" s="3" t="s">
        <v>373</v>
      </c>
      <c r="E185" s="3" t="s">
        <v>138</v>
      </c>
      <c r="F185" s="112">
        <v>46261</v>
      </c>
      <c r="G185" s="112">
        <v>46275</v>
      </c>
      <c r="H185" s="95">
        <v>15</v>
      </c>
      <c r="I185" s="3" t="s">
        <v>374</v>
      </c>
      <c r="N185" s="97">
        <v>1750905</v>
      </c>
      <c r="O185" s="95">
        <v>15</v>
      </c>
      <c r="P185" s="97">
        <v>758726</v>
      </c>
      <c r="Q185" s="97"/>
    </row>
    <row r="186" spans="1:17">
      <c r="A186" s="3" t="s">
        <v>21</v>
      </c>
      <c r="B186" s="3">
        <v>2026</v>
      </c>
      <c r="C186" s="3">
        <v>1193435332</v>
      </c>
      <c r="D186" s="3" t="s">
        <v>373</v>
      </c>
      <c r="E186" s="3" t="s">
        <v>138</v>
      </c>
      <c r="F186" s="112">
        <v>46250</v>
      </c>
      <c r="G186" s="112">
        <v>46260</v>
      </c>
      <c r="H186" s="95">
        <v>11</v>
      </c>
      <c r="I186" s="3" t="s">
        <v>374</v>
      </c>
      <c r="N186" s="97">
        <v>1750905</v>
      </c>
      <c r="O186" s="95">
        <v>11</v>
      </c>
      <c r="P186" s="97">
        <v>525272</v>
      </c>
      <c r="Q186" s="97"/>
    </row>
    <row r="187" spans="1:17">
      <c r="A187" s="3" t="s">
        <v>21</v>
      </c>
      <c r="B187" s="3">
        <v>2026</v>
      </c>
      <c r="C187" s="3">
        <v>1193577775</v>
      </c>
      <c r="D187" s="3" t="s">
        <v>375</v>
      </c>
      <c r="E187" s="3" t="s">
        <v>138</v>
      </c>
      <c r="F187" s="112">
        <v>46257</v>
      </c>
      <c r="G187" s="112">
        <v>46275</v>
      </c>
      <c r="H187" s="95">
        <v>19</v>
      </c>
      <c r="I187" s="3" t="s">
        <v>270</v>
      </c>
      <c r="J187" s="3">
        <v>90326166198</v>
      </c>
      <c r="K187" s="3" t="s">
        <v>197</v>
      </c>
      <c r="L187" s="13">
        <v>46268</v>
      </c>
      <c r="N187" s="97">
        <v>1750905</v>
      </c>
      <c r="O187" s="95">
        <v>19</v>
      </c>
      <c r="P187" s="97">
        <v>992180</v>
      </c>
      <c r="Q187" s="97"/>
    </row>
    <row r="188" spans="1:17">
      <c r="A188" s="3" t="s">
        <v>21</v>
      </c>
      <c r="B188" s="3">
        <v>2026</v>
      </c>
      <c r="C188" s="3">
        <v>36812174</v>
      </c>
      <c r="D188" s="3" t="s">
        <v>376</v>
      </c>
      <c r="E188" s="3" t="s">
        <v>138</v>
      </c>
      <c r="F188" s="112">
        <v>46239</v>
      </c>
      <c r="G188" s="112">
        <v>46241</v>
      </c>
      <c r="H188" s="95">
        <v>3</v>
      </c>
      <c r="I188" s="3" t="s">
        <v>219</v>
      </c>
      <c r="J188" s="3">
        <v>12058387</v>
      </c>
      <c r="K188" s="3" t="s">
        <v>197</v>
      </c>
      <c r="L188" s="13">
        <v>46268</v>
      </c>
      <c r="N188" s="97">
        <v>1750905</v>
      </c>
      <c r="O188" s="95">
        <v>3</v>
      </c>
      <c r="P188" s="97">
        <v>58364</v>
      </c>
      <c r="Q188" s="97"/>
    </row>
    <row r="189" spans="1:17" ht="17.25">
      <c r="A189" s="3" t="s">
        <v>21</v>
      </c>
      <c r="B189" s="3">
        <v>2026</v>
      </c>
      <c r="C189" s="3">
        <v>43254005</v>
      </c>
      <c r="D189" s="3" t="s">
        <v>377</v>
      </c>
      <c r="E189" s="3" t="s">
        <v>138</v>
      </c>
      <c r="F189" s="112">
        <v>46250</v>
      </c>
      <c r="G189" s="112">
        <v>46252</v>
      </c>
      <c r="H189" s="95">
        <v>3</v>
      </c>
      <c r="I189" s="3" t="s">
        <v>233</v>
      </c>
      <c r="J189" s="99">
        <v>2671550</v>
      </c>
      <c r="K189" s="3" t="s">
        <v>197</v>
      </c>
      <c r="L189" s="13">
        <v>46268</v>
      </c>
      <c r="N189" s="97">
        <v>1750905</v>
      </c>
      <c r="O189" s="95">
        <v>3</v>
      </c>
      <c r="P189" s="97">
        <v>58364</v>
      </c>
      <c r="Q189" s="97"/>
    </row>
    <row r="190" spans="1:17">
      <c r="A190" s="3" t="s">
        <v>21</v>
      </c>
      <c r="B190" s="3">
        <v>2026</v>
      </c>
      <c r="C190" s="3">
        <v>6005449871</v>
      </c>
      <c r="D190" s="3" t="s">
        <v>275</v>
      </c>
      <c r="E190" s="3" t="s">
        <v>138</v>
      </c>
      <c r="F190" s="112">
        <v>46238</v>
      </c>
      <c r="G190" s="112">
        <v>46267</v>
      </c>
      <c r="H190" s="95">
        <v>30</v>
      </c>
      <c r="I190" s="3" t="s">
        <v>270</v>
      </c>
      <c r="J190" s="3">
        <v>90326166244</v>
      </c>
      <c r="K190" s="3" t="s">
        <v>197</v>
      </c>
      <c r="L190" s="13">
        <v>46268</v>
      </c>
      <c r="N190" s="97">
        <v>1750905</v>
      </c>
      <c r="O190" s="95">
        <v>30</v>
      </c>
      <c r="P190" s="97">
        <v>1634178</v>
      </c>
      <c r="Q190" s="97"/>
    </row>
  </sheetData>
  <hyperlinks>
    <hyperlink ref="M5" r:id="rId1" xr:uid="{2755F443-DEC2-4BD0-8F52-56CFECC003AB}"/>
    <hyperlink ref="M36" r:id="rId2" xr:uid="{9A5D0D14-3A9C-49BB-B263-3D224427B0C0}"/>
    <hyperlink ref="M2" r:id="rId3" xr:uid="{B8B23E67-C99A-4BF0-94A5-48917B9B26C8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B342C-817E-41F0-95E1-263C311AC2F5}">
  <sheetPr>
    <tabColor rgb="FF2F4F4F"/>
  </sheetPr>
  <dimension ref="A1:G25"/>
  <sheetViews>
    <sheetView tabSelected="1" topLeftCell="D5" workbookViewId="0">
      <selection activeCell="B4" sqref="B4"/>
    </sheetView>
  </sheetViews>
  <sheetFormatPr baseColWidth="10" defaultRowHeight="15"/>
  <cols>
    <col min="3" max="3" width="26.42578125" bestFit="1" customWidth="1"/>
    <col min="4" max="4" width="22.42578125" bestFit="1" customWidth="1"/>
    <col min="5" max="5" width="23.140625" bestFit="1" customWidth="1"/>
    <col min="6" max="6" width="23.140625" customWidth="1"/>
    <col min="7" max="7" width="16.5703125" customWidth="1"/>
    <col min="8" max="8" width="12.85546875" bestFit="1" customWidth="1"/>
  </cols>
  <sheetData>
    <row r="1" spans="1:7">
      <c r="A1" s="3" t="s">
        <v>1</v>
      </c>
      <c r="B1" s="3" t="s">
        <v>0</v>
      </c>
      <c r="C1" s="3" t="s">
        <v>74</v>
      </c>
      <c r="D1" s="3" t="s">
        <v>85</v>
      </c>
      <c r="E1" s="3" t="s">
        <v>86</v>
      </c>
      <c r="F1" s="3" t="s">
        <v>87</v>
      </c>
      <c r="G1" s="3" t="s">
        <v>88</v>
      </c>
    </row>
    <row r="2" spans="1:7">
      <c r="A2" s="3"/>
      <c r="B2" s="3"/>
      <c r="C2" s="3" t="s">
        <v>76</v>
      </c>
      <c r="D2" s="3"/>
      <c r="E2" s="3"/>
      <c r="F2" s="3"/>
      <c r="G2" s="3"/>
    </row>
    <row r="3" spans="1:7">
      <c r="A3" s="3">
        <v>2026</v>
      </c>
      <c r="B3" s="3" t="s">
        <v>21</v>
      </c>
      <c r="C3" s="3" t="s">
        <v>77</v>
      </c>
      <c r="D3" s="90">
        <v>348865</v>
      </c>
      <c r="E3" s="3"/>
      <c r="F3" s="3"/>
      <c r="G3" s="3"/>
    </row>
    <row r="4" spans="1:7">
      <c r="A4" s="3"/>
      <c r="B4" s="3"/>
      <c r="C4" s="3" t="s">
        <v>78</v>
      </c>
      <c r="D4" s="3"/>
      <c r="E4" s="3"/>
      <c r="F4" s="3"/>
      <c r="G4" s="3"/>
    </row>
    <row r="5" spans="1:7">
      <c r="A5" s="3"/>
      <c r="B5" s="3"/>
      <c r="C5" s="3"/>
      <c r="D5" s="3"/>
      <c r="E5" s="3"/>
      <c r="F5" s="3"/>
      <c r="G5" s="3"/>
    </row>
    <row r="6" spans="1:7">
      <c r="A6" s="3"/>
      <c r="B6" s="3"/>
      <c r="C6" s="3"/>
      <c r="D6" s="3"/>
      <c r="E6" s="3"/>
      <c r="F6" s="3"/>
      <c r="G6" s="3"/>
    </row>
    <row r="7" spans="1:7">
      <c r="A7" s="3"/>
      <c r="B7" s="3"/>
      <c r="C7" s="3"/>
      <c r="D7" s="3"/>
      <c r="E7" s="3"/>
      <c r="F7" s="3"/>
      <c r="G7" s="3"/>
    </row>
    <row r="8" spans="1:7">
      <c r="A8" s="3"/>
      <c r="B8" s="3"/>
      <c r="C8" s="3"/>
      <c r="D8" s="3"/>
      <c r="E8" s="3"/>
      <c r="F8" s="3"/>
      <c r="G8" s="3"/>
    </row>
    <row r="10" spans="1:7">
      <c r="A10" s="3" t="s">
        <v>1</v>
      </c>
      <c r="B10" s="3" t="s">
        <v>0</v>
      </c>
      <c r="C10" s="3" t="s">
        <v>75</v>
      </c>
      <c r="D10" s="3" t="s">
        <v>85</v>
      </c>
      <c r="E10" s="3" t="s">
        <v>86</v>
      </c>
      <c r="F10" s="3" t="s">
        <v>87</v>
      </c>
      <c r="G10" s="3" t="s">
        <v>88</v>
      </c>
    </row>
    <row r="11" spans="1:7">
      <c r="A11" s="3"/>
      <c r="B11" s="3"/>
      <c r="C11" s="3" t="s">
        <v>79</v>
      </c>
      <c r="D11" s="3"/>
      <c r="E11" s="3"/>
      <c r="F11" s="3"/>
      <c r="G11" s="3"/>
    </row>
    <row r="12" spans="1:7">
      <c r="A12" s="3"/>
      <c r="B12" s="3"/>
      <c r="C12" s="3" t="s">
        <v>80</v>
      </c>
      <c r="D12" s="3"/>
      <c r="E12" s="3"/>
      <c r="F12" s="3"/>
      <c r="G12" s="3"/>
    </row>
    <row r="13" spans="1:7">
      <c r="A13" s="3"/>
      <c r="B13" s="3"/>
      <c r="C13" s="3" t="s">
        <v>81</v>
      </c>
      <c r="D13" s="3"/>
      <c r="E13" s="3"/>
      <c r="F13" s="3"/>
      <c r="G13" s="3"/>
    </row>
    <row r="14" spans="1:7">
      <c r="A14" s="3"/>
      <c r="B14" s="3"/>
      <c r="C14" s="3" t="s">
        <v>82</v>
      </c>
      <c r="D14" s="3"/>
      <c r="E14" s="3"/>
      <c r="F14" s="3"/>
      <c r="G14" s="3"/>
    </row>
    <row r="15" spans="1:7">
      <c r="A15" s="3"/>
      <c r="B15" s="3"/>
      <c r="C15" s="3" t="s">
        <v>83</v>
      </c>
      <c r="D15" s="3"/>
      <c r="E15" s="3"/>
      <c r="F15" s="3"/>
      <c r="G15" s="3"/>
    </row>
    <row r="16" spans="1:7">
      <c r="A16" s="3"/>
      <c r="B16" s="3"/>
      <c r="C16" s="3" t="s">
        <v>84</v>
      </c>
      <c r="D16" s="3"/>
      <c r="E16" s="3"/>
      <c r="F16" s="3"/>
      <c r="G16" s="3"/>
    </row>
    <row r="18" spans="1:7">
      <c r="A18" s="3" t="s">
        <v>1</v>
      </c>
      <c r="B18" s="3" t="s">
        <v>0</v>
      </c>
      <c r="C18" s="3" t="s">
        <v>68</v>
      </c>
      <c r="D18" s="3" t="s">
        <v>85</v>
      </c>
      <c r="E18" s="3" t="s">
        <v>86</v>
      </c>
      <c r="F18" s="3" t="s">
        <v>87</v>
      </c>
      <c r="G18" s="3" t="s">
        <v>88</v>
      </c>
    </row>
    <row r="19" spans="1:7">
      <c r="A19" s="3">
        <v>2026</v>
      </c>
      <c r="B19" s="3" t="s">
        <v>21</v>
      </c>
      <c r="C19" s="91" t="s">
        <v>172</v>
      </c>
      <c r="D19" s="90">
        <v>35749934</v>
      </c>
      <c r="E19" s="3"/>
      <c r="F19" s="3"/>
      <c r="G19" s="3"/>
    </row>
    <row r="20" spans="1:7">
      <c r="A20" s="3">
        <v>2026</v>
      </c>
      <c r="B20" s="3" t="s">
        <v>21</v>
      </c>
      <c r="C20" s="91" t="s">
        <v>173</v>
      </c>
      <c r="D20" s="90">
        <v>7638185</v>
      </c>
      <c r="E20" s="3"/>
      <c r="F20" s="3"/>
      <c r="G20" s="3"/>
    </row>
    <row r="21" spans="1:7">
      <c r="A21" s="3">
        <v>2026</v>
      </c>
      <c r="B21" s="3" t="s">
        <v>21</v>
      </c>
      <c r="C21" s="91" t="s">
        <v>174</v>
      </c>
      <c r="D21" s="90">
        <v>440899</v>
      </c>
      <c r="E21" s="3"/>
      <c r="F21" s="3"/>
      <c r="G21" s="3"/>
    </row>
    <row r="22" spans="1:7">
      <c r="A22">
        <v>2026</v>
      </c>
      <c r="B22" t="s">
        <v>21</v>
      </c>
      <c r="C22" s="91" t="s">
        <v>176</v>
      </c>
      <c r="D22" s="90">
        <v>152600</v>
      </c>
    </row>
    <row r="24" spans="1:7">
      <c r="A24" s="3" t="s">
        <v>89</v>
      </c>
      <c r="B24" s="3" t="s">
        <v>0</v>
      </c>
      <c r="C24" s="3" t="s">
        <v>90</v>
      </c>
      <c r="D24" s="3" t="s">
        <v>85</v>
      </c>
      <c r="E24" s="3" t="s">
        <v>86</v>
      </c>
      <c r="F24" s="3" t="s">
        <v>87</v>
      </c>
      <c r="G24" s="3" t="s">
        <v>88</v>
      </c>
    </row>
    <row r="25" spans="1:7">
      <c r="A25" s="3">
        <v>2026</v>
      </c>
      <c r="B25" s="3" t="s">
        <v>21</v>
      </c>
      <c r="C25" s="3" t="s">
        <v>175</v>
      </c>
      <c r="D25" s="90">
        <v>291000</v>
      </c>
      <c r="E25" s="3"/>
      <c r="F25" s="3"/>
      <c r="G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Indicadores (2)</vt:lpstr>
      <vt:lpstr>Indicadores</vt:lpstr>
      <vt:lpstr>Listas</vt:lpstr>
      <vt:lpstr>Clima organizacional</vt:lpstr>
      <vt:lpstr>Plan de formación</vt:lpstr>
      <vt:lpstr>Costo de capacitación</vt:lpstr>
      <vt:lpstr> Costo de contratación </vt:lpstr>
      <vt:lpstr>SST</vt:lpstr>
      <vt:lpstr>Ausentismo</vt:lpstr>
      <vt:lpstr>Costo de Bonificación</vt:lpstr>
      <vt:lpstr>Cobro de incapacidades</vt:lpstr>
      <vt:lpstr>Depuración de Cartera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Uribe Botero</dc:creator>
  <cp:lastModifiedBy>Felipe Uribe Botero</cp:lastModifiedBy>
  <dcterms:created xsi:type="dcterms:W3CDTF">2026-02-17T14:11:48Z</dcterms:created>
  <dcterms:modified xsi:type="dcterms:W3CDTF">2026-09-05T14:25:10Z</dcterms:modified>
</cp:coreProperties>
</file>