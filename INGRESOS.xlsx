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pivotTables/pivotTable5.xml" ContentType="application/vnd.openxmlformats-officedocument.spreadsheetml.pivot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tables/table7.xml" ContentType="application/vnd.openxmlformats-officedocument.spreadsheetml.table+xml"/>
  <Override PartName="/xl/pivotTables/pivotTable7.xml" ContentType="application/vnd.openxmlformats-officedocument.spreadsheetml.pivotTable+xml"/>
  <Override PartName="/xl/tables/table8.xml" ContentType="application/vnd.openxmlformats-officedocument.spreadsheetml.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ntolivo\Dropbox\Asesorias PYMES\1. Proyectos Actuales\2. MONTOLIVO\2. Proyecto\Indicadores Montolivo\Gestion Humana\"/>
    </mc:Choice>
  </mc:AlternateContent>
  <xr:revisionPtr revIDLastSave="0" documentId="8_{75B4DA9C-A87D-4C9C-9FF4-E2E95F9BF0BA}" xr6:coauthVersionLast="47" xr6:coauthVersionMax="47" xr10:uidLastSave="{00000000-0000-0000-0000-000000000000}"/>
  <bookViews>
    <workbookView xWindow="-120" yWindow="-120" windowWidth="20730" windowHeight="11040" firstSheet="6" activeTab="9" xr2:uid="{00000000-000D-0000-FFFF-FFFF00000000}"/>
  </bookViews>
  <sheets>
    <sheet name="FESTIVOS" sheetId="16" r:id="rId1"/>
    <sheet name="MEDELLÍN-RIONEGRO" sheetId="15" r:id="rId2"/>
    <sheet name="RIONEGRO" sheetId="23" r:id="rId3"/>
    <sheet name="BOGOTA" sheetId="8" r:id="rId4"/>
    <sheet name="BARRANQUILLA" sheetId="17" r:id="rId5"/>
    <sheet name="EJE CAFETERO" sheetId="18" r:id="rId6"/>
    <sheet name="NO CRITICOS" sheetId="19" r:id="rId7"/>
    <sheet name="TEMPORADA" sheetId="20" r:id="rId8"/>
    <sheet name="APRENDICES " sheetId="21" r:id="rId9"/>
    <sheet name=" CARGOS Y ESTADOS" sheetId="7" r:id="rId10"/>
    <sheet name="Hoja1" sheetId="22" r:id="rId11"/>
  </sheets>
  <definedNames>
    <definedName name="_xlnm._FilterDatabase" localSheetId="3" hidden="1">BOGOTA!$A$1:$R$32</definedName>
    <definedName name="_xlnm._FilterDatabase" localSheetId="0" hidden="1">FESTIVOS!$A$2:$B$24</definedName>
    <definedName name="_xlnm._FilterDatabase" localSheetId="2" hidden="1">RIONEGRO!$A$1:$M$1</definedName>
  </definedNames>
  <calcPr calcId="191028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7" i="15" l="1" a="1"/>
  <c r="K197" i="15"/>
  <c r="L197" i="15"/>
  <c r="M197" i="15"/>
  <c r="K198" i="15" a="1"/>
  <c r="K198" i="15"/>
  <c r="L198" i="15"/>
  <c r="M198" i="15"/>
  <c r="K196" i="15" a="1"/>
  <c r="K196" i="15"/>
  <c r="L196" i="15"/>
  <c r="M196" i="15"/>
  <c r="K199" i="15" a="1"/>
  <c r="K199" i="15"/>
  <c r="L199" i="15"/>
  <c r="M199" i="15"/>
  <c r="K200" i="15" a="1"/>
  <c r="K200" i="15"/>
  <c r="L200" i="15"/>
  <c r="M200" i="15"/>
  <c r="K194" i="15" a="1"/>
  <c r="K194" i="15"/>
  <c r="L194" i="15"/>
  <c r="M194" i="15"/>
  <c r="A7" i="17"/>
  <c r="L172" i="8"/>
  <c r="K172" i="8" a="1"/>
  <c r="K172" i="8" s="1"/>
  <c r="M172" i="8" s="1"/>
  <c r="L171" i="8"/>
  <c r="K171" i="8" a="1"/>
  <c r="K171" i="8" s="1"/>
  <c r="M171" i="8" s="1"/>
  <c r="L170" i="8"/>
  <c r="K170" i="8" a="1"/>
  <c r="K170" i="8" s="1"/>
  <c r="M170" i="8" s="1"/>
  <c r="L169" i="8"/>
  <c r="K169" i="8" a="1"/>
  <c r="K169" i="8" s="1"/>
  <c r="M169" i="8" s="1"/>
  <c r="L168" i="8"/>
  <c r="K168" i="8" a="1"/>
  <c r="K168" i="8" s="1"/>
  <c r="M168" i="8" s="1"/>
  <c r="L167" i="8"/>
  <c r="K167" i="8" a="1"/>
  <c r="K167" i="8" s="1"/>
  <c r="M167" i="8" s="1"/>
  <c r="L166" i="8"/>
  <c r="K166" i="8" a="1"/>
  <c r="K166" i="8" s="1"/>
  <c r="M166" i="8" s="1"/>
  <c r="L165" i="8"/>
  <c r="K165" i="8" a="1"/>
  <c r="K165" i="8" s="1"/>
  <c r="M165" i="8" s="1"/>
  <c r="K63" i="18" a="1"/>
  <c r="K63" i="18"/>
  <c r="L63" i="18"/>
  <c r="M63" i="18"/>
  <c r="K62" i="18" a="1"/>
  <c r="K62" i="18"/>
  <c r="L62" i="18"/>
  <c r="M62" i="18"/>
  <c r="K61" i="18" a="1"/>
  <c r="K61" i="18"/>
  <c r="L61" i="18"/>
  <c r="M61" i="18"/>
  <c r="K60" i="18" a="1"/>
  <c r="K60" i="18"/>
  <c r="L60" i="18"/>
  <c r="M60" i="18"/>
  <c r="K59" i="18" a="1"/>
  <c r="K59" i="18"/>
  <c r="L59" i="18"/>
  <c r="M59" i="18"/>
  <c r="K58" i="18" a="1"/>
  <c r="K58" i="18"/>
  <c r="L58" i="18"/>
  <c r="M58" i="18"/>
  <c r="K9" i="17" a="1"/>
  <c r="K9" i="17"/>
  <c r="L9" i="17"/>
  <c r="M9" i="17"/>
  <c r="K8" i="17" a="1"/>
  <c r="K8" i="17"/>
  <c r="L8" i="17"/>
  <c r="M8" i="17"/>
  <c r="K57" i="18" a="1"/>
  <c r="K57" i="18"/>
  <c r="L57" i="18"/>
  <c r="M57" i="18"/>
  <c r="K184" i="15" a="1"/>
  <c r="K184" i="15"/>
  <c r="L184" i="15"/>
  <c r="M184" i="15"/>
  <c r="K185" i="15" a="1"/>
  <c r="K185" i="15"/>
  <c r="L185" i="15"/>
  <c r="M185" i="15"/>
  <c r="K186" i="15" a="1"/>
  <c r="K186" i="15"/>
  <c r="L186" i="15"/>
  <c r="M186" i="15"/>
  <c r="K187" i="15" a="1"/>
  <c r="K187" i="15"/>
  <c r="L187" i="15"/>
  <c r="M187" i="15"/>
  <c r="K188" i="15" a="1"/>
  <c r="K188" i="15"/>
  <c r="L188" i="15"/>
  <c r="M188" i="15"/>
  <c r="K189" i="15" a="1"/>
  <c r="K189" i="15"/>
  <c r="L189" i="15"/>
  <c r="M189" i="15"/>
  <c r="K190" i="15" a="1"/>
  <c r="K190" i="15"/>
  <c r="L190" i="15"/>
  <c r="M190" i="15"/>
  <c r="K191" i="15" a="1"/>
  <c r="K191" i="15"/>
  <c r="L191" i="15"/>
  <c r="M191" i="15"/>
  <c r="K56" i="18" a="1"/>
  <c r="K56" i="18"/>
  <c r="L56" i="18"/>
  <c r="M56" i="18"/>
  <c r="K55" i="18" a="1"/>
  <c r="K55" i="18"/>
  <c r="L55" i="18"/>
  <c r="M55" i="18"/>
  <c r="L152" i="8"/>
  <c r="L151" i="8"/>
  <c r="K152" i="8" a="1"/>
  <c r="K152" i="8" s="1"/>
  <c r="M152" i="8" s="1"/>
  <c r="K151" i="8" a="1"/>
  <c r="K151" i="8" s="1"/>
  <c r="M151" i="8" s="1"/>
  <c r="K181" i="15" a="1"/>
  <c r="K181" i="15"/>
  <c r="L181" i="15"/>
  <c r="M181" i="15"/>
  <c r="K183" i="15" a="1"/>
  <c r="K183" i="15"/>
  <c r="L183" i="15"/>
  <c r="M183" i="15"/>
  <c r="K179" i="15" a="1"/>
  <c r="K179" i="15"/>
  <c r="L179" i="15"/>
  <c r="M179" i="15"/>
  <c r="K180" i="15" a="1"/>
  <c r="K180" i="15"/>
  <c r="L180" i="15"/>
  <c r="M180" i="15"/>
  <c r="K182" i="15" a="1"/>
  <c r="K182" i="15"/>
  <c r="L182" i="15"/>
  <c r="M182" i="15"/>
  <c r="K192" i="15" a="1"/>
  <c r="K192" i="15"/>
  <c r="L192" i="15"/>
  <c r="M192" i="15"/>
  <c r="K178" i="15" a="1"/>
  <c r="K178" i="15"/>
  <c r="L178" i="15"/>
  <c r="M178" i="15"/>
  <c r="K193" i="15" a="1"/>
  <c r="K193" i="15"/>
  <c r="L193" i="15"/>
  <c r="M193" i="15"/>
  <c r="K195" i="15" a="1"/>
  <c r="K195" i="15"/>
  <c r="L195" i="15"/>
  <c r="M195" i="15"/>
  <c r="K177" i="15" a="1"/>
  <c r="K177" i="15"/>
  <c r="L177" i="15"/>
  <c r="M177" i="15"/>
  <c r="L54" i="18"/>
  <c r="K54" i="18" a="1"/>
  <c r="K54" i="18" s="1"/>
  <c r="M54" i="18" s="1"/>
  <c r="K7" i="17" a="1"/>
  <c r="K7" i="17"/>
  <c r="L7" i="17"/>
  <c r="M7" i="17"/>
  <c r="K6" i="17" a="1"/>
  <c r="K6" i="17"/>
  <c r="L6" i="17"/>
  <c r="M6" i="17"/>
  <c r="K5" i="17" a="1"/>
  <c r="K5" i="17"/>
  <c r="L5" i="17"/>
  <c r="M5" i="17"/>
  <c r="A37" i="18"/>
  <c r="L164" i="8"/>
  <c r="K164" i="8" a="1"/>
  <c r="K164" i="8" s="1"/>
  <c r="M164" i="8" s="1"/>
  <c r="L163" i="8"/>
  <c r="K163" i="8" a="1"/>
  <c r="K163" i="8" s="1"/>
  <c r="M163" i="8" s="1"/>
  <c r="L162" i="8"/>
  <c r="K162" i="8" a="1"/>
  <c r="K162" i="8" s="1"/>
  <c r="M162" i="8" s="1"/>
  <c r="L161" i="8"/>
  <c r="K161" i="8" a="1"/>
  <c r="K161" i="8" s="1"/>
  <c r="M161" i="8" s="1"/>
  <c r="L160" i="8"/>
  <c r="K160" i="8" a="1"/>
  <c r="K160" i="8" s="1"/>
  <c r="M160" i="8" s="1"/>
  <c r="L159" i="8"/>
  <c r="K159" i="8" a="1"/>
  <c r="K159" i="8" s="1"/>
  <c r="M159" i="8" s="1"/>
  <c r="L158" i="8"/>
  <c r="K158" i="8" a="1"/>
  <c r="K158" i="8" s="1"/>
  <c r="M158" i="8" s="1"/>
  <c r="L157" i="8"/>
  <c r="K157" i="8" a="1"/>
  <c r="K157" i="8" s="1"/>
  <c r="M157" i="8" s="1"/>
  <c r="L156" i="8"/>
  <c r="K156" i="8" a="1"/>
  <c r="K156" i="8" s="1"/>
  <c r="M156" i="8" s="1"/>
  <c r="L155" i="8"/>
  <c r="K155" i="8" a="1"/>
  <c r="K155" i="8" s="1"/>
  <c r="M155" i="8" s="1"/>
  <c r="L154" i="8"/>
  <c r="K154" i="8" a="1"/>
  <c r="K154" i="8" s="1"/>
  <c r="M154" i="8" s="1"/>
  <c r="L153" i="8"/>
  <c r="K153" i="8" a="1"/>
  <c r="K153" i="8" s="1"/>
  <c r="M153" i="8" s="1"/>
  <c r="L150" i="8"/>
  <c r="K150" i="8" a="1"/>
  <c r="K150" i="8" s="1"/>
  <c r="M150" i="8" s="1"/>
  <c r="L149" i="8"/>
  <c r="K149" i="8" a="1"/>
  <c r="K149" i="8" s="1"/>
  <c r="M149" i="8" s="1"/>
  <c r="L148" i="8"/>
  <c r="K148" i="8" a="1"/>
  <c r="K148" i="8" s="1"/>
  <c r="M148" i="8" s="1"/>
  <c r="L147" i="8"/>
  <c r="K147" i="8" a="1"/>
  <c r="K147" i="8" s="1"/>
  <c r="M147" i="8" s="1"/>
  <c r="L146" i="8"/>
  <c r="K146" i="8" a="1"/>
  <c r="K146" i="8" s="1"/>
  <c r="M146" i="8" s="1"/>
  <c r="L145" i="8"/>
  <c r="K145" i="8" a="1"/>
  <c r="K145" i="8" s="1"/>
  <c r="M145" i="8" s="1"/>
  <c r="L144" i="8"/>
  <c r="K144" i="8" a="1"/>
  <c r="K144" i="8" s="1"/>
  <c r="M144" i="8" s="1"/>
  <c r="L143" i="8"/>
  <c r="K143" i="8" a="1"/>
  <c r="K143" i="8" s="1"/>
  <c r="M143" i="8" s="1"/>
  <c r="L142" i="8"/>
  <c r="K142" i="8" a="1"/>
  <c r="K142" i="8" s="1"/>
  <c r="M142" i="8" s="1"/>
  <c r="L141" i="8"/>
  <c r="K141" i="8" a="1"/>
  <c r="K141" i="8" s="1"/>
  <c r="M141" i="8" s="1"/>
  <c r="L140" i="8"/>
  <c r="K140" i="8" a="1"/>
  <c r="K140" i="8" s="1"/>
  <c r="M140" i="8" s="1"/>
  <c r="L139" i="8"/>
  <c r="K139" i="8" a="1"/>
  <c r="K139" i="8" s="1"/>
  <c r="M139" i="8" s="1"/>
  <c r="L138" i="8"/>
  <c r="K138" i="8" a="1"/>
  <c r="K138" i="8" s="1"/>
  <c r="M138" i="8" s="1"/>
  <c r="L137" i="8"/>
  <c r="K137" i="8" a="1"/>
  <c r="K137" i="8" s="1"/>
  <c r="M137" i="8" s="1"/>
  <c r="L136" i="8"/>
  <c r="K136" i="8" a="1"/>
  <c r="K136" i="8" s="1"/>
  <c r="M136" i="8" s="1"/>
  <c r="L135" i="8"/>
  <c r="K135" i="8" a="1"/>
  <c r="K135" i="8" s="1"/>
  <c r="M135" i="8" s="1"/>
  <c r="L134" i="8"/>
  <c r="K134" i="8" a="1"/>
  <c r="K134" i="8" s="1"/>
  <c r="M134" i="8" s="1"/>
  <c r="L133" i="8"/>
  <c r="K133" i="8" a="1"/>
  <c r="K133" i="8" s="1"/>
  <c r="M133" i="8" s="1"/>
  <c r="L132" i="8"/>
  <c r="K132" i="8" a="1"/>
  <c r="K132" i="8" s="1"/>
  <c r="M132" i="8" s="1"/>
  <c r="L131" i="8"/>
  <c r="K131" i="8" a="1"/>
  <c r="K131" i="8" s="1"/>
  <c r="M131" i="8" s="1"/>
  <c r="L130" i="8"/>
  <c r="K130" i="8" a="1"/>
  <c r="K130" i="8" s="1"/>
  <c r="M130" i="8" s="1"/>
  <c r="L129" i="8"/>
  <c r="K129" i="8" a="1"/>
  <c r="K129" i="8" s="1"/>
  <c r="M129" i="8" s="1"/>
  <c r="L128" i="8"/>
  <c r="K128" i="8" a="1"/>
  <c r="K128" i="8" s="1"/>
  <c r="M128" i="8" s="1"/>
  <c r="L127" i="8"/>
  <c r="K127" i="8" a="1"/>
  <c r="K127" i="8" s="1"/>
  <c r="M127" i="8" s="1"/>
  <c r="L126" i="8"/>
  <c r="K126" i="8" a="1"/>
  <c r="K126" i="8" s="1"/>
  <c r="M126" i="8" s="1"/>
  <c r="L125" i="8"/>
  <c r="K125" i="8" a="1"/>
  <c r="K125" i="8" s="1"/>
  <c r="M125" i="8" s="1"/>
  <c r="L124" i="8"/>
  <c r="K124" i="8" a="1"/>
  <c r="K124" i="8" s="1"/>
  <c r="M124" i="8" s="1"/>
  <c r="L123" i="8"/>
  <c r="K123" i="8" a="1"/>
  <c r="K123" i="8" s="1"/>
  <c r="M123" i="8" s="1"/>
  <c r="L122" i="8"/>
  <c r="K122" i="8" a="1"/>
  <c r="K122" i="8" s="1"/>
  <c r="M122" i="8" s="1"/>
  <c r="L121" i="8"/>
  <c r="K121" i="8" a="1"/>
  <c r="K121" i="8" s="1"/>
  <c r="M121" i="8" s="1"/>
  <c r="L120" i="8"/>
  <c r="K120" i="8" a="1"/>
  <c r="K120" i="8" s="1"/>
  <c r="M120" i="8" s="1"/>
  <c r="L119" i="8"/>
  <c r="K119" i="8" a="1"/>
  <c r="K119" i="8" s="1"/>
  <c r="M119" i="8" s="1"/>
  <c r="L118" i="8"/>
  <c r="K118" i="8" a="1"/>
  <c r="K118" i="8" s="1"/>
  <c r="M118" i="8" s="1"/>
  <c r="L117" i="8"/>
  <c r="K117" i="8" a="1"/>
  <c r="K117" i="8" s="1"/>
  <c r="M117" i="8" s="1"/>
  <c r="L116" i="8"/>
  <c r="K116" i="8" a="1"/>
  <c r="K116" i="8" s="1"/>
  <c r="M116" i="8" s="1"/>
  <c r="L115" i="8"/>
  <c r="K115" i="8" a="1"/>
  <c r="K115" i="8" s="1"/>
  <c r="M115" i="8" s="1"/>
  <c r="L114" i="8"/>
  <c r="K114" i="8" a="1"/>
  <c r="K114" i="8" s="1"/>
  <c r="M114" i="8" s="1"/>
  <c r="L113" i="8"/>
  <c r="K113" i="8" a="1"/>
  <c r="K113" i="8" s="1"/>
  <c r="M113" i="8" s="1"/>
  <c r="L112" i="8"/>
  <c r="K112" i="8" a="1"/>
  <c r="K112" i="8" s="1"/>
  <c r="M112" i="8" s="1"/>
  <c r="L111" i="8"/>
  <c r="K111" i="8" a="1"/>
  <c r="K111" i="8" s="1"/>
  <c r="M111" i="8" s="1"/>
  <c r="L110" i="8"/>
  <c r="K110" i="8" a="1"/>
  <c r="K110" i="8" s="1"/>
  <c r="M110" i="8" s="1"/>
  <c r="L109" i="8"/>
  <c r="K109" i="8" a="1"/>
  <c r="K109" i="8" s="1"/>
  <c r="M109" i="8" s="1"/>
  <c r="L108" i="8"/>
  <c r="K108" i="8" a="1"/>
  <c r="K108" i="8" s="1"/>
  <c r="M108" i="8" s="1"/>
  <c r="L107" i="8"/>
  <c r="K107" i="8" a="1"/>
  <c r="K107" i="8" s="1"/>
  <c r="M107" i="8" s="1"/>
  <c r="L106" i="8"/>
  <c r="K106" i="8" a="1"/>
  <c r="K106" i="8" s="1"/>
  <c r="M106" i="8" s="1"/>
  <c r="L105" i="8"/>
  <c r="K105" i="8" a="1"/>
  <c r="K105" i="8" s="1"/>
  <c r="M105" i="8" s="1"/>
  <c r="L104" i="8"/>
  <c r="K104" i="8" a="1"/>
  <c r="K104" i="8" s="1"/>
  <c r="M104" i="8" s="1"/>
  <c r="L103" i="8"/>
  <c r="K103" i="8" a="1"/>
  <c r="K103" i="8" s="1"/>
  <c r="M103" i="8" s="1"/>
  <c r="L102" i="8"/>
  <c r="K102" i="8" a="1"/>
  <c r="K102" i="8" s="1"/>
  <c r="M102" i="8" s="1"/>
  <c r="L101" i="8"/>
  <c r="K101" i="8" a="1"/>
  <c r="K101" i="8" s="1"/>
  <c r="M101" i="8" s="1"/>
  <c r="L100" i="8"/>
  <c r="K100" i="8" a="1"/>
  <c r="K100" i="8" s="1"/>
  <c r="M100" i="8" s="1"/>
  <c r="L99" i="8"/>
  <c r="K99" i="8" a="1"/>
  <c r="K99" i="8" s="1"/>
  <c r="M99" i="8" s="1"/>
  <c r="L98" i="8"/>
  <c r="K98" i="8" a="1"/>
  <c r="K98" i="8" s="1"/>
  <c r="M98" i="8" s="1"/>
  <c r="L97" i="8"/>
  <c r="K97" i="8" a="1"/>
  <c r="K97" i="8" s="1"/>
  <c r="M97" i="8" s="1"/>
  <c r="L96" i="8"/>
  <c r="K96" i="8" a="1"/>
  <c r="K96" i="8" s="1"/>
  <c r="M96" i="8" s="1"/>
  <c r="L95" i="8"/>
  <c r="K95" i="8" a="1"/>
  <c r="K95" i="8" s="1"/>
  <c r="M95" i="8" s="1"/>
  <c r="L94" i="8"/>
  <c r="K94" i="8" a="1"/>
  <c r="K94" i="8" s="1"/>
  <c r="M94" i="8" s="1"/>
  <c r="L93" i="8"/>
  <c r="K93" i="8" a="1"/>
  <c r="K93" i="8" s="1"/>
  <c r="M93" i="8" s="1"/>
  <c r="L92" i="8"/>
  <c r="K92" i="8" a="1"/>
  <c r="K92" i="8" s="1"/>
  <c r="M92" i="8" s="1"/>
  <c r="L91" i="8"/>
  <c r="K91" i="8" a="1"/>
  <c r="K91" i="8" s="1"/>
  <c r="M91" i="8" s="1"/>
  <c r="L90" i="8"/>
  <c r="K90" i="8" a="1"/>
  <c r="K90" i="8" s="1"/>
  <c r="M90" i="8" s="1"/>
  <c r="L89" i="8"/>
  <c r="K89" i="8" a="1"/>
  <c r="K89" i="8" s="1"/>
  <c r="M89" i="8" s="1"/>
  <c r="L88" i="8"/>
  <c r="K88" i="8" a="1"/>
  <c r="K88" i="8" s="1"/>
  <c r="M88" i="8" s="1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K87" i="8" a="1"/>
  <c r="K87" i="8" s="1"/>
  <c r="M87" i="8" s="1"/>
  <c r="K86" i="8" a="1"/>
  <c r="K86" i="8" s="1"/>
  <c r="M86" i="8" s="1"/>
  <c r="K85" i="8" a="1"/>
  <c r="K85" i="8" s="1"/>
  <c r="M85" i="8" s="1"/>
  <c r="K84" i="8" a="1"/>
  <c r="K84" i="8" s="1"/>
  <c r="M84" i="8" s="1"/>
  <c r="K83" i="8" a="1"/>
  <c r="K83" i="8" s="1"/>
  <c r="M83" i="8" s="1"/>
  <c r="K82" i="8" a="1"/>
  <c r="K82" i="8" s="1"/>
  <c r="M82" i="8" s="1"/>
  <c r="K81" i="8" a="1"/>
  <c r="K81" i="8" s="1"/>
  <c r="M81" i="8" s="1"/>
  <c r="K80" i="8" a="1"/>
  <c r="K80" i="8" s="1"/>
  <c r="M80" i="8" s="1"/>
  <c r="K79" i="8" a="1"/>
  <c r="K79" i="8" s="1"/>
  <c r="M79" i="8" s="1"/>
  <c r="K78" i="8" a="1"/>
  <c r="K78" i="8" s="1"/>
  <c r="M78" i="8" s="1"/>
  <c r="K77" i="8" a="1"/>
  <c r="K77" i="8" s="1"/>
  <c r="M77" i="8" s="1"/>
  <c r="K76" i="8" a="1"/>
  <c r="K76" i="8" s="1"/>
  <c r="M76" i="8" s="1"/>
  <c r="K75" i="8" a="1"/>
  <c r="K75" i="8" s="1"/>
  <c r="M75" i="8" s="1"/>
  <c r="K74" i="8" a="1"/>
  <c r="K74" i="8" s="1"/>
  <c r="M74" i="8" s="1"/>
  <c r="K73" i="8" a="1"/>
  <c r="K73" i="8" s="1"/>
  <c r="M73" i="8" s="1"/>
  <c r="K72" i="8" a="1"/>
  <c r="K72" i="8" s="1"/>
  <c r="M72" i="8" s="1"/>
  <c r="K71" i="8" a="1"/>
  <c r="K71" i="8" s="1"/>
  <c r="M71" i="8" s="1"/>
  <c r="K70" i="8" a="1"/>
  <c r="K70" i="8" s="1"/>
  <c r="M70" i="8" s="1"/>
  <c r="K69" i="8" a="1"/>
  <c r="K69" i="8" s="1"/>
  <c r="M69" i="8" s="1"/>
  <c r="K68" i="8" a="1"/>
  <c r="K68" i="8" s="1"/>
  <c r="M68" i="8" s="1"/>
  <c r="K67" i="8" a="1"/>
  <c r="K67" i="8" s="1"/>
  <c r="M67" i="8" s="1"/>
  <c r="K66" i="8" a="1"/>
  <c r="K66" i="8" s="1"/>
  <c r="M66" i="8" s="1"/>
  <c r="K65" i="8" a="1"/>
  <c r="K65" i="8" s="1"/>
  <c r="M65" i="8" s="1"/>
  <c r="K64" i="8" a="1"/>
  <c r="K64" i="8" s="1"/>
  <c r="M64" i="8" s="1"/>
  <c r="K63" i="8" a="1"/>
  <c r="K63" i="8" s="1"/>
  <c r="M63" i="8" s="1"/>
  <c r="K62" i="8" a="1"/>
  <c r="K62" i="8" s="1"/>
  <c r="M62" i="8" s="1"/>
  <c r="K61" i="8" a="1"/>
  <c r="K61" i="8" s="1"/>
  <c r="M61" i="8" s="1"/>
  <c r="K60" i="8" a="1"/>
  <c r="K60" i="8" s="1"/>
  <c r="M60" i="8" s="1"/>
  <c r="K59" i="8" a="1"/>
  <c r="K59" i="8" s="1"/>
  <c r="M59" i="8" s="1"/>
  <c r="K58" i="8" a="1"/>
  <c r="K58" i="8" s="1"/>
  <c r="M58" i="8" s="1"/>
  <c r="K57" i="8" a="1"/>
  <c r="K57" i="8" s="1"/>
  <c r="M57" i="8" s="1"/>
  <c r="K56" i="8" a="1"/>
  <c r="K56" i="8" s="1"/>
  <c r="M56" i="8" s="1"/>
  <c r="K55" i="8" a="1"/>
  <c r="K55" i="8" s="1"/>
  <c r="M55" i="8" s="1"/>
  <c r="K54" i="8" a="1"/>
  <c r="K54" i="8" s="1"/>
  <c r="M54" i="8" s="1"/>
  <c r="K53" i="8" a="1"/>
  <c r="K53" i="8" s="1"/>
  <c r="M53" i="8" s="1"/>
  <c r="K52" i="8" a="1"/>
  <c r="K52" i="8" s="1"/>
  <c r="M52" i="8" s="1"/>
  <c r="K51" i="8" a="1"/>
  <c r="K51" i="8" s="1"/>
  <c r="M51" i="8" s="1"/>
  <c r="K50" i="8" a="1"/>
  <c r="K50" i="8" s="1"/>
  <c r="M50" i="8" s="1"/>
  <c r="K49" i="8" a="1"/>
  <c r="K49" i="8" s="1"/>
  <c r="M49" i="8" s="1"/>
  <c r="K48" i="8" a="1"/>
  <c r="K48" i="8" s="1"/>
  <c r="M48" i="8" s="1"/>
  <c r="K47" i="8" a="1"/>
  <c r="K47" i="8" s="1"/>
  <c r="M47" i="8" s="1"/>
  <c r="K46" i="8" a="1"/>
  <c r="K46" i="8" s="1"/>
  <c r="M46" i="8" s="1"/>
  <c r="K45" i="8" a="1"/>
  <c r="K45" i="8" s="1"/>
  <c r="M45" i="8" s="1"/>
  <c r="K44" i="8" a="1"/>
  <c r="K44" i="8" s="1"/>
  <c r="M44" i="8" s="1"/>
  <c r="K43" i="8" a="1"/>
  <c r="K43" i="8" s="1"/>
  <c r="M43" i="8" s="1"/>
  <c r="K42" i="8" a="1"/>
  <c r="K42" i="8" s="1"/>
  <c r="M42" i="8" s="1"/>
  <c r="K41" i="8" a="1"/>
  <c r="K41" i="8" s="1"/>
  <c r="M41" i="8" s="1"/>
  <c r="K40" i="8" a="1"/>
  <c r="K40" i="8" s="1"/>
  <c r="M40" i="8" s="1"/>
  <c r="K39" i="8" a="1"/>
  <c r="K39" i="8" s="1"/>
  <c r="M39" i="8" s="1"/>
  <c r="K38" i="8" a="1"/>
  <c r="K38" i="8" s="1"/>
  <c r="M38" i="8" s="1"/>
  <c r="K37" i="8" a="1"/>
  <c r="K37" i="8" s="1"/>
  <c r="M37" i="8" s="1"/>
  <c r="K36" i="8" a="1"/>
  <c r="K36" i="8" s="1"/>
  <c r="M36" i="8" s="1"/>
  <c r="K35" i="8" a="1"/>
  <c r="K35" i="8" s="1"/>
  <c r="M35" i="8" s="1"/>
  <c r="K34" i="8" a="1"/>
  <c r="K34" i="8" s="1"/>
  <c r="M34" i="8" s="1"/>
  <c r="K33" i="8" a="1"/>
  <c r="K33" i="8" s="1"/>
  <c r="M33" i="8" s="1"/>
  <c r="K32" i="8" a="1"/>
  <c r="K32" i="8" s="1"/>
  <c r="M32" i="8" s="1"/>
  <c r="K31" i="8" a="1"/>
  <c r="K31" i="8" s="1"/>
  <c r="M31" i="8" s="1"/>
  <c r="K30" i="8" a="1"/>
  <c r="K30" i="8" s="1"/>
  <c r="M30" i="8" s="1"/>
  <c r="K29" i="8" a="1"/>
  <c r="K29" i="8" s="1"/>
  <c r="M29" i="8" s="1"/>
  <c r="K28" i="8" a="1"/>
  <c r="K28" i="8" s="1"/>
  <c r="M28" i="8" s="1"/>
  <c r="K27" i="8" a="1"/>
  <c r="K27" i="8" s="1"/>
  <c r="M27" i="8" s="1"/>
  <c r="K26" i="8" a="1"/>
  <c r="K26" i="8" s="1"/>
  <c r="M26" i="8" s="1"/>
  <c r="K25" i="8" a="1"/>
  <c r="K25" i="8" s="1"/>
  <c r="M25" i="8" s="1"/>
  <c r="K24" i="8" a="1"/>
  <c r="K24" i="8" s="1"/>
  <c r="M24" i="8" s="1"/>
  <c r="K23" i="8" a="1"/>
  <c r="K23" i="8" s="1"/>
  <c r="M23" i="8" s="1"/>
  <c r="K22" i="8" a="1"/>
  <c r="K22" i="8" s="1"/>
  <c r="M22" i="8" s="1"/>
  <c r="K21" i="8" a="1"/>
  <c r="K21" i="8" s="1"/>
  <c r="M21" i="8" s="1"/>
  <c r="K20" i="8" a="1"/>
  <c r="K20" i="8" s="1"/>
  <c r="M20" i="8" s="1"/>
  <c r="K19" i="8" a="1"/>
  <c r="K19" i="8" s="1"/>
  <c r="M19" i="8" s="1"/>
  <c r="K18" i="8" a="1"/>
  <c r="K18" i="8" s="1"/>
  <c r="M18" i="8" s="1"/>
  <c r="K17" i="8" a="1"/>
  <c r="K17" i="8" s="1"/>
  <c r="M17" i="8" s="1"/>
  <c r="K16" i="8" a="1"/>
  <c r="K16" i="8" s="1"/>
  <c r="M16" i="8" s="1"/>
  <c r="K15" i="8" a="1"/>
  <c r="K15" i="8" s="1"/>
  <c r="M15" i="8" s="1"/>
  <c r="K14" i="8" a="1"/>
  <c r="K14" i="8" s="1"/>
  <c r="M14" i="8" s="1"/>
  <c r="K13" i="8" a="1"/>
  <c r="K13" i="8" s="1"/>
  <c r="M13" i="8" s="1"/>
  <c r="K12" i="8" a="1"/>
  <c r="K12" i="8" s="1"/>
  <c r="M12" i="8" s="1"/>
  <c r="K11" i="8" a="1"/>
  <c r="K11" i="8" s="1"/>
  <c r="M11" i="8" s="1"/>
  <c r="K10" i="8" a="1"/>
  <c r="K10" i="8" s="1"/>
  <c r="M10" i="8" s="1"/>
  <c r="K9" i="8" a="1"/>
  <c r="K9" i="8" s="1"/>
  <c r="M9" i="8" s="1"/>
  <c r="K8" i="8" a="1"/>
  <c r="K8" i="8" s="1"/>
  <c r="M8" i="8" s="1"/>
  <c r="K7" i="8" a="1"/>
  <c r="K7" i="8" s="1"/>
  <c r="M7" i="8" s="1"/>
  <c r="K6" i="8" a="1"/>
  <c r="K6" i="8" s="1"/>
  <c r="M6" i="8" s="1"/>
  <c r="K5" i="8" a="1"/>
  <c r="K5" i="8" s="1"/>
  <c r="M5" i="8" s="1"/>
  <c r="K4" i="8" a="1"/>
  <c r="K4" i="8" s="1"/>
  <c r="M4" i="8" s="1"/>
  <c r="K3" i="8" a="1"/>
  <c r="K3" i="8" s="1"/>
  <c r="M3" i="8" s="1"/>
  <c r="K53" i="18" a="1"/>
  <c r="K53" i="18"/>
  <c r="L53" i="18"/>
  <c r="M53" i="18"/>
  <c r="L52" i="18"/>
  <c r="K52" i="18" a="1"/>
  <c r="K52" i="18" s="1"/>
  <c r="M52" i="18" s="1"/>
  <c r="K51" i="18" a="1"/>
  <c r="K51" i="18"/>
  <c r="L51" i="18"/>
  <c r="M51" i="18"/>
  <c r="L50" i="18"/>
  <c r="K50" i="18" a="1"/>
  <c r="K50" i="18" s="1"/>
  <c r="M50" i="18" s="1"/>
  <c r="K49" i="18" a="1"/>
  <c r="K49" i="18"/>
  <c r="L49" i="18"/>
  <c r="M49" i="18"/>
  <c r="K48" i="18" a="1"/>
  <c r="K48" i="18"/>
  <c r="L48" i="18"/>
  <c r="M48" i="18"/>
  <c r="K47" i="18" a="1"/>
  <c r="K47" i="18"/>
  <c r="L47" i="18"/>
  <c r="M47" i="18"/>
  <c r="K46" i="18" a="1"/>
  <c r="K46" i="18"/>
  <c r="L46" i="18"/>
  <c r="M46" i="18"/>
  <c r="K45" i="18" a="1"/>
  <c r="K45" i="18"/>
  <c r="L45" i="18"/>
  <c r="M45" i="18"/>
  <c r="K157" i="15" a="1"/>
  <c r="K157" i="15"/>
  <c r="L157" i="15"/>
  <c r="M157" i="15"/>
  <c r="K158" i="15" a="1"/>
  <c r="K158" i="15"/>
  <c r="L158" i="15"/>
  <c r="M158" i="15"/>
  <c r="K159" i="15" a="1"/>
  <c r="K159" i="15"/>
  <c r="L159" i="15"/>
  <c r="M159" i="15"/>
  <c r="K160" i="15" a="1"/>
  <c r="K160" i="15"/>
  <c r="L160" i="15"/>
  <c r="M160" i="15"/>
  <c r="K154" i="15" a="1"/>
  <c r="K154" i="15"/>
  <c r="L154" i="15"/>
  <c r="M154" i="15"/>
  <c r="K156" i="15" a="1"/>
  <c r="K156" i="15"/>
  <c r="L156" i="15"/>
  <c r="M156" i="15"/>
  <c r="K161" i="15" a="1"/>
  <c r="K161" i="15"/>
  <c r="L161" i="15"/>
  <c r="M161" i="15"/>
  <c r="K162" i="15" a="1"/>
  <c r="K162" i="15"/>
  <c r="L162" i="15"/>
  <c r="M162" i="15"/>
  <c r="K164" i="15" a="1"/>
  <c r="K164" i="15"/>
  <c r="L164" i="15"/>
  <c r="M164" i="15"/>
  <c r="K151" i="15" a="1"/>
  <c r="K151" i="15"/>
  <c r="L151" i="15"/>
  <c r="M151" i="15"/>
  <c r="K153" i="15" a="1"/>
  <c r="K153" i="15"/>
  <c r="L153" i="15"/>
  <c r="M153" i="15"/>
  <c r="K155" i="15" a="1"/>
  <c r="K155" i="15"/>
  <c r="L155" i="15"/>
  <c r="M155" i="15"/>
  <c r="K163" i="15" a="1"/>
  <c r="K163" i="15"/>
  <c r="L163" i="15"/>
  <c r="M163" i="15"/>
  <c r="K165" i="15" a="1"/>
  <c r="K165" i="15"/>
  <c r="L165" i="15"/>
  <c r="M165" i="15"/>
  <c r="K167" i="15" a="1"/>
  <c r="K167" i="15"/>
  <c r="L167" i="15"/>
  <c r="M167" i="15"/>
  <c r="K166" i="15" a="1"/>
  <c r="K166" i="15"/>
  <c r="L166" i="15"/>
  <c r="M166" i="15"/>
  <c r="K149" i="15" a="1"/>
  <c r="K149" i="15"/>
  <c r="L149" i="15"/>
  <c r="M149" i="15"/>
  <c r="K169" i="15" a="1"/>
  <c r="K169" i="15"/>
  <c r="L169" i="15"/>
  <c r="M169" i="15"/>
  <c r="K168" i="15" a="1"/>
  <c r="K168" i="15" s="1"/>
  <c r="M168" i="15" s="1"/>
  <c r="L168" i="15"/>
  <c r="K150" i="15" a="1"/>
  <c r="K150" i="15"/>
  <c r="L150" i="15"/>
  <c r="M150" i="15"/>
  <c r="K148" i="15" a="1"/>
  <c r="K148" i="15"/>
  <c r="L148" i="15"/>
  <c r="M148" i="15"/>
  <c r="K170" i="15" a="1"/>
  <c r="K170" i="15"/>
  <c r="L170" i="15"/>
  <c r="M170" i="15"/>
  <c r="K172" i="15" a="1"/>
  <c r="K172" i="15"/>
  <c r="L172" i="15"/>
  <c r="M172" i="15"/>
  <c r="K174" i="15" a="1"/>
  <c r="K174" i="15"/>
  <c r="L174" i="15"/>
  <c r="M174" i="15"/>
  <c r="K175" i="15" a="1"/>
  <c r="K175" i="15"/>
  <c r="L175" i="15"/>
  <c r="M175" i="15"/>
  <c r="K173" i="15" a="1"/>
  <c r="K173" i="15"/>
  <c r="L173" i="15"/>
  <c r="M173" i="15"/>
  <c r="K237" i="15" a="1"/>
  <c r="K237" i="15"/>
  <c r="L237" i="15"/>
  <c r="M237" i="15"/>
  <c r="K236" i="15" a="1"/>
  <c r="K236" i="15"/>
  <c r="L236" i="15"/>
  <c r="M236" i="15"/>
  <c r="K238" i="15" a="1"/>
  <c r="K238" i="15"/>
  <c r="L238" i="15"/>
  <c r="M238" i="15"/>
  <c r="K239" i="15" a="1"/>
  <c r="K239" i="15"/>
  <c r="L239" i="15"/>
  <c r="M239" i="15"/>
  <c r="K240" i="15" a="1"/>
  <c r="K240" i="15"/>
  <c r="L240" i="15"/>
  <c r="M240" i="15"/>
  <c r="K241" i="15" a="1"/>
  <c r="K241" i="15"/>
  <c r="L241" i="15"/>
  <c r="M241" i="15"/>
  <c r="K242" i="15" a="1"/>
  <c r="K242" i="15"/>
  <c r="L242" i="15"/>
  <c r="M242" i="15"/>
  <c r="K235" i="15" a="1"/>
  <c r="K235" i="15"/>
  <c r="L235" i="15"/>
  <c r="M235" i="15"/>
  <c r="K233" i="15" a="1"/>
  <c r="K233" i="15"/>
  <c r="L233" i="15"/>
  <c r="M233" i="15"/>
  <c r="K232" i="15" a="1"/>
  <c r="K232" i="15"/>
  <c r="L232" i="15"/>
  <c r="M232" i="15"/>
  <c r="K44" i="18" a="1"/>
  <c r="K44" i="18"/>
  <c r="L44" i="18"/>
  <c r="M44" i="18"/>
  <c r="K43" i="18" a="1"/>
  <c r="K43" i="18"/>
  <c r="L43" i="18"/>
  <c r="M43" i="18"/>
  <c r="K42" i="18" a="1"/>
  <c r="K42" i="18"/>
  <c r="L42" i="18"/>
  <c r="M42" i="18"/>
  <c r="K41" i="18" a="1"/>
  <c r="K41" i="18"/>
  <c r="L41" i="18"/>
  <c r="M41" i="18"/>
  <c r="K40" i="18" a="1"/>
  <c r="K40" i="18"/>
  <c r="L40" i="18"/>
  <c r="M40" i="18"/>
  <c r="K146" i="15" a="1"/>
  <c r="K146" i="15"/>
  <c r="L146" i="15"/>
  <c r="M146" i="15"/>
  <c r="K147" i="15" a="1"/>
  <c r="K147" i="15"/>
  <c r="L147" i="15"/>
  <c r="M147" i="15"/>
  <c r="K171" i="15" a="1"/>
  <c r="K171" i="15"/>
  <c r="L171" i="15"/>
  <c r="M171" i="15"/>
  <c r="K176" i="15" a="1"/>
  <c r="K176" i="15"/>
  <c r="L176" i="15"/>
  <c r="M176" i="15"/>
  <c r="K201" i="15" a="1"/>
  <c r="K201" i="15"/>
  <c r="L201" i="15"/>
  <c r="M201" i="15"/>
  <c r="K203" i="15" a="1"/>
  <c r="K203" i="15"/>
  <c r="L203" i="15"/>
  <c r="M203" i="15"/>
  <c r="K202" i="15" a="1"/>
  <c r="K202" i="15"/>
  <c r="L202" i="15"/>
  <c r="M202" i="15"/>
  <c r="K145" i="15" a="1"/>
  <c r="K145" i="15"/>
  <c r="L145" i="15"/>
  <c r="M145" i="15"/>
  <c r="K144" i="15" a="1"/>
  <c r="K144" i="15"/>
  <c r="L144" i="15"/>
  <c r="M144" i="15"/>
  <c r="K143" i="15" a="1"/>
  <c r="K143" i="15"/>
  <c r="L143" i="15"/>
  <c r="M143" i="15"/>
  <c r="K142" i="15" a="1"/>
  <c r="K142" i="15"/>
  <c r="L142" i="15"/>
  <c r="M142" i="15"/>
  <c r="K141" i="15" a="1"/>
  <c r="K141" i="15"/>
  <c r="L141" i="15"/>
  <c r="M141" i="15"/>
  <c r="K32" i="18" a="1"/>
  <c r="K32" i="18"/>
  <c r="K33" i="18" a="1"/>
  <c r="K33" i="18"/>
  <c r="K34" i="18" a="1"/>
  <c r="K34" i="18"/>
  <c r="K35" i="18" a="1"/>
  <c r="K35" i="18"/>
  <c r="K36" i="18" a="1"/>
  <c r="K36" i="18"/>
  <c r="K37" i="18" a="1"/>
  <c r="K37" i="18"/>
  <c r="K38" i="18" a="1"/>
  <c r="K38" i="18"/>
  <c r="K39" i="18" a="1"/>
  <c r="K39" i="18"/>
  <c r="L32" i="18"/>
  <c r="L33" i="18"/>
  <c r="L34" i="18"/>
  <c r="L35" i="18"/>
  <c r="L36" i="18"/>
  <c r="L37" i="18"/>
  <c r="L38" i="18"/>
  <c r="L39" i="18"/>
  <c r="M32" i="18"/>
  <c r="M33" i="18"/>
  <c r="M34" i="18"/>
  <c r="M35" i="18"/>
  <c r="M36" i="18"/>
  <c r="M37" i="18"/>
  <c r="M38" i="18"/>
  <c r="M39" i="18"/>
  <c r="K31" i="18" a="1"/>
  <c r="K31" i="18"/>
  <c r="L31" i="18"/>
  <c r="M31" i="18"/>
  <c r="K133" i="15" a="1"/>
  <c r="K133" i="15"/>
  <c r="K4" i="17" a="1"/>
  <c r="K4" i="17"/>
  <c r="L4" i="17"/>
  <c r="M4" i="17"/>
  <c r="L30" i="18"/>
  <c r="K30" i="18" a="1"/>
  <c r="K30" i="18" s="1"/>
  <c r="M30" i="18" s="1"/>
  <c r="K29" i="18" a="1"/>
  <c r="K29" i="18"/>
  <c r="L29" i="18"/>
  <c r="M29" i="18"/>
  <c r="K11" i="19" a="1"/>
  <c r="K11" i="19"/>
  <c r="L11" i="19"/>
  <c r="M11" i="19"/>
  <c r="K12" i="19" a="1"/>
  <c r="K12" i="19"/>
  <c r="L12" i="19"/>
  <c r="M12" i="19"/>
  <c r="K13" i="19" a="1"/>
  <c r="K13" i="19"/>
  <c r="L13" i="19"/>
  <c r="M13" i="19"/>
  <c r="K14" i="19" a="1"/>
  <c r="K14" i="19"/>
  <c r="L14" i="19"/>
  <c r="M14" i="19"/>
  <c r="K15" i="19" a="1"/>
  <c r="K15" i="19"/>
  <c r="L15" i="19"/>
  <c r="M15" i="19"/>
  <c r="K16" i="19" a="1"/>
  <c r="K16" i="19"/>
  <c r="L16" i="19"/>
  <c r="M16" i="19"/>
  <c r="K17" i="19" a="1"/>
  <c r="K17" i="19"/>
  <c r="L17" i="19"/>
  <c r="M17" i="19"/>
  <c r="K18" i="19" a="1"/>
  <c r="K18" i="19"/>
  <c r="L18" i="19"/>
  <c r="M18" i="19"/>
  <c r="K19" i="19" a="1"/>
  <c r="K19" i="19" s="1"/>
  <c r="M19" i="19" s="1"/>
  <c r="K20" i="19" a="1"/>
  <c r="K20" i="19"/>
  <c r="M20" i="19"/>
  <c r="L15" i="23"/>
  <c r="K15" i="23" a="1"/>
  <c r="K15" i="23" s="1"/>
  <c r="M15" i="23" s="1"/>
  <c r="L14" i="23"/>
  <c r="K14" i="23" a="1"/>
  <c r="K14" i="23" s="1"/>
  <c r="M14" i="23" s="1"/>
  <c r="L13" i="23"/>
  <c r="K13" i="23" a="1"/>
  <c r="K13" i="23" s="1"/>
  <c r="M13" i="23" s="1"/>
  <c r="L11" i="23"/>
  <c r="K11" i="23" a="1"/>
  <c r="K11" i="23" s="1"/>
  <c r="M11" i="23" s="1"/>
  <c r="L123" i="15"/>
  <c r="K126" i="15" a="1"/>
  <c r="K126" i="15"/>
  <c r="L126" i="15"/>
  <c r="M126" i="15"/>
  <c r="K127" i="15" a="1"/>
  <c r="K127" i="15"/>
  <c r="L127" i="15"/>
  <c r="M127" i="15"/>
  <c r="K128" i="15" a="1"/>
  <c r="K128" i="15"/>
  <c r="L128" i="15"/>
  <c r="M128" i="15"/>
  <c r="K129" i="15" a="1"/>
  <c r="K129" i="15"/>
  <c r="L129" i="15"/>
  <c r="M129" i="15"/>
  <c r="K130" i="15" a="1"/>
  <c r="K130" i="15"/>
  <c r="L130" i="15"/>
  <c r="M130" i="15"/>
  <c r="K131" i="15" a="1"/>
  <c r="K131" i="15"/>
  <c r="L131" i="15"/>
  <c r="M131" i="15"/>
  <c r="K132" i="15" a="1"/>
  <c r="K132" i="15"/>
  <c r="L132" i="15"/>
  <c r="M132" i="15"/>
  <c r="L133" i="15"/>
  <c r="M133" i="15"/>
  <c r="K134" i="15" a="1"/>
  <c r="K134" i="15"/>
  <c r="L134" i="15"/>
  <c r="M134" i="15"/>
  <c r="K135" i="15" a="1"/>
  <c r="K135" i="15"/>
  <c r="L135" i="15"/>
  <c r="M135" i="15"/>
  <c r="K136" i="15" a="1"/>
  <c r="K136" i="15"/>
  <c r="L136" i="15"/>
  <c r="M136" i="15"/>
  <c r="K137" i="15" a="1"/>
  <c r="K137" i="15"/>
  <c r="L137" i="15"/>
  <c r="M137" i="15"/>
  <c r="K138" i="15" a="1"/>
  <c r="K138" i="15"/>
  <c r="L138" i="15"/>
  <c r="M138" i="15"/>
  <c r="K152" i="15" a="1"/>
  <c r="K152" i="15"/>
  <c r="L152" i="15"/>
  <c r="M152" i="15"/>
  <c r="K139" i="15" a="1"/>
  <c r="K139" i="15"/>
  <c r="L139" i="15"/>
  <c r="M139" i="15"/>
  <c r="K140" i="15" a="1"/>
  <c r="K140" i="15"/>
  <c r="L140" i="15"/>
  <c r="M140" i="15"/>
  <c r="L125" i="15"/>
  <c r="M125" i="15"/>
  <c r="M123" i="15"/>
  <c r="L124" i="15"/>
  <c r="M124" i="15"/>
  <c r="L122" i="15"/>
  <c r="M122" i="15"/>
  <c r="K121" i="15" a="1"/>
  <c r="K121" i="15"/>
  <c r="L121" i="15"/>
  <c r="M121" i="15"/>
  <c r="K120" i="15" a="1"/>
  <c r="K120" i="15"/>
  <c r="L120" i="15"/>
  <c r="M120" i="15"/>
  <c r="K119" i="15" a="1"/>
  <c r="K119" i="15"/>
  <c r="L119" i="15"/>
  <c r="M119" i="15"/>
  <c r="K118" i="15" a="1"/>
  <c r="K118" i="15"/>
  <c r="L118" i="15"/>
  <c r="M118" i="15"/>
  <c r="K117" i="15" a="1"/>
  <c r="K117" i="15"/>
  <c r="L117" i="15"/>
  <c r="M117" i="15"/>
  <c r="K116" i="15" a="1"/>
  <c r="K116" i="15"/>
  <c r="L116" i="15"/>
  <c r="M116" i="15"/>
  <c r="K115" i="15" a="1"/>
  <c r="K115" i="15"/>
  <c r="L115" i="15"/>
  <c r="M115" i="15"/>
  <c r="K114" i="15" a="1"/>
  <c r="K114" i="15"/>
  <c r="L114" i="15"/>
  <c r="M114" i="15"/>
  <c r="K113" i="15" a="1"/>
  <c r="K113" i="15"/>
  <c r="L113" i="15"/>
  <c r="M113" i="15"/>
  <c r="K112" i="15" a="1"/>
  <c r="K112" i="15"/>
  <c r="L112" i="15"/>
  <c r="M112" i="15"/>
  <c r="K111" i="15" a="1"/>
  <c r="K111" i="15"/>
  <c r="L111" i="15"/>
  <c r="M111" i="15"/>
  <c r="K28" i="18" a="1"/>
  <c r="K28" i="18"/>
  <c r="L28" i="18"/>
  <c r="M28" i="18"/>
  <c r="K27" i="18" a="1"/>
  <c r="K27" i="18"/>
  <c r="L27" i="18"/>
  <c r="M27" i="18"/>
  <c r="L26" i="18"/>
  <c r="K26" i="18" a="1"/>
  <c r="K26" i="18" s="1"/>
  <c r="M26" i="18" s="1"/>
  <c r="L25" i="18"/>
  <c r="K25" i="18" a="1"/>
  <c r="K25" i="18" s="1"/>
  <c r="M25" i="18" s="1"/>
  <c r="K24" i="18" a="1"/>
  <c r="K24" i="18"/>
  <c r="L24" i="18"/>
  <c r="M24" i="18"/>
  <c r="K110" i="15" a="1"/>
  <c r="K110" i="15"/>
  <c r="L110" i="15"/>
  <c r="M110" i="15"/>
  <c r="K109" i="15" a="1"/>
  <c r="K109" i="15"/>
  <c r="L109" i="15"/>
  <c r="M109" i="15"/>
  <c r="K108" i="15" a="1"/>
  <c r="K108" i="15"/>
  <c r="L108" i="15"/>
  <c r="M108" i="15"/>
  <c r="K107" i="15" a="1"/>
  <c r="K107" i="15"/>
  <c r="L107" i="15"/>
  <c r="M107" i="15"/>
  <c r="K275" i="15" a="1"/>
  <c r="K275" i="15"/>
  <c r="L275" i="15"/>
  <c r="M275" i="15"/>
  <c r="K276" i="15" a="1"/>
  <c r="K276" i="15"/>
  <c r="L276" i="15"/>
  <c r="M276" i="15"/>
  <c r="K277" i="15" a="1"/>
  <c r="K277" i="15"/>
  <c r="L277" i="15"/>
  <c r="M277" i="15"/>
  <c r="K278" i="15" a="1"/>
  <c r="K278" i="15"/>
  <c r="L278" i="15"/>
  <c r="M278" i="15"/>
  <c r="K279" i="15" a="1"/>
  <c r="K279" i="15"/>
  <c r="L279" i="15"/>
  <c r="M279" i="15"/>
  <c r="K280" i="15" a="1"/>
  <c r="K280" i="15"/>
  <c r="L280" i="15"/>
  <c r="M280" i="15"/>
  <c r="K281" i="15" a="1"/>
  <c r="K281" i="15"/>
  <c r="L281" i="15"/>
  <c r="M281" i="15"/>
  <c r="K282" i="15" a="1"/>
  <c r="K282" i="15"/>
  <c r="L282" i="15"/>
  <c r="M282" i="15"/>
  <c r="K283" i="15" a="1"/>
  <c r="K283" i="15"/>
  <c r="L283" i="15"/>
  <c r="M283" i="15"/>
  <c r="K284" i="15" a="1"/>
  <c r="K284" i="15"/>
  <c r="L284" i="15"/>
  <c r="M284" i="15"/>
  <c r="K285" i="15" a="1"/>
  <c r="K285" i="15"/>
  <c r="L285" i="15"/>
  <c r="M285" i="15"/>
  <c r="K286" i="15" a="1"/>
  <c r="K286" i="15"/>
  <c r="L286" i="15"/>
  <c r="M286" i="15"/>
  <c r="K287" i="15" a="1"/>
  <c r="K287" i="15"/>
  <c r="L287" i="15"/>
  <c r="M287" i="15"/>
  <c r="K288" i="15" a="1"/>
  <c r="K288" i="15"/>
  <c r="L288" i="15"/>
  <c r="M288" i="15"/>
  <c r="K289" i="15" a="1"/>
  <c r="K289" i="15"/>
  <c r="L289" i="15"/>
  <c r="M289" i="15"/>
  <c r="K290" i="15" a="1"/>
  <c r="K290" i="15"/>
  <c r="L290" i="15"/>
  <c r="M290" i="15"/>
  <c r="K291" i="15" a="1"/>
  <c r="K291" i="15"/>
  <c r="L291" i="15"/>
  <c r="M291" i="15"/>
  <c r="K292" i="15" a="1"/>
  <c r="K292" i="15"/>
  <c r="L292" i="15"/>
  <c r="M292" i="15"/>
  <c r="K293" i="15" a="1"/>
  <c r="K293" i="15"/>
  <c r="L293" i="15"/>
  <c r="M293" i="15"/>
  <c r="K294" i="15" a="1"/>
  <c r="K294" i="15"/>
  <c r="L294" i="15"/>
  <c r="M294" i="15"/>
  <c r="K295" i="15" a="1"/>
  <c r="K295" i="15"/>
  <c r="L295" i="15"/>
  <c r="M295" i="15"/>
  <c r="K296" i="15" a="1"/>
  <c r="K296" i="15"/>
  <c r="L296" i="15"/>
  <c r="M296" i="15"/>
  <c r="K297" i="15" a="1"/>
  <c r="K297" i="15"/>
  <c r="L297" i="15"/>
  <c r="M297" i="15"/>
  <c r="K298" i="15" a="1"/>
  <c r="K298" i="15"/>
  <c r="L298" i="15"/>
  <c r="M298" i="15"/>
  <c r="K299" i="15" a="1"/>
  <c r="K299" i="15"/>
  <c r="L299" i="15"/>
  <c r="M299" i="15"/>
  <c r="K300" i="15" a="1"/>
  <c r="K300" i="15"/>
  <c r="L300" i="15"/>
  <c r="M300" i="15"/>
  <c r="K301" i="15" a="1"/>
  <c r="K301" i="15"/>
  <c r="L301" i="15"/>
  <c r="M301" i="15"/>
  <c r="K302" i="15" a="1"/>
  <c r="K302" i="15"/>
  <c r="L302" i="15"/>
  <c r="M302" i="15"/>
  <c r="K303" i="15" a="1"/>
  <c r="K303" i="15"/>
  <c r="L303" i="15"/>
  <c r="M303" i="15"/>
  <c r="K304" i="15" a="1"/>
  <c r="K304" i="15"/>
  <c r="L304" i="15"/>
  <c r="M304" i="15"/>
  <c r="K305" i="15" a="1"/>
  <c r="K305" i="15"/>
  <c r="L305" i="15"/>
  <c r="M305" i="15"/>
  <c r="L213" i="15"/>
  <c r="M213" i="15"/>
  <c r="L212" i="15"/>
  <c r="M212" i="15"/>
  <c r="K106" i="15" a="1"/>
  <c r="K106" i="15"/>
  <c r="L106" i="15"/>
  <c r="M106" i="15"/>
  <c r="K105" i="15" a="1"/>
  <c r="K105" i="15"/>
  <c r="L105" i="15"/>
  <c r="M105" i="15"/>
  <c r="K104" i="15" a="1"/>
  <c r="K104" i="15"/>
  <c r="L104" i="15"/>
  <c r="M104" i="15"/>
  <c r="K103" i="15" a="1"/>
  <c r="K103" i="15"/>
  <c r="L103" i="15"/>
  <c r="M103" i="15"/>
  <c r="K9" i="23" a="1"/>
  <c r="K9" i="23"/>
  <c r="L9" i="23"/>
  <c r="M9" i="23"/>
  <c r="K10" i="23" a="1"/>
  <c r="K10" i="23"/>
  <c r="L10" i="23"/>
  <c r="M10" i="23"/>
  <c r="K8" i="23" a="1"/>
  <c r="K8" i="23"/>
  <c r="K7" i="23" a="1"/>
  <c r="K7" i="23"/>
  <c r="K6" i="23" a="1"/>
  <c r="K6" i="23"/>
  <c r="L6" i="23"/>
  <c r="M6" i="23"/>
  <c r="L7" i="23"/>
  <c r="M7" i="23"/>
  <c r="L8" i="23"/>
  <c r="M8" i="23"/>
  <c r="K5" i="23" a="1"/>
  <c r="K5" i="23"/>
  <c r="K4" i="23" a="1"/>
  <c r="K4" i="23"/>
  <c r="L4" i="23"/>
  <c r="M4" i="23"/>
  <c r="L5" i="23"/>
  <c r="M5" i="23"/>
  <c r="K3" i="23" a="1"/>
  <c r="K3" i="23"/>
  <c r="L3" i="23"/>
  <c r="M3" i="23"/>
  <c r="K2" i="23" a="1"/>
  <c r="K2" i="23"/>
  <c r="L2" i="23"/>
  <c r="M2" i="23"/>
  <c r="K88" i="15" a="1"/>
  <c r="K88" i="15"/>
  <c r="L102" i="15"/>
  <c r="K102" i="15" a="1"/>
  <c r="K102" i="15"/>
  <c r="M102" i="15" s="1"/>
  <c r="K9" i="19" a="1"/>
  <c r="K9" i="19"/>
  <c r="L9" i="19"/>
  <c r="M9" i="19"/>
  <c r="K101" i="15" a="1"/>
  <c r="K101" i="15"/>
  <c r="L101" i="15"/>
  <c r="M101" i="15"/>
  <c r="K100" i="15" a="1"/>
  <c r="K100" i="15"/>
  <c r="L100" i="15"/>
  <c r="M100" i="15"/>
  <c r="K99" i="15" a="1"/>
  <c r="K99" i="15"/>
  <c r="L99" i="15"/>
  <c r="M99" i="15"/>
  <c r="K97" i="15" a="1"/>
  <c r="K97" i="15"/>
  <c r="L97" i="15"/>
  <c r="M97" i="15"/>
  <c r="K98" i="15" a="1"/>
  <c r="K98" i="15"/>
  <c r="L98" i="15"/>
  <c r="M98" i="15"/>
  <c r="K96" i="15" a="1"/>
  <c r="K96" i="15"/>
  <c r="L96" i="15"/>
  <c r="M96" i="15"/>
  <c r="K19" i="18" a="1"/>
  <c r="K19" i="18"/>
  <c r="K20" i="18" a="1"/>
  <c r="K20" i="18"/>
  <c r="K21" i="18" a="1"/>
  <c r="K21" i="18"/>
  <c r="K22" i="18" a="1"/>
  <c r="K22" i="18"/>
  <c r="L19" i="18"/>
  <c r="L20" i="18"/>
  <c r="L21" i="18"/>
  <c r="L22" i="18"/>
  <c r="M19" i="18"/>
  <c r="M20" i="18"/>
  <c r="M21" i="18"/>
  <c r="M22" i="18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K92" i="15" a="1"/>
  <c r="K92" i="15"/>
  <c r="L92" i="15"/>
  <c r="M92" i="15"/>
  <c r="K93" i="15" a="1"/>
  <c r="K93" i="15"/>
  <c r="L93" i="15"/>
  <c r="M93" i="15"/>
  <c r="K91" i="15" a="1"/>
  <c r="K91" i="15"/>
  <c r="L91" i="15"/>
  <c r="M91" i="15"/>
  <c r="K89" i="15" a="1"/>
  <c r="K89" i="15"/>
  <c r="L89" i="15"/>
  <c r="M89" i="15"/>
  <c r="K90" i="15" a="1"/>
  <c r="K90" i="15"/>
  <c r="L90" i="15"/>
  <c r="M90" i="15"/>
  <c r="K85" i="15" a="1"/>
  <c r="K85" i="15"/>
  <c r="L85" i="15"/>
  <c r="M85" i="15"/>
  <c r="K86" i="15" a="1"/>
  <c r="K86" i="15"/>
  <c r="L86" i="15"/>
  <c r="M86" i="15"/>
  <c r="K87" i="15" a="1"/>
  <c r="K87" i="15"/>
  <c r="L87" i="15"/>
  <c r="M87" i="15"/>
  <c r="L88" i="15"/>
  <c r="M88" i="15"/>
  <c r="K255" i="15" a="1"/>
  <c r="K255" i="15"/>
  <c r="K256" i="15" a="1"/>
  <c r="K256" i="15"/>
  <c r="K257" i="15" a="1"/>
  <c r="K257" i="15"/>
  <c r="K258" i="15" a="1"/>
  <c r="K258" i="15"/>
  <c r="K259" i="15" a="1"/>
  <c r="K259" i="15"/>
  <c r="K260" i="15" a="1"/>
  <c r="K260" i="15"/>
  <c r="K261" i="15" a="1"/>
  <c r="K261" i="15"/>
  <c r="K262" i="15" a="1"/>
  <c r="K262" i="15"/>
  <c r="K263" i="15" a="1"/>
  <c r="K263" i="15"/>
  <c r="K264" i="15" a="1"/>
  <c r="K264" i="15"/>
  <c r="K265" i="15" a="1"/>
  <c r="K265" i="15"/>
  <c r="K266" i="15" a="1"/>
  <c r="K266" i="15"/>
  <c r="K267" i="15" a="1"/>
  <c r="K267" i="15"/>
  <c r="K268" i="15" a="1"/>
  <c r="K268" i="15"/>
  <c r="K269" i="15" a="1"/>
  <c r="K269" i="15"/>
  <c r="K270" i="15" a="1"/>
  <c r="K270" i="15"/>
  <c r="K271" i="15" a="1"/>
  <c r="K271" i="15"/>
  <c r="K272" i="15" a="1"/>
  <c r="K272" i="15"/>
  <c r="K273" i="15" a="1"/>
  <c r="K273" i="15"/>
  <c r="K274" i="15" a="1"/>
  <c r="K27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K214" i="15" a="1"/>
  <c r="K214" i="15"/>
  <c r="K215" i="15" a="1"/>
  <c r="K215" i="15" s="1"/>
  <c r="M215" i="15" s="1"/>
  <c r="K216" i="15" a="1"/>
  <c r="K216" i="15"/>
  <c r="M216" i="15" s="1"/>
  <c r="K217" i="15" a="1"/>
  <c r="K217" i="15"/>
  <c r="K218" i="15" a="1"/>
  <c r="K218" i="15"/>
  <c r="K219" i="15" a="1"/>
  <c r="K219" i="15"/>
  <c r="K220" i="15" a="1"/>
  <c r="K220" i="15"/>
  <c r="K221" i="15" a="1"/>
  <c r="K221" i="15"/>
  <c r="K222" i="15" a="1"/>
  <c r="K222" i="15"/>
  <c r="K223" i="15" a="1"/>
  <c r="K223" i="15"/>
  <c r="K224" i="15" a="1"/>
  <c r="K224" i="15"/>
  <c r="K225" i="15" a="1"/>
  <c r="K225" i="15"/>
  <c r="K226" i="15" a="1"/>
  <c r="K226" i="15"/>
  <c r="K227" i="15" a="1"/>
  <c r="K227" i="15" s="1"/>
  <c r="M227" i="15" s="1"/>
  <c r="K228" i="15" a="1"/>
  <c r="K228" i="15"/>
  <c r="M228" i="15" s="1"/>
  <c r="K229" i="15" a="1"/>
  <c r="K229" i="15"/>
  <c r="K230" i="15" a="1"/>
  <c r="K230" i="15"/>
  <c r="K231" i="15" a="1"/>
  <c r="K231" i="15"/>
  <c r="K234" i="15" a="1"/>
  <c r="K234" i="15"/>
  <c r="K243" i="15" a="1"/>
  <c r="K243" i="15"/>
  <c r="K244" i="15" a="1"/>
  <c r="K244" i="15"/>
  <c r="K245" i="15" a="1"/>
  <c r="K245" i="15"/>
  <c r="K246" i="15" a="1"/>
  <c r="K246" i="15"/>
  <c r="K247" i="15" a="1"/>
  <c r="K247" i="15"/>
  <c r="K248" i="15" a="1"/>
  <c r="K248" i="15"/>
  <c r="K249" i="15" a="1"/>
  <c r="K249" i="15"/>
  <c r="K250" i="15" a="1"/>
  <c r="K250" i="15"/>
  <c r="K251" i="15" a="1"/>
  <c r="K251" i="15"/>
  <c r="K252" i="15" a="1"/>
  <c r="K252" i="15"/>
  <c r="K253" i="15" a="1"/>
  <c r="K253" i="15"/>
  <c r="K254" i="15" a="1"/>
  <c r="K254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4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M214" i="15"/>
  <c r="M217" i="15"/>
  <c r="M218" i="15"/>
  <c r="M219" i="15"/>
  <c r="M220" i="15"/>
  <c r="M221" i="15"/>
  <c r="M222" i="15"/>
  <c r="M223" i="15"/>
  <c r="M224" i="15"/>
  <c r="M225" i="15"/>
  <c r="M226" i="15"/>
  <c r="M229" i="15"/>
  <c r="M230" i="15"/>
  <c r="M231" i="15"/>
  <c r="M234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L211" i="15"/>
  <c r="L210" i="15"/>
  <c r="K213" i="15" a="1"/>
  <c r="K213" i="15" s="1"/>
  <c r="K212" i="15" a="1"/>
  <c r="K212" i="15" s="1"/>
  <c r="M211" i="15" s="1"/>
  <c r="K210" i="15" a="1"/>
  <c r="K210" i="15" s="1"/>
  <c r="M210" i="15" s="1"/>
  <c r="K10" i="19" a="1"/>
  <c r="K10" i="19"/>
  <c r="L10" i="19"/>
  <c r="M10" i="19"/>
  <c r="A205" i="15"/>
  <c r="K84" i="15" a="1"/>
  <c r="K84" i="15"/>
  <c r="L84" i="15"/>
  <c r="M84" i="15"/>
  <c r="K94" i="15" a="1"/>
  <c r="K94" i="15"/>
  <c r="L94" i="15"/>
  <c r="M94" i="15"/>
  <c r="K80" i="15" a="1"/>
  <c r="K80" i="15"/>
  <c r="L80" i="15"/>
  <c r="M80" i="15"/>
  <c r="K81" i="15" a="1"/>
  <c r="K81" i="15"/>
  <c r="L81" i="15"/>
  <c r="M81" i="15"/>
  <c r="K82" i="15" a="1"/>
  <c r="K82" i="15"/>
  <c r="L82" i="15"/>
  <c r="M82" i="15"/>
  <c r="K83" i="15" a="1"/>
  <c r="K83" i="15"/>
  <c r="L83" i="15"/>
  <c r="M83" i="15"/>
  <c r="K77" i="15" a="1"/>
  <c r="K77" i="15"/>
  <c r="L77" i="15"/>
  <c r="M77" i="15"/>
  <c r="K78" i="15" a="1"/>
  <c r="K78" i="15"/>
  <c r="L78" i="15"/>
  <c r="M78" i="15"/>
  <c r="K79" i="15" a="1"/>
  <c r="K79" i="15"/>
  <c r="L79" i="15"/>
  <c r="M79" i="15"/>
  <c r="K76" i="15" a="1"/>
  <c r="K76" i="15"/>
  <c r="L76" i="15"/>
  <c r="M76" i="15"/>
  <c r="A7" i="18"/>
  <c r="A70" i="15"/>
  <c r="L209" i="15"/>
  <c r="L208" i="15"/>
  <c r="L207" i="15"/>
  <c r="L206" i="15"/>
  <c r="L205" i="15"/>
  <c r="K209" i="15" a="1"/>
  <c r="K209" i="15" s="1"/>
  <c r="M209" i="15" s="1"/>
  <c r="K208" i="15" a="1"/>
  <c r="K208" i="15" s="1"/>
  <c r="M208" i="15" s="1"/>
  <c r="K207" i="15" a="1"/>
  <c r="K207" i="15" s="1"/>
  <c r="M207" i="15" s="1"/>
  <c r="K206" i="15" a="1"/>
  <c r="K206" i="15" s="1"/>
  <c r="M206" i="15" s="1"/>
  <c r="K205" i="15" a="1"/>
  <c r="K205" i="15" s="1"/>
  <c r="M205" i="15" s="1"/>
  <c r="K204" i="15" a="1"/>
  <c r="K204" i="15"/>
  <c r="L204" i="15"/>
  <c r="M204" i="15"/>
  <c r="L75" i="15"/>
  <c r="L74" i="15"/>
  <c r="K75" i="15" a="1"/>
  <c r="K75" i="15" s="1"/>
  <c r="M75" i="15" s="1"/>
  <c r="K74" i="15" a="1"/>
  <c r="K74" i="15" s="1"/>
  <c r="M74" i="15" s="1"/>
  <c r="K18" i="18" a="1"/>
  <c r="K18" i="18"/>
  <c r="L18" i="18"/>
  <c r="M18" i="18"/>
  <c r="K16" i="18" a="1"/>
  <c r="K16" i="18"/>
  <c r="K17" i="18" a="1"/>
  <c r="K17" i="18"/>
  <c r="L16" i="18"/>
  <c r="L17" i="18"/>
  <c r="M16" i="18"/>
  <c r="M17" i="18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K73" i="15" a="1"/>
  <c r="K73" i="15" s="1"/>
  <c r="M73" i="15" s="1"/>
  <c r="K72" i="15" a="1"/>
  <c r="K72" i="15" s="1"/>
  <c r="M72" i="15" s="1"/>
  <c r="K71" i="15" a="1"/>
  <c r="K71" i="15" s="1"/>
  <c r="M71" i="15" s="1"/>
  <c r="K70" i="15" a="1"/>
  <c r="K70" i="15" s="1"/>
  <c r="M70" i="15" s="1"/>
  <c r="K69" i="15" a="1"/>
  <c r="K69" i="15" s="1"/>
  <c r="M69" i="15" s="1"/>
  <c r="K68" i="15" a="1"/>
  <c r="K68" i="15" s="1"/>
  <c r="M68" i="15" s="1"/>
  <c r="K67" i="15" a="1"/>
  <c r="K67" i="15" s="1"/>
  <c r="M67" i="15" s="1"/>
  <c r="K66" i="15" a="1"/>
  <c r="K66" i="15" s="1"/>
  <c r="M66" i="15" s="1"/>
  <c r="K65" i="15" a="1"/>
  <c r="K65" i="15" s="1"/>
  <c r="M65" i="15" s="1"/>
  <c r="K10" i="18" a="1"/>
  <c r="K10" i="18"/>
  <c r="K11" i="18" a="1"/>
  <c r="K11" i="18"/>
  <c r="K12" i="18" a="1"/>
  <c r="K12" i="18"/>
  <c r="K13" i="18" a="1"/>
  <c r="K13" i="18"/>
  <c r="K14" i="18" a="1"/>
  <c r="K14" i="18"/>
  <c r="K15" i="18" a="1"/>
  <c r="K15" i="18"/>
  <c r="L10" i="18"/>
  <c r="L11" i="18"/>
  <c r="L12" i="18"/>
  <c r="L13" i="18"/>
  <c r="L14" i="18"/>
  <c r="L15" i="18"/>
  <c r="M10" i="18"/>
  <c r="M11" i="18"/>
  <c r="M12" i="18"/>
  <c r="M13" i="18"/>
  <c r="M14" i="18"/>
  <c r="M15" i="18"/>
  <c r="K64" i="15" a="1"/>
  <c r="K64" i="15"/>
  <c r="M64" i="15" s="1"/>
  <c r="K63" i="15" a="1"/>
  <c r="K63" i="15"/>
  <c r="M63" i="15" s="1"/>
  <c r="K8" i="19" a="1"/>
  <c r="K8" i="19"/>
  <c r="L8" i="19"/>
  <c r="M8" i="19"/>
  <c r="K7" i="19" a="1"/>
  <c r="K7" i="19"/>
  <c r="L7" i="19"/>
  <c r="M7" i="19"/>
  <c r="K6" i="19" a="1"/>
  <c r="K6" i="19"/>
  <c r="L6" i="19"/>
  <c r="M6" i="19"/>
  <c r="K5" i="19" a="1"/>
  <c r="K5" i="19"/>
  <c r="L5" i="19"/>
  <c r="M5" i="19"/>
  <c r="K4" i="19" a="1"/>
  <c r="K4" i="19"/>
  <c r="L4" i="19"/>
  <c r="M4" i="19"/>
  <c r="L54" i="15"/>
  <c r="L48" i="15"/>
  <c r="K62" i="15" a="1"/>
  <c r="K62" i="15" s="1"/>
  <c r="M62" i="15" s="1"/>
  <c r="L57" i="15"/>
  <c r="L56" i="15"/>
  <c r="L55" i="15"/>
  <c r="K61" i="15" a="1"/>
  <c r="K61" i="15" s="1"/>
  <c r="M61" i="15" s="1"/>
  <c r="K60" i="15" a="1"/>
  <c r="K60" i="15" s="1"/>
  <c r="M60" i="15" s="1"/>
  <c r="K58" i="15" a="1"/>
  <c r="K58" i="15" s="1"/>
  <c r="M58" i="15" s="1"/>
  <c r="K57" i="15" a="1"/>
  <c r="K57" i="15" s="1"/>
  <c r="M57" i="15" s="1"/>
  <c r="K56" i="15" a="1"/>
  <c r="K56" i="15" s="1"/>
  <c r="M56" i="15" s="1"/>
  <c r="K55" i="15" a="1"/>
  <c r="K55" i="15" s="1"/>
  <c r="M55" i="15" s="1"/>
  <c r="L53" i="15"/>
  <c r="L52" i="15"/>
  <c r="K54" i="15" a="1"/>
  <c r="K54" i="15" s="1"/>
  <c r="M54" i="15" s="1"/>
  <c r="K53" i="15" a="1"/>
  <c r="K53" i="15" s="1"/>
  <c r="M53" i="15" s="1"/>
  <c r="K52" i="15" a="1"/>
  <c r="K52" i="15" s="1"/>
  <c r="M52" i="15" s="1"/>
  <c r="K49" i="15" a="1"/>
  <c r="K49" i="15"/>
  <c r="K50" i="15" a="1"/>
  <c r="K50" i="15"/>
  <c r="K51" i="15" a="1"/>
  <c r="K51" i="15"/>
  <c r="L49" i="15"/>
  <c r="L50" i="15"/>
  <c r="L51" i="15"/>
  <c r="M49" i="15"/>
  <c r="M50" i="15"/>
  <c r="M51" i="15"/>
  <c r="L20" i="15"/>
  <c r="L21" i="15"/>
  <c r="L22" i="15"/>
  <c r="L23" i="15"/>
  <c r="L3" i="15"/>
  <c r="L13" i="15"/>
  <c r="L32" i="15"/>
  <c r="K32" i="15" a="1"/>
  <c r="K32" i="15"/>
  <c r="M32" i="15" s="1"/>
  <c r="K13" i="15" a="1"/>
  <c r="K13" i="15"/>
  <c r="M13" i="15" s="1"/>
  <c r="K3" i="15" a="1"/>
  <c r="K3" i="15"/>
  <c r="M3" i="15" s="1"/>
  <c r="K23" i="15" a="1"/>
  <c r="K23" i="15"/>
  <c r="M23" i="15" s="1"/>
  <c r="K22" i="15" a="1"/>
  <c r="K22" i="15"/>
  <c r="M22" i="15" s="1"/>
  <c r="K21" i="15" a="1"/>
  <c r="K21" i="15"/>
  <c r="M21" i="15" s="1"/>
  <c r="K20" i="15" a="1"/>
  <c r="K20" i="15"/>
  <c r="M20" i="15" s="1"/>
  <c r="L4" i="15"/>
  <c r="L5" i="15"/>
  <c r="L6" i="15"/>
  <c r="L7" i="15"/>
  <c r="L8" i="15"/>
  <c r="L9" i="15"/>
  <c r="L10" i="15"/>
  <c r="L11" i="15"/>
  <c r="L12" i="15"/>
  <c r="L14" i="15"/>
  <c r="L15" i="15"/>
  <c r="L16" i="15"/>
  <c r="L17" i="15"/>
  <c r="L18" i="15"/>
  <c r="L24" i="15"/>
  <c r="L19" i="15"/>
  <c r="L25" i="15"/>
  <c r="L26" i="15"/>
  <c r="L27" i="15"/>
  <c r="L28" i="15"/>
  <c r="L33" i="15"/>
  <c r="L34" i="15"/>
  <c r="L35" i="15"/>
  <c r="L36" i="15"/>
  <c r="L29" i="15"/>
  <c r="L30" i="15"/>
  <c r="L31" i="15"/>
  <c r="L41" i="15"/>
  <c r="L47" i="15"/>
  <c r="L45" i="15"/>
  <c r="L46" i="15"/>
  <c r="L37" i="15"/>
  <c r="L38" i="15"/>
  <c r="L39" i="15"/>
  <c r="L40" i="15"/>
  <c r="L42" i="15"/>
  <c r="L43" i="15"/>
  <c r="L44" i="15"/>
  <c r="L2" i="15"/>
  <c r="K42" i="15" a="1"/>
  <c r="K42" i="15"/>
  <c r="K43" i="15" a="1"/>
  <c r="K43" i="15"/>
  <c r="K44" i="15" a="1"/>
  <c r="K44" i="15"/>
  <c r="K48" i="15" a="1"/>
  <c r="K48" i="15"/>
  <c r="K59" i="15" a="1"/>
  <c r="K59" i="15"/>
  <c r="M42" i="15"/>
  <c r="M43" i="15"/>
  <c r="M44" i="15"/>
  <c r="M48" i="15"/>
  <c r="M59" i="15"/>
  <c r="L2" i="21"/>
  <c r="L2" i="20"/>
  <c r="L2" i="19"/>
  <c r="L3" i="20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3" i="19"/>
  <c r="L2" i="18"/>
  <c r="L3" i="18"/>
  <c r="L4" i="18"/>
  <c r="L5" i="18"/>
  <c r="L6" i="18"/>
  <c r="L7" i="18"/>
  <c r="L8" i="18"/>
  <c r="L9" i="18"/>
  <c r="L2" i="17"/>
  <c r="L3" i="17"/>
  <c r="L2" i="8"/>
  <c r="K2" i="8" a="1"/>
  <c r="K2" i="8"/>
  <c r="K2" i="21" a="1"/>
  <c r="K2" i="21" s="1"/>
  <c r="K4" i="20" a="1"/>
  <c r="K4" i="20"/>
  <c r="K5" i="20" a="1"/>
  <c r="K5" i="20"/>
  <c r="K6" i="20" a="1"/>
  <c r="K6" i="20"/>
  <c r="K7" i="20" a="1"/>
  <c r="K7" i="20"/>
  <c r="K8" i="20" a="1"/>
  <c r="K8" i="20"/>
  <c r="K9" i="20" a="1"/>
  <c r="K9" i="20"/>
  <c r="K10" i="20" a="1"/>
  <c r="K10" i="20"/>
  <c r="K11" i="20" a="1"/>
  <c r="K11" i="20"/>
  <c r="K12" i="20" a="1"/>
  <c r="K12" i="20"/>
  <c r="K13" i="20" a="1"/>
  <c r="K13" i="20"/>
  <c r="K14" i="20" a="1"/>
  <c r="K14" i="20"/>
  <c r="K15" i="20" a="1"/>
  <c r="K15" i="20"/>
  <c r="K16" i="20" a="1"/>
  <c r="K16" i="20"/>
  <c r="K17" i="20" a="1"/>
  <c r="K17" i="20"/>
  <c r="K18" i="20" a="1"/>
  <c r="K18" i="20"/>
  <c r="K19" i="20" a="1"/>
  <c r="K19" i="20"/>
  <c r="K20" i="20" a="1"/>
  <c r="K20" i="20"/>
  <c r="K21" i="20" a="1"/>
  <c r="K21" i="20"/>
  <c r="K22" i="20" a="1"/>
  <c r="K22" i="20"/>
  <c r="K23" i="20" a="1"/>
  <c r="K2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K3" i="20" a="1"/>
  <c r="K3" i="20" s="1"/>
  <c r="K2" i="20" a="1"/>
  <c r="K2" i="20" s="1"/>
  <c r="K3" i="19" a="1"/>
  <c r="K3" i="19" s="1"/>
  <c r="K2" i="19" a="1"/>
  <c r="K2" i="19" s="1"/>
  <c r="K2" i="18" a="1"/>
  <c r="K2" i="18"/>
  <c r="M2" i="18" s="1"/>
  <c r="K3" i="18" a="1"/>
  <c r="K3" i="18"/>
  <c r="M3" i="18" s="1"/>
  <c r="K4" i="18" a="1"/>
  <c r="K4" i="18"/>
  <c r="M4" i="18" s="1"/>
  <c r="K5" i="18" a="1"/>
  <c r="K5" i="18"/>
  <c r="M5" i="18" s="1"/>
  <c r="K6" i="18" a="1"/>
  <c r="K6" i="18"/>
  <c r="M6" i="18" s="1"/>
  <c r="K7" i="18" a="1"/>
  <c r="K7" i="18"/>
  <c r="M7" i="18" s="1"/>
  <c r="K8" i="18" a="1"/>
  <c r="K8" i="18"/>
  <c r="M8" i="18" s="1"/>
  <c r="K9" i="18" a="1"/>
  <c r="K9" i="18"/>
  <c r="M9" i="18" s="1"/>
  <c r="K2" i="17" a="1"/>
  <c r="K2" i="17"/>
  <c r="K3" i="17" a="1"/>
  <c r="K3" i="17"/>
  <c r="M2" i="17"/>
  <c r="M3" i="17"/>
  <c r="K25" i="15" a="1"/>
  <c r="K25" i="15"/>
  <c r="M25" i="15" s="1"/>
  <c r="M2" i="8"/>
  <c r="K26" i="15" a="1"/>
  <c r="K26" i="15"/>
  <c r="K27" i="15" a="1"/>
  <c r="K27" i="15"/>
  <c r="K28" i="15" a="1"/>
  <c r="K28" i="15"/>
  <c r="K33" i="15" a="1"/>
  <c r="K33" i="15"/>
  <c r="K34" i="15" a="1"/>
  <c r="K34" i="15"/>
  <c r="K35" i="15" a="1"/>
  <c r="K35" i="15"/>
  <c r="K36" i="15" a="1"/>
  <c r="K36" i="15"/>
  <c r="K41" i="15" a="1"/>
  <c r="K41" i="15"/>
  <c r="K47" i="15" a="1"/>
  <c r="K47" i="15"/>
  <c r="K45" i="15" a="1"/>
  <c r="K45" i="15"/>
  <c r="K46" i="15" a="1"/>
  <c r="K46" i="15"/>
  <c r="K37" i="15" a="1"/>
  <c r="K37" i="15"/>
  <c r="K38" i="15" a="1"/>
  <c r="K38" i="15"/>
  <c r="K39" i="15" a="1"/>
  <c r="K39" i="15"/>
  <c r="K40" i="15" a="1"/>
  <c r="K40" i="15"/>
  <c r="K4" i="15" a="1"/>
  <c r="K4" i="15"/>
  <c r="K19" i="15" a="1"/>
  <c r="K19" i="15"/>
  <c r="K5" i="15" a="1"/>
  <c r="K5" i="15"/>
  <c r="K6" i="15" a="1"/>
  <c r="K6" i="15"/>
  <c r="K7" i="15" a="1"/>
  <c r="K7" i="15"/>
  <c r="K8" i="15" a="1"/>
  <c r="K8" i="15"/>
  <c r="K9" i="15" a="1"/>
  <c r="K9" i="15"/>
  <c r="K10" i="15" a="1"/>
  <c r="K10" i="15"/>
  <c r="K11" i="15" a="1"/>
  <c r="K11" i="15"/>
  <c r="K12" i="15" a="1"/>
  <c r="K12" i="15"/>
  <c r="K14" i="15" a="1"/>
  <c r="K14" i="15"/>
  <c r="K15" i="15" a="1"/>
  <c r="K15" i="15"/>
  <c r="K2" i="15" a="1"/>
  <c r="K2" i="15"/>
  <c r="K16" i="15" a="1"/>
  <c r="K16" i="15"/>
  <c r="K17" i="15" a="1"/>
  <c r="K17" i="15"/>
  <c r="K18" i="15" a="1"/>
  <c r="K18" i="15"/>
  <c r="K24" i="15" a="1"/>
  <c r="K24" i="15"/>
  <c r="M2" i="21" l="1"/>
  <c r="M2" i="20"/>
  <c r="M3" i="20"/>
  <c r="M2" i="19"/>
  <c r="M3" i="19"/>
  <c r="M24" i="15"/>
  <c r="M18" i="15"/>
  <c r="M17" i="15"/>
  <c r="M16" i="15"/>
  <c r="M2" i="15"/>
  <c r="M15" i="15"/>
  <c r="M14" i="15"/>
  <c r="M12" i="15"/>
  <c r="M11" i="15"/>
  <c r="M10" i="15"/>
  <c r="M9" i="15"/>
  <c r="M8" i="15"/>
  <c r="M7" i="15"/>
  <c r="M6" i="15"/>
  <c r="M5" i="15"/>
  <c r="M19" i="15"/>
  <c r="M4" i="15"/>
  <c r="M40" i="15"/>
  <c r="M39" i="15"/>
  <c r="M38" i="15"/>
  <c r="M37" i="15"/>
  <c r="M46" i="15"/>
  <c r="M45" i="15"/>
  <c r="M47" i="15"/>
  <c r="M41" i="15"/>
  <c r="M31" i="15"/>
  <c r="M30" i="15"/>
  <c r="M29" i="15"/>
  <c r="M36" i="15"/>
  <c r="M35" i="15"/>
  <c r="M34" i="15"/>
  <c r="M33" i="15"/>
  <c r="M28" i="15"/>
  <c r="M27" i="15"/>
  <c r="M2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Contrataciones Montolivo</author>
  </authors>
  <commentList>
    <comment ref="B1" authorId="0" shapeId="0" xr:uid="{4856AE21-0A04-4EEC-87DA-E18E4914438B}">
      <text>
        <r>
          <rPr>
            <sz val="10"/>
            <color rgb="FF000000"/>
            <rFont val="Arial"/>
            <scheme val="minor"/>
          </rPr>
          <t xml:space="preserve">Contrataciones Montolivo: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<sst xmlns="http://schemas.openxmlformats.org/spreadsheetml/2006/main" count="3886" uniqueCount="1089">
  <si>
    <t>DIAS NO LABORALES RESTO DEL PAIS</t>
  </si>
  <si>
    <t>DIAS NO LABORALES BOGOTÁ</t>
  </si>
  <si>
    <t>(Columna C) Fechas</t>
  </si>
  <si>
    <t>(Columna D - Opcional) Nombre</t>
  </si>
  <si>
    <t>DIA DE TODOS LOS SANTOS</t>
  </si>
  <si>
    <t>INDEPENDENCIA DE CARTAGENA</t>
  </si>
  <si>
    <t>Inmaculada Concepción</t>
  </si>
  <si>
    <t>Navidad</t>
  </si>
  <si>
    <t>Año Nuevo</t>
  </si>
  <si>
    <t>Día de los Reyes Magos</t>
  </si>
  <si>
    <t>Día de San José</t>
  </si>
  <si>
    <t>Jueves Santo</t>
  </si>
  <si>
    <t>Viernes Santo</t>
  </si>
  <si>
    <t>Día del Trabajo</t>
  </si>
  <si>
    <t>Día de la Ascensión</t>
  </si>
  <si>
    <t>Corpus Christi</t>
  </si>
  <si>
    <t>Sagrado Corazón</t>
  </si>
  <si>
    <t>San Pedro y San Pablo</t>
  </si>
  <si>
    <t>Día de la Independencia</t>
  </si>
  <si>
    <t>Batalla de Boyacá</t>
  </si>
  <si>
    <t>La Asunción de la Virgen</t>
  </si>
  <si>
    <t>Día de la Raza</t>
  </si>
  <si>
    <t>Todos los Santos</t>
  </si>
  <si>
    <t>Indep. de Cartagena</t>
  </si>
  <si>
    <t>NOMBRE NUEVO INGRESO</t>
  </si>
  <si>
    <t>CARGO</t>
  </si>
  <si>
    <t>ESTADO</t>
  </si>
  <si>
    <t xml:space="preserve">FECHA DE INGRESO </t>
  </si>
  <si>
    <t>SOLICITA</t>
  </si>
  <si>
    <t xml:space="preserve">FECHA DE SOLICITUD </t>
  </si>
  <si>
    <t>PUNTO</t>
  </si>
  <si>
    <t>PERSONA A QUIEN REEMPLAZARA</t>
  </si>
  <si>
    <t xml:space="preserve">POSICION CLAVES </t>
  </si>
  <si>
    <t xml:space="preserve">MOTIVO </t>
  </si>
  <si>
    <t>FECHA MAXIMA</t>
  </si>
  <si>
    <t>MES_INDICADOR_K</t>
  </si>
  <si>
    <t>ESTADO DEL INGRESO</t>
  </si>
  <si>
    <t>REY DAVID VALDERRAMA DIAZ</t>
  </si>
  <si>
    <t>AUXILIAR DE SERVICIO</t>
  </si>
  <si>
    <t>CONTRATADO</t>
  </si>
  <si>
    <t>ANGIE</t>
  </si>
  <si>
    <t xml:space="preserve">MAYORCA 2 </t>
  </si>
  <si>
    <t>BENITEZ GUERRERO YESMIN ADRIANA</t>
  </si>
  <si>
    <t>Cuenta de FECHA MAXIMA</t>
  </si>
  <si>
    <t>MARISOL ECHEVERRY GARCIA</t>
  </si>
  <si>
    <t xml:space="preserve">VEGAS PLAZA </t>
  </si>
  <si>
    <t xml:space="preserve">ENMANUEL TUBERQUIA PEREZ </t>
  </si>
  <si>
    <t>A TIEMPO</t>
  </si>
  <si>
    <t>FUERA DE TIEMPO</t>
  </si>
  <si>
    <t>PENDIENTE</t>
  </si>
  <si>
    <t>#¡REF!</t>
  </si>
  <si>
    <t>Total general</t>
  </si>
  <si>
    <t>DINA LUZ PEÑA</t>
  </si>
  <si>
    <t>AUXILIAR DE COCINA</t>
  </si>
  <si>
    <t xml:space="preserve">PUERTA DEL NORTE </t>
  </si>
  <si>
    <t>MARIA ALEJANDRA ALMANZA RAMIREZ</t>
  </si>
  <si>
    <t/>
  </si>
  <si>
    <t>JULIAN ANDRES VALENCIA</t>
  </si>
  <si>
    <t xml:space="preserve">ENVIGADO </t>
  </si>
  <si>
    <t xml:space="preserve">JUAN SEBASTIAN CELIS BLANDON </t>
  </si>
  <si>
    <t xml:space="preserve">Total </t>
  </si>
  <si>
    <t>MIGUEL ANGEL CASTAÑO</t>
  </si>
  <si>
    <t xml:space="preserve">SUPERNUEMRARIA </t>
  </si>
  <si>
    <t xml:space="preserve">YERIKA BIBIANA ARIAS VASQUEZ </t>
  </si>
  <si>
    <t>PAULA ANDREA MOSQUERA</t>
  </si>
  <si>
    <t xml:space="preserve">DISTRITO VERA </t>
  </si>
  <si>
    <t xml:space="preserve">ALEXANDER MACHADO OSORIO </t>
  </si>
  <si>
    <t>PAULA ANDREA RAMIREZ</t>
  </si>
  <si>
    <t xml:space="preserve">SUPERNUMERARIO </t>
  </si>
  <si>
    <t>JENNY JOHANA RENGIFO JARAMILLO</t>
  </si>
  <si>
    <t>Total #¡REF!</t>
  </si>
  <si>
    <t>KAREN YANETH ANAYA</t>
  </si>
  <si>
    <t xml:space="preserve">SEBASTIAN SANCHEZ MARIN </t>
  </si>
  <si>
    <t>NELLIS JUDITH GAMEZ LOPEZ</t>
  </si>
  <si>
    <t>LUISA FERNANDA AGUDELO CEBALLOS</t>
  </si>
  <si>
    <t>PAULA ANDREA LONDOÑO GUERRERO</t>
  </si>
  <si>
    <t xml:space="preserve">LUIS CARLOS CUADRADO MORA </t>
  </si>
  <si>
    <t>Total 01/12/2025</t>
  </si>
  <si>
    <t>DEILER RAMIREZ MENDOSA</t>
  </si>
  <si>
    <t xml:space="preserve">OVIEDO </t>
  </si>
  <si>
    <t xml:space="preserve">BRANDIS LUZ BELLO BLANCO </t>
  </si>
  <si>
    <t>EMILCE ISABEL HERNANDEZ</t>
  </si>
  <si>
    <t>VALENCIA PROAÑOS JENNY ALEJANDRA</t>
  </si>
  <si>
    <t>MARIO ANDRES MAIGUAL COGOLLO</t>
  </si>
  <si>
    <t xml:space="preserve">FLORIDA 1 </t>
  </si>
  <si>
    <t xml:space="preserve">MARCELA YULIETH MARTINEZ BLANDON </t>
  </si>
  <si>
    <t>Total 01/01/2026</t>
  </si>
  <si>
    <t>MONICA MARCELA MONTOYA CAÑAS</t>
  </si>
  <si>
    <t xml:space="preserve">SANTA FE </t>
  </si>
  <si>
    <t>HERNANDEZ ANGULO NAUDITH</t>
  </si>
  <si>
    <t>CINDI MILENA MARTINEZ IBARGUEN</t>
  </si>
  <si>
    <t>LA CENTRAL</t>
  </si>
  <si>
    <t xml:space="preserve">JUAN ESTEBAN RIOS PALACIO </t>
  </si>
  <si>
    <t>NATALIA ANDREA HOLGUIN</t>
  </si>
  <si>
    <t xml:space="preserve">NORLIDIS LLORENTE </t>
  </si>
  <si>
    <t>Total 01/02/2026</t>
  </si>
  <si>
    <t>JULIAN DAVID POLO BARRIOS</t>
  </si>
  <si>
    <t xml:space="preserve">FLORIDA 2 </t>
  </si>
  <si>
    <t>NUÑES HORTA MARIA JOSE</t>
  </si>
  <si>
    <t>ELIANA ESTRADA SUAREZ</t>
  </si>
  <si>
    <t>SINDY PATRICIA MELENDRES SALGADO</t>
  </si>
  <si>
    <t>YEINIS GRACIALA GUTIERREZ</t>
  </si>
  <si>
    <t>VIVA LAURELES</t>
  </si>
  <si>
    <t>VALDERRAMA ORTEGA KEVIN</t>
  </si>
  <si>
    <t>ANGELA CÉCILIA ÁLVAREZ</t>
  </si>
  <si>
    <t xml:space="preserve">JULIAN ANDRES VALENCIA OCAMPO </t>
  </si>
  <si>
    <t>DERWIN PAJARO MEDINA</t>
  </si>
  <si>
    <t>BERRIO GUEVARA MARIA ISABEL</t>
  </si>
  <si>
    <t>KAREN DALLANA LARGACHA</t>
  </si>
  <si>
    <t>ORREGO CALLE LAURA</t>
  </si>
  <si>
    <t>LUISA FERNANDA PELUFO</t>
  </si>
  <si>
    <t xml:space="preserve">VIVA ENVIGADO </t>
  </si>
  <si>
    <t>PEREZ BERRIO LEIDIS</t>
  </si>
  <si>
    <t>LEIDY BIVIANA GALVIS</t>
  </si>
  <si>
    <t xml:space="preserve">ARKADIA </t>
  </si>
  <si>
    <t>OCHOA SANCHEZ MARIANA</t>
  </si>
  <si>
    <t xml:space="preserve">LAURA ECHAVARRIA </t>
  </si>
  <si>
    <t xml:space="preserve">GRAN PLAZA </t>
  </si>
  <si>
    <t>CHANCI NAVARRO YULIETH PAOLA</t>
  </si>
  <si>
    <t>SACRA ISABEL COCHERO</t>
  </si>
  <si>
    <t>ROHIMER RAMON RONDON</t>
  </si>
  <si>
    <t>MARIA ANA CIRIA PLACIOS</t>
  </si>
  <si>
    <t xml:space="preserve">MAYORCA 1 </t>
  </si>
  <si>
    <t>GARCÍA CADAVID MATEO SMIT</t>
  </si>
  <si>
    <t xml:space="preserve">SARA  GUTIERREZ </t>
  </si>
  <si>
    <t>PEDROZO ZANBRANO RICARDO</t>
  </si>
  <si>
    <t xml:space="preserve">DRAIDY YESELY MEJIA </t>
  </si>
  <si>
    <t>FUENTES NARANJO NICK MICHELL</t>
  </si>
  <si>
    <t>YASITH LUZ HERRERA PEREZ</t>
  </si>
  <si>
    <t xml:space="preserve">SUPERNUMERARIA </t>
  </si>
  <si>
    <t>CAROLINA LOPEZ ZAPATA</t>
  </si>
  <si>
    <t>VALENTINA VANESSA GOMEZ</t>
  </si>
  <si>
    <t>DE MODA</t>
  </si>
  <si>
    <t>BONILLA FERNANDEZ RICARDO ENMANUEL</t>
  </si>
  <si>
    <t>JOSE ANGEL MEZA</t>
  </si>
  <si>
    <t>DOGIRAMA MANYOMA JHOANA</t>
  </si>
  <si>
    <t>SARAI MARIA HERNANDEZ</t>
  </si>
  <si>
    <t>SILGADO RUIZ LUISANA</t>
  </si>
  <si>
    <t>DIEGO ALONSO OCAMPO YEPES</t>
  </si>
  <si>
    <t>ORTEGA PALMA JANER RAFAEL</t>
  </si>
  <si>
    <t>LILIAM YISET ROMERO BARBOZA</t>
  </si>
  <si>
    <t>YENIFER PAOLA MORENO PEREZ</t>
  </si>
  <si>
    <t>YUDY NATALIA FLOREZ MANCO</t>
  </si>
  <si>
    <t>JESUS ALBERTO SEPULVEDA BELTRAN</t>
  </si>
  <si>
    <t>SUSANA RIOS MEJIA</t>
  </si>
  <si>
    <t xml:space="preserve">LEIDIS TATIANA MONTERROZA GIL </t>
  </si>
  <si>
    <t>YORLEIDYS PEÑATA  HERRERA</t>
  </si>
  <si>
    <t xml:space="preserve">LEIDY DIANA MONTERROSA GIL </t>
  </si>
  <si>
    <t>NAUDITH HERNANDEZ ANGULO</t>
  </si>
  <si>
    <t xml:space="preserve">MOLINOS </t>
  </si>
  <si>
    <t>VALENCIA ROMERO MATEO AUGUSTO</t>
  </si>
  <si>
    <t>SIULKA YINETH MOLINA</t>
  </si>
  <si>
    <t>SOSSA TORRES INGRID ESTEFANIA</t>
  </si>
  <si>
    <t>ESTEFANIA GERALDINE</t>
  </si>
  <si>
    <t>CANO ZAPATA KENDY ALEJANDRA</t>
  </si>
  <si>
    <t>JHON JAIRO BETANCUR</t>
  </si>
  <si>
    <t>HERNANDEZ BEDOYA MISHELL</t>
  </si>
  <si>
    <t>ALEJANDRA MARIA SUAREZ</t>
  </si>
  <si>
    <t>SILVA LOPEZ MERCEDES</t>
  </si>
  <si>
    <t>EDIER FABIA PEREZ PABON</t>
  </si>
  <si>
    <t xml:space="preserve">PUERTA </t>
  </si>
  <si>
    <t xml:space="preserve">CARLOS ALFREDO CARDENAS MUÑOZ </t>
  </si>
  <si>
    <t>CRISTIAN CAMILO SERNA SEGURA</t>
  </si>
  <si>
    <t>PREMIUM PLAZA</t>
  </si>
  <si>
    <t>LEON VERA KEILYN NAOMI</t>
  </si>
  <si>
    <t>SERNA PEÑA LEIDY LICETH</t>
  </si>
  <si>
    <t xml:space="preserve">ANGELA MARIA PULGARIN SANCHEZ </t>
  </si>
  <si>
    <t>JESSICA CAROLINA LUZARDO MARIMON</t>
  </si>
  <si>
    <t xml:space="preserve">UNICENTRO </t>
  </si>
  <si>
    <t>GARAY CORDOBA ALDAIR</t>
  </si>
  <si>
    <t>PERFIL</t>
  </si>
  <si>
    <t xml:space="preserve">RENUNCIA </t>
  </si>
  <si>
    <t>KEVIN ALEJANDRO HIGUITA QUINTERO</t>
  </si>
  <si>
    <t xml:space="preserve">PAULA ANDREA RAMIREZ GIRALDO </t>
  </si>
  <si>
    <t xml:space="preserve">ESTUDIANTE </t>
  </si>
  <si>
    <t>LOREN JULIETH TORIJANO MOSQUERA</t>
  </si>
  <si>
    <t>DE LA CRUZ PAYARES BLAINDER JOSE</t>
  </si>
  <si>
    <t xml:space="preserve">JUNIOR </t>
  </si>
  <si>
    <t>MARIA DE LOS ANGELES GUERRERO GUTIERREZ</t>
  </si>
  <si>
    <t xml:space="preserve">ANA MILENA CORONADO </t>
  </si>
  <si>
    <t xml:space="preserve">AUXILIAR </t>
  </si>
  <si>
    <t>MARIA JOSE RODRIGUEZ TRESPALACIOS</t>
  </si>
  <si>
    <t xml:space="preserve">SARA MANUELA RUIZ </t>
  </si>
  <si>
    <t>YORJETH CAROLAIN PIANETA GONZALEZ</t>
  </si>
  <si>
    <t xml:space="preserve">DE MODA </t>
  </si>
  <si>
    <t>MONTOYA AMAYA CLAUDIA MILENA</t>
  </si>
  <si>
    <t xml:space="preserve">Ricardo Pedrozo Zambrano </t>
  </si>
  <si>
    <t>MUNZON DIAZ KATY LUZ</t>
  </si>
  <si>
    <t>JEFERSON JARAMILLO BORJA</t>
  </si>
  <si>
    <t xml:space="preserve">ALBA YUDY GARCIA </t>
  </si>
  <si>
    <t>YEPES OBANDO JUNIOR ESTEBAN</t>
  </si>
  <si>
    <t>TESORO</t>
  </si>
  <si>
    <t xml:space="preserve">MARISOL ECHEVERRIA GARCIA </t>
  </si>
  <si>
    <t>DANIELA ALEJANDRA FADUL URREA</t>
  </si>
  <si>
    <t>GENES IGLESIA OBIS JHOAN</t>
  </si>
  <si>
    <t>MARIA FERNANDA SALES OROZCO</t>
  </si>
  <si>
    <t>HEREDIA ZUÑIGA MARIA CAMILA</t>
  </si>
  <si>
    <t>YEISON DAVID RIVERA GIRALDO</t>
  </si>
  <si>
    <t>GUIPE GARCÍA KARELIS DEL JESUS</t>
  </si>
  <si>
    <t>YUDY ANDREA URIBE URREGO</t>
  </si>
  <si>
    <t xml:space="preserve">DIEGO ALONSO OCAMPO YEPES </t>
  </si>
  <si>
    <t>GISELA MARIA VALERO SIERRA</t>
  </si>
  <si>
    <t>MUÑOZ ZAPATA NELLY</t>
  </si>
  <si>
    <t>ANYELIZ ELIANA MAZO RUIZ</t>
  </si>
  <si>
    <t xml:space="preserve">YOINER  DAVID LARA </t>
  </si>
  <si>
    <t>CARLOS MARIO ARRIETA</t>
  </si>
  <si>
    <t xml:space="preserve">LUZ FANNY JIMENEZ MESA </t>
  </si>
  <si>
    <t>SOBEIDA MARIMON MARTINEZ</t>
  </si>
  <si>
    <t xml:space="preserve">VIVA LAURELES </t>
  </si>
  <si>
    <t>RODRIGUEZ PEREZ CARLOS EDUARDO</t>
  </si>
  <si>
    <t>DUVAN ENRIQUE MARRUGO MEDINA</t>
  </si>
  <si>
    <t xml:space="preserve">PREMIUM PLAZA </t>
  </si>
  <si>
    <t xml:space="preserve">YANETH MARICEL FERNANDEZ SANCHEZ </t>
  </si>
  <si>
    <t>MILLERLAY HEREDIA GONZALES</t>
  </si>
  <si>
    <t>JAIR ALEXANDER PAMPLONA PATIÑO</t>
  </si>
  <si>
    <t>ANGIE LUCIA PIEDRAHITA RODRIGUEZ</t>
  </si>
  <si>
    <t>YUDY NATALIA FLOREZ</t>
  </si>
  <si>
    <t>EL TESORO</t>
  </si>
  <si>
    <t xml:space="preserve">ALEJANDRA MARIA SUAREZ AVALOS </t>
  </si>
  <si>
    <t>SORGEIDY CAROLINA PARELES MILIANO</t>
  </si>
  <si>
    <t xml:space="preserve"> </t>
  </si>
  <si>
    <t>SANTA FE</t>
  </si>
  <si>
    <t xml:space="preserve">LEIDY LICETH SERNA PEÑA </t>
  </si>
  <si>
    <t>YARILUZ CHIQUINQUIRA ATENCIO MORA</t>
  </si>
  <si>
    <t>YENIS YESID PINO CUESTA</t>
  </si>
  <si>
    <t xml:space="preserve">LEDY ATEHORTUA </t>
  </si>
  <si>
    <t>LILIAM YISETH ROMERO BARBOZA</t>
  </si>
  <si>
    <t>SANTIAGO MONTOYA GALEANO</t>
  </si>
  <si>
    <t xml:space="preserve">LUISA FERNANDA PEREZ DIAZ </t>
  </si>
  <si>
    <t>CARLOS ANDRES LONDOÑO CARVAJAL</t>
  </si>
  <si>
    <t>SIERRA GAMBOA YEN ESTELA</t>
  </si>
  <si>
    <t>KERLY CRUZ</t>
  </si>
  <si>
    <t xml:space="preserve">ANGIE HIGUITA </t>
  </si>
  <si>
    <t xml:space="preserve">MANUELA SERNA VARGAS (MEDIO TIEMPO) </t>
  </si>
  <si>
    <t>YULY MORENO</t>
  </si>
  <si>
    <t xml:space="preserve">EYNER </t>
  </si>
  <si>
    <t>SHIRLY DEL CARMEN UPARELA GARRIDO</t>
  </si>
  <si>
    <t>MARIANA COLORADO</t>
  </si>
  <si>
    <t>LEDY ATEHORTUA</t>
  </si>
  <si>
    <t>FUENTES NARANJO NICK MICHEL</t>
  </si>
  <si>
    <t>NACARI</t>
  </si>
  <si>
    <t>ELDA PALACIO</t>
  </si>
  <si>
    <t>JUAN ANDRES MONTOYA CAÑAVERAL</t>
  </si>
  <si>
    <t>YUSELYS ORTIZ RODRIGUEZ</t>
  </si>
  <si>
    <t xml:space="preserve">NACARI </t>
  </si>
  <si>
    <t>MIK SAYK PAZ GOMEZ</t>
  </si>
  <si>
    <t>BAILARIN LANA MARIA JOVITA</t>
  </si>
  <si>
    <t>MARSIRIS ESTRADA FERNANDEZ</t>
  </si>
  <si>
    <t>GONZALES SEGURO DANIEL</t>
  </si>
  <si>
    <t>DANIEL GARCIA</t>
  </si>
  <si>
    <t>PADILLA</t>
  </si>
  <si>
    <t xml:space="preserve">LEGARDA </t>
  </si>
  <si>
    <t>OSPINO MOSQUERA VALERIA</t>
  </si>
  <si>
    <t xml:space="preserve">TERMINACION DE CT </t>
  </si>
  <si>
    <t>NATALY OROZCO MELENDEZ</t>
  </si>
  <si>
    <t>MARIA DE LOS ANGELES GUERRERO</t>
  </si>
  <si>
    <t>AUXILIAR</t>
  </si>
  <si>
    <t>SAMUEL CASTRILLON AMAYA</t>
  </si>
  <si>
    <t>ANDRES FELIPE RODRIGUEZ ALVAREZ</t>
  </si>
  <si>
    <t>ANDREA CAROLINA VILLAREAL</t>
  </si>
  <si>
    <t>KIRA ESPERANZA RUIZ AYALA</t>
  </si>
  <si>
    <t>JEAN PAUL TAMAYO LOPEZ</t>
  </si>
  <si>
    <t>XAVI</t>
  </si>
  <si>
    <t>RAMOS LUGO WILLIAM GUILLERMO</t>
  </si>
  <si>
    <t>EDWIN DAVID CASALLAS GRISALES</t>
  </si>
  <si>
    <t xml:space="preserve">LUIS JEFERSON CORAL </t>
  </si>
  <si>
    <t>VARGAS CARRILLO YAN CARLOS</t>
  </si>
  <si>
    <t>APRENDIZ</t>
  </si>
  <si>
    <t>JUAN JOSE RENDON</t>
  </si>
  <si>
    <t>PEREZ PERNETH JOSE DAVID</t>
  </si>
  <si>
    <t>JEFE</t>
  </si>
  <si>
    <t>ALEJANDRO ZAPATA PEREZ</t>
  </si>
  <si>
    <t>SHIRLEY DEL CARMEN UPARELA</t>
  </si>
  <si>
    <t>SAMUEL MANJARREES POLO</t>
  </si>
  <si>
    <t>KELLI JHOANA BOLIVAR MONTERROZA</t>
  </si>
  <si>
    <t>YUSANDRYS DIAZ LARIOS</t>
  </si>
  <si>
    <t>LEGARDA</t>
  </si>
  <si>
    <t>MARIA JOSE TRESPALACIOS</t>
  </si>
  <si>
    <t>MARIA CAMILA ZULUAGA GIRALDO</t>
  </si>
  <si>
    <t>GOMEZ RENDON ANGIE VALENTINA</t>
  </si>
  <si>
    <t xml:space="preserve">PERFIL </t>
  </si>
  <si>
    <t>ELIAN DAVID ACOSTA YARURO</t>
  </si>
  <si>
    <t>GRAN PLAZA</t>
  </si>
  <si>
    <t>SARA POSADA HINCAPIE</t>
  </si>
  <si>
    <t>OJEDA VENTA EDILIA</t>
  </si>
  <si>
    <t>SALOME HENAO</t>
  </si>
  <si>
    <t>MURILLO BANQUEZ YENDRITH</t>
  </si>
  <si>
    <t>RENUNCIA</t>
  </si>
  <si>
    <t>JULIAN VALENCIA JARAMILLO</t>
  </si>
  <si>
    <t>FLORIDA 2</t>
  </si>
  <si>
    <t>GRANADOS CRUZ ROSMARY RAQUEL</t>
  </si>
  <si>
    <t>MARIA CRISITNA JARAMILLO PALACIO</t>
  </si>
  <si>
    <t>YARILUZ CHIQUINQUIRA ATENCIO</t>
  </si>
  <si>
    <t>YULY VALENCIA GARCIA</t>
  </si>
  <si>
    <t>SANTAFE</t>
  </si>
  <si>
    <t>YARBELIS SANMARTIN CASSIAN</t>
  </si>
  <si>
    <t>DIEGO DAVID LUGO PALOMINO</t>
  </si>
  <si>
    <t>ANDRES FELIPE DAZA RAMIREZ</t>
  </si>
  <si>
    <t>KAREN ANDREINA BRITO</t>
  </si>
  <si>
    <t>VIVA ENVIGADO</t>
  </si>
  <si>
    <t>BELLANILE PALACIOS MOSQUERA</t>
  </si>
  <si>
    <t>ADRIANA SANCHEZ</t>
  </si>
  <si>
    <t>JAIR ALEXANDER PAMPLOMA PATIÑO</t>
  </si>
  <si>
    <t>MARIA FERNANDA GARCIA  /APRENDIZ)</t>
  </si>
  <si>
    <t>EYNER</t>
  </si>
  <si>
    <t>MAYORCA 1</t>
  </si>
  <si>
    <t>CARMEN SOFIA DORIA REALES</t>
  </si>
  <si>
    <t>KEVIN ARCILA ALAVREZ</t>
  </si>
  <si>
    <t>YORLEIDYS PEÑATA HERRERA</t>
  </si>
  <si>
    <t>LUISA FERNANDA ORITZ</t>
  </si>
  <si>
    <t xml:space="preserve">LORENA JULIETH TORJADO </t>
  </si>
  <si>
    <t>ANDREA DEL PILAR LOAIZA</t>
  </si>
  <si>
    <t>DISTRITO VERA</t>
  </si>
  <si>
    <t>KAREN YANETH ANAYAT MARQUEZ</t>
  </si>
  <si>
    <t>BRYAN ERNESTO GUERRERO JAIME</t>
  </si>
  <si>
    <t>MARIA CAMILA ZULUAGA</t>
  </si>
  <si>
    <t>DELIS BERRIO SALAS</t>
  </si>
  <si>
    <t>BREINER YULIAN SANDOVAL</t>
  </si>
  <si>
    <t xml:space="preserve">TESORO </t>
  </si>
  <si>
    <t>MARIA JOSE NUÑEZ DE HORTA</t>
  </si>
  <si>
    <t>MARLENYS GONZALES GAMINARA</t>
  </si>
  <si>
    <t>ARCHILA ALVAREZ VICTOR HUGO</t>
  </si>
  <si>
    <t>JOHANA CHAVERRA ROMAÑA</t>
  </si>
  <si>
    <t>SUPERNUMERARIO</t>
  </si>
  <si>
    <t>LUZ MORELIA PIEDRAHITA CHAAVARRIA</t>
  </si>
  <si>
    <t>AVENTURA</t>
  </si>
  <si>
    <t>JUAN MANUEL GARCES MONTOYA</t>
  </si>
  <si>
    <t>MARIA VICTORIA SAENZ</t>
  </si>
  <si>
    <t>CAMILA AYALA</t>
  </si>
  <si>
    <t>INCAPACIDAD POR 30 DIAS</t>
  </si>
  <si>
    <t>LUZ MERY SALAZAR</t>
  </si>
  <si>
    <t xml:space="preserve">SAN DIEGO </t>
  </si>
  <si>
    <t>ANGEL MEZA</t>
  </si>
  <si>
    <t>GENESIS ROMERO HERNANDEZ</t>
  </si>
  <si>
    <t>LUISA MARIANA DIAZ DELGADO</t>
  </si>
  <si>
    <t>SANTIAGO BERRIO CARDENAS</t>
  </si>
  <si>
    <t>CARMEN BEATRIZ CAMARGO</t>
  </si>
  <si>
    <t>DUBAN VELEZ CHAVARRIA</t>
  </si>
  <si>
    <t>ADRIANA SANCHEZ QUINTERO</t>
  </si>
  <si>
    <t>SERGIO OROZCO OROZCO</t>
  </si>
  <si>
    <t>JOSE TERAN ROMERO</t>
  </si>
  <si>
    <t>CARLOS JULIO CHAVARRIA HERRERA</t>
  </si>
  <si>
    <t>LUISA FERNQANDA ORTIZ</t>
  </si>
  <si>
    <t>MARIA ALEJANDRA SOSA VERA</t>
  </si>
  <si>
    <t>ENVIGADO</t>
  </si>
  <si>
    <t>KAREN CORTES</t>
  </si>
  <si>
    <t xml:space="preserve">MARISELA BEDOYA GIL </t>
  </si>
  <si>
    <t>LAURELES</t>
  </si>
  <si>
    <t>EDWIN DAVID CASALLAS</t>
  </si>
  <si>
    <t>LUZ ESTHER MUÑOZ RAMOS</t>
  </si>
  <si>
    <t>MAY CANO</t>
  </si>
  <si>
    <t>JUAN DAVID EXPOSITO</t>
  </si>
  <si>
    <t>LUZ ELENA HUMANES LOPEZ</t>
  </si>
  <si>
    <t>SARA MANUELA RUIZ LEON</t>
  </si>
  <si>
    <t>MARIA FERNANDA BERRIO FUENTES</t>
  </si>
  <si>
    <t>DIEGO LUGO PALOMINO</t>
  </si>
  <si>
    <t>JOHANA VENESSA COTRINO</t>
  </si>
  <si>
    <t>ALEJANDRA MOLINA</t>
  </si>
  <si>
    <t>CARLOS DAVID BELLO GUZMAN</t>
  </si>
  <si>
    <t>LILIANA MARIA TORRES</t>
  </si>
  <si>
    <t>SANDRA MILENA POSADA GARCIA</t>
  </si>
  <si>
    <t>FEDERICO LOPEZ LOPEZ</t>
  </si>
  <si>
    <t>ALBA LUZ SALDARRIAGA</t>
  </si>
  <si>
    <t>FABRICATO</t>
  </si>
  <si>
    <t>YILSON JOSE YUGURI GRANDA</t>
  </si>
  <si>
    <t>RENUNC</t>
  </si>
  <si>
    <t>YEN ESTELA SIERRA GAMBOA</t>
  </si>
  <si>
    <t>GERALDIN OROZCO ALVAREZ</t>
  </si>
  <si>
    <t>FLORIDA 1</t>
  </si>
  <si>
    <t>SALCEDO HERNANDEZ MARIA EUGENIA</t>
  </si>
  <si>
    <t>SERGIO ALEJANDRO PATIÑO LOPERA</t>
  </si>
  <si>
    <t>JOHANA CABRERRA ROMANA</t>
  </si>
  <si>
    <t>ANA CRISTINA SALDARRIAGA</t>
  </si>
  <si>
    <t>ENEIRIS PATRICIA HERNANDEZ BUELVAS</t>
  </si>
  <si>
    <t>WENDY LORENA LOPEZ SANCHEZ</t>
  </si>
  <si>
    <t>YORJETH CAROLAIN PIANETA GONZALES</t>
  </si>
  <si>
    <t>KATTY LORENA GARCIA BARRANCO</t>
  </si>
  <si>
    <t>AGUEY ZAPATA EDELFE JOSE</t>
  </si>
  <si>
    <t>JEFE DE COCINA</t>
  </si>
  <si>
    <t>SHNEYDER APONTE VERGARA</t>
  </si>
  <si>
    <t>YOLIANNY HERNADEZ DIAZ</t>
  </si>
  <si>
    <t>NO PRORROGA</t>
  </si>
  <si>
    <t>LINA MARCELA RODRIGUEZ MUÑOZ</t>
  </si>
  <si>
    <t>PREMIUN PLAZA</t>
  </si>
  <si>
    <t>MK SAIK PAZ</t>
  </si>
  <si>
    <t xml:space="preserve">ANYELA MARCELA OROZCO ALVAREZ </t>
  </si>
  <si>
    <t>SNEYDER ANTONIO APONTE VERGARA</t>
  </si>
  <si>
    <t>LOAIDA CARDALES BERMUDEZ</t>
  </si>
  <si>
    <t>LOS MOLINOS</t>
  </si>
  <si>
    <t>MARRUGO OROZCO ALVAREZ</t>
  </si>
  <si>
    <t>VICTOR HUGO ARCHILA ALVAREZ</t>
  </si>
  <si>
    <t>GERALDINE OROZCO ALVAREZ</t>
  </si>
  <si>
    <t>MARIA CAMILA RODELO PEREZ</t>
  </si>
  <si>
    <t>SAMIR PEREA MOSQUERAA</t>
  </si>
  <si>
    <t xml:space="preserve">DERLY ANDREA PERFIL </t>
  </si>
  <si>
    <t>YERSON SAUL REY GOMEZ</t>
  </si>
  <si>
    <t>DANI FRANCO SALDARRIAGA</t>
  </si>
  <si>
    <t>JUAN CARLOS JARAMILLO</t>
  </si>
  <si>
    <t>ANYELA MARCELA OROZCO ALAVREZ</t>
  </si>
  <si>
    <t xml:space="preserve">ABRIL PORRAS SANCHEZ </t>
  </si>
  <si>
    <t>JUAN DIEGO RODRIGUEZ</t>
  </si>
  <si>
    <t>SUAREZ CORREA ANGIE PAOLA</t>
  </si>
  <si>
    <t>DIEGO ALEJANDRO LONDOÑO</t>
  </si>
  <si>
    <t>FLORIDA1</t>
  </si>
  <si>
    <t>VANESSA CASTAÑEDA ATEHORTUA</t>
  </si>
  <si>
    <t>UCROS REVUELTA JAHIR ANDRES</t>
  </si>
  <si>
    <t>FARID OSORIO GARAVITO</t>
  </si>
  <si>
    <t>VALENTINA CASTRILLON</t>
  </si>
  <si>
    <t>GENESIS ENCARNACION ROMERO HERNANDEZ</t>
  </si>
  <si>
    <t>MARYURIS RIOS OZUNA</t>
  </si>
  <si>
    <t>RAMIREZ MENDOZA DEYLER JOSE</t>
  </si>
  <si>
    <t>TRASLADO</t>
  </si>
  <si>
    <t>YORLEDYS DEL CARMEN BRAVO</t>
  </si>
  <si>
    <t>ANA CRISTINA PEREZ SALDARRIAGA</t>
  </si>
  <si>
    <t>JUAN SEBASTIAN DIAZ RESTREPO</t>
  </si>
  <si>
    <t>ARBOLEDA RODRIGUEZ MARIA PAULA</t>
  </si>
  <si>
    <t>LAURA VANESSA GONZALES SINISTERRA</t>
  </si>
  <si>
    <t>PUERTA DEL NORTE</t>
  </si>
  <si>
    <t>PEREZ NISPERUSA JUANA ESPERANZA</t>
  </si>
  <si>
    <t>CRISTIAN DAVID QUINTERO SANCHEZ</t>
  </si>
  <si>
    <t>LOIDA ESTHER CARDALES BERMUDEZ</t>
  </si>
  <si>
    <t>JUAN DAVID GONZALES RAMIREZ</t>
  </si>
  <si>
    <t>SAMIR PEREA MOSQUERA</t>
  </si>
  <si>
    <t>SANDRA PATRICIA MONSALVE</t>
  </si>
  <si>
    <t>LUZ MORELIA PIEDRAHITA CHAVARRIA</t>
  </si>
  <si>
    <t>PALACIOS ASPRILLA YANCY KARINA</t>
  </si>
  <si>
    <t>SANDY PAOLA DURANGO MARSIGILIA</t>
  </si>
  <si>
    <t>ROJASS GIRALDO CARLOS MAURICIO</t>
  </si>
  <si>
    <t>VERONICA ZAPATA VELEZ</t>
  </si>
  <si>
    <t>SARA PAULINA JARAMILLO SOSA</t>
  </si>
  <si>
    <t>JHON SEBASTIAN DAVID NAVALES</t>
  </si>
  <si>
    <t>JOHANA VANESSA COTRINO</t>
  </si>
  <si>
    <t>JOSE GREGORIO ZUÑIGA LOPEZ</t>
  </si>
  <si>
    <t>ARKADIA</t>
  </si>
  <si>
    <t>KEVIN ANDRES VELEZ QUICENO</t>
  </si>
  <si>
    <t>JULIAN DAVID HERNANDEZ CASTELLANOS</t>
  </si>
  <si>
    <t>PELUFO PAYARES LUISA FERNANDA</t>
  </si>
  <si>
    <t xml:space="preserve">YARBELIS SANMARTIN CASSIANI </t>
  </si>
  <si>
    <t>1606/2026</t>
  </si>
  <si>
    <t>OSPINA AMARILES SANTIAGO</t>
  </si>
  <si>
    <t>HEART W PARRA</t>
  </si>
  <si>
    <t>YERSON SAUL REY COMEN</t>
  </si>
  <si>
    <t>WILQUEL ALEJANDRO PARRA GONZALES</t>
  </si>
  <si>
    <t xml:space="preserve">LUISA FERNANDA MARTINEZ DAVID </t>
  </si>
  <si>
    <t>INCAPACIDAD LARGA</t>
  </si>
  <si>
    <t>LORENA ANDREA PADILLA ESTRADA</t>
  </si>
  <si>
    <t>KEVIN DARIO GRANADOS</t>
  </si>
  <si>
    <t>MORENO MOSQUERA YULY AIDE</t>
  </si>
  <si>
    <t>VIVIANA GONZALES</t>
  </si>
  <si>
    <t>ORTIZ RODRIGUEZ YUSELYS</t>
  </si>
  <si>
    <t>DIANA VICTORIA TOBON DE OSSA</t>
  </si>
  <si>
    <t>STEFANNY MUÑOZ ALVAREZ</t>
  </si>
  <si>
    <t>YOLIANNY HERNADEZ</t>
  </si>
  <si>
    <t>JULIAN ANDRES GIRALDO SOTO</t>
  </si>
  <si>
    <t>DUQUE</t>
  </si>
  <si>
    <t>ACUÑA NIDIAN MARIA</t>
  </si>
  <si>
    <t>YEIMER ANDRES ACOSTA</t>
  </si>
  <si>
    <t>MEJIA BALLESTEROS DRAIDY</t>
  </si>
  <si>
    <t>CLAUDIA ESPERANZA FLOREZ GONZALES</t>
  </si>
  <si>
    <t>KEVIN GRANADOS ARBOLEDA</t>
  </si>
  <si>
    <t>LOIZY JAILEN ARZUAGA VASQUEZ</t>
  </si>
  <si>
    <t>MARIA FERNANDA FUENTES</t>
  </si>
  <si>
    <t>SARA ANGULO</t>
  </si>
  <si>
    <t>YESICA ALEJANDRA MARTINEZ</t>
  </si>
  <si>
    <t>RENUCNIA</t>
  </si>
  <si>
    <t>LUISA FERNANDA GUERRA</t>
  </si>
  <si>
    <t>DOLLY MARIANA GUTIERREZ ROA</t>
  </si>
  <si>
    <t xml:space="preserve">DUQUE </t>
  </si>
  <si>
    <t>ACUÑA  NIDIAN MARIA</t>
  </si>
  <si>
    <t>WILL</t>
  </si>
  <si>
    <t>MEJIA BALLESTEROS DRAIDY YESELY</t>
  </si>
  <si>
    <t xml:space="preserve">KEVIN GRANADOS ARBOLEDA </t>
  </si>
  <si>
    <t xml:space="preserve">PADILLA </t>
  </si>
  <si>
    <t xml:space="preserve">MIGUEL ANGEL CASTAÑO </t>
  </si>
  <si>
    <t xml:space="preserve">VALENTINA CASTRILLON CALLE </t>
  </si>
  <si>
    <t xml:space="preserve">ANGIE </t>
  </si>
  <si>
    <t>JORDIN STEVEN RESTREPO PALENCIA</t>
  </si>
  <si>
    <t>CANDELO POSADA JAIRO ENRIQUE</t>
  </si>
  <si>
    <t xml:space="preserve">ALEXANDER PEREZ SAN MIGUEL </t>
  </si>
  <si>
    <t>LARGACHA ANDRADE KAREN</t>
  </si>
  <si>
    <t xml:space="preserve">YINETH NATALIA PIÑATES VALENCIA </t>
  </si>
  <si>
    <t xml:space="preserve">SUPERNUNERARIA </t>
  </si>
  <si>
    <t>ZEA CATAÑO KAREN SUSANA</t>
  </si>
  <si>
    <t>ANGIE PAOLA RAMIREZ MONTOYA</t>
  </si>
  <si>
    <t xml:space="preserve">YASITH LUZ HERRERA PEREZ </t>
  </si>
  <si>
    <t>JOHAN ANDRES GALINDO</t>
  </si>
  <si>
    <t>JOHEIDY MARIA PEREIRA</t>
  </si>
  <si>
    <t>ANDY VERGARA LAMBRAÑO</t>
  </si>
  <si>
    <t xml:space="preserve">JHON JAIRO BETANCUR LONDOÑO </t>
  </si>
  <si>
    <t>LUZ MARIANA GARCIA BENITEZ</t>
  </si>
  <si>
    <t>DIEGO ANDRES ALVAREZ DIAZ</t>
  </si>
  <si>
    <t>DANIELA BLANCO GONZALES</t>
  </si>
  <si>
    <t>ESTAFANIA GERALDIN PACHECO NAVARRO</t>
  </si>
  <si>
    <t xml:space="preserve">HEIDER MARTINEZ BLANCO </t>
  </si>
  <si>
    <t>HENAO ROJAS MARIANA</t>
  </si>
  <si>
    <t>EDILIA JOHANA PEREZ ESTRADA</t>
  </si>
  <si>
    <t>PALENCIA CAMICIOTTOLI YESENIA JOSEFINA</t>
  </si>
  <si>
    <t xml:space="preserve">LEIDY MARCELA GUITIERREZ VILLALOBOS </t>
  </si>
  <si>
    <t>CASTAÑEDA RENTERIA GISETH JOVANA</t>
  </si>
  <si>
    <t>SOFIA MARTINEZ NARVAEZ</t>
  </si>
  <si>
    <t>MARIA JASLEY MONTOYAMONSALVE</t>
  </si>
  <si>
    <t>NEYLIS DIAZ</t>
  </si>
  <si>
    <t>30/02/2026</t>
  </si>
  <si>
    <t>UNICENTRO</t>
  </si>
  <si>
    <t>YOHORDIS MANUEL TEHERAN ACUÑA</t>
  </si>
  <si>
    <t>FLOR YOLETH INFANTE</t>
  </si>
  <si>
    <t>CONTRERAS ESCALANTE ANDREA STEFHANYA</t>
  </si>
  <si>
    <t xml:space="preserve">SILVANA CAMACHO </t>
  </si>
  <si>
    <t>MARIOS ORTIZ JARIZEL</t>
  </si>
  <si>
    <t>LUISA FERNANDA GOMEZ MURILLO</t>
  </si>
  <si>
    <t>CASTILLO RAMOS LESLI JHOJARA</t>
  </si>
  <si>
    <t>ERICA PAOLA JARAMILLO</t>
  </si>
  <si>
    <t>LUISA FERNANDA ARBELAEZ</t>
  </si>
  <si>
    <t>SUGEIDIS RAMIREZ</t>
  </si>
  <si>
    <t>FABIO ANDRES MEJIA MEJIA</t>
  </si>
  <si>
    <t>MAYERLIS HERNANDEZ</t>
  </si>
  <si>
    <t>SANDY RESTAN MARTINEZ</t>
  </si>
  <si>
    <t>YINETH NATALIA PIÑATES VALENCIA</t>
  </si>
  <si>
    <t>MATEO TORRES CASTRILLON</t>
  </si>
  <si>
    <t>DAHIANA BUSTAMANTE</t>
  </si>
  <si>
    <t>ANYI PAOLA BEJARAN</t>
  </si>
  <si>
    <t>SAN NICOLAS</t>
  </si>
  <si>
    <t>ISABELA NEGRETE SANCHEZ</t>
  </si>
  <si>
    <t>JESSICA ALEJANDRA FLOREZ</t>
  </si>
  <si>
    <t>MIGUEL JACOME</t>
  </si>
  <si>
    <t>LINDA KAROLAY POLO ZABALETA</t>
  </si>
  <si>
    <t>JOHAN GALINDO</t>
  </si>
  <si>
    <t>MARIANA HERNANDEZ CARDONA</t>
  </si>
  <si>
    <t>JHON ALEXIS GALVIS ARIAS</t>
  </si>
  <si>
    <t xml:space="preserve">RUA OCAMPO LIZETH DANIELA </t>
  </si>
  <si>
    <t>RODRIGUEZ GOMEZ NERLYS ANDREA</t>
  </si>
  <si>
    <t>ALEJANDRA RINCON RIOS</t>
  </si>
  <si>
    <t>JESSICA ALEJANDRA FLOREZ BERNAL</t>
  </si>
  <si>
    <t>CLARIBEL DEL VALLE PETRO</t>
  </si>
  <si>
    <t>YAINI VALERIA RUEDA MUÑOZ</t>
  </si>
  <si>
    <t>EDIXON ANTONIO CAMPOS FLORES</t>
  </si>
  <si>
    <t>HERNANDEZ OVIEDO MISAEL ROLANDO</t>
  </si>
  <si>
    <t>JUAN JOSE RODRIGUEZ GARCIA</t>
  </si>
  <si>
    <t>RENDON MUÑOZ KATHERINE</t>
  </si>
  <si>
    <t>CAJERO</t>
  </si>
  <si>
    <t>JULIANA VALERA GOMEZ</t>
  </si>
  <si>
    <t>LEIDY MARCELA GUITIERREZ VILLALOBOS</t>
  </si>
  <si>
    <t>KAREN DAYANA ACOSTA BOHORQUEZ</t>
  </si>
  <si>
    <t>ELIDIA JOHANA PEREZ ESTRADA</t>
  </si>
  <si>
    <t>YOSELIN MARCELA NAVARRO</t>
  </si>
  <si>
    <t>DANIELA LIZETH RUA OCAMPO</t>
  </si>
  <si>
    <t>MELISSA MARCELA AATENCIA</t>
  </si>
  <si>
    <t>LUZ CORREA MIRANDA</t>
  </si>
  <si>
    <t>SARA GALEANO</t>
  </si>
  <si>
    <t>DANNI LONDOÑO</t>
  </si>
  <si>
    <t>ALEX AHMAD GALEANO</t>
  </si>
  <si>
    <t>PINO SANTOS ALBA MARIA</t>
  </si>
  <si>
    <t>MARICELA RUIZ RAMOS</t>
  </si>
  <si>
    <t>JUAN SEBASTIAN BELTRAN URIBE</t>
  </si>
  <si>
    <t>KARLA SALCEDO</t>
  </si>
  <si>
    <t>GOMEZ RENTERIA YAKELINE</t>
  </si>
  <si>
    <t>LEIDY AMAYA CORDOBA</t>
  </si>
  <si>
    <t>YEIMER HARLEY ROJAS GOMEZ</t>
  </si>
  <si>
    <t>EDIXON ANTONIO CAMPO FLORES</t>
  </si>
  <si>
    <t>JULIO CESAR PATIO ZAPATA</t>
  </si>
  <si>
    <t>PAULA ANDREA URREGO SANCHEZ</t>
  </si>
  <si>
    <t>KEVIN DAVID ALDANA RESTREPO</t>
  </si>
  <si>
    <t>LEIDY MILENA AMAYA CORDOBA</t>
  </si>
  <si>
    <t xml:space="preserve">VALERIA MARCELA GARCES </t>
  </si>
  <si>
    <t>GOMEZ JARAMILLO SANTIAGO</t>
  </si>
  <si>
    <t>FLORIDA2</t>
  </si>
  <si>
    <t>PETRO RONDON CLARIBEL DEL VALLE</t>
  </si>
  <si>
    <t>GALEA HERNANDEZ MIGUEL ANGEL</t>
  </si>
  <si>
    <t>KARLA MARIA SALCEDO CARREÑO</t>
  </si>
  <si>
    <t>CIRO ALZATE SARA VANESSA</t>
  </si>
  <si>
    <t>YULIANA MOSQIERA MOSQUERA</t>
  </si>
  <si>
    <t>ROSELYN VALERO DE LOPEZ</t>
  </si>
  <si>
    <t>ANDRES FELIPE RODRIGUEZ</t>
  </si>
  <si>
    <r>
      <rPr>
        <sz val="11"/>
        <color rgb="FF000000"/>
        <rFont val="Calibri"/>
      </rPr>
      <t xml:space="preserve">BASTIDAS KLEVER YUSMELIS DEL CARMEN
</t>
    </r>
    <r>
      <rPr>
        <sz val="11"/>
        <color rgb="FF000000"/>
        <rFont val="Calibri"/>
      </rPr>
      <t xml:space="preserve">
</t>
    </r>
  </si>
  <si>
    <t>LILIANA GUILLEN FUENTES</t>
  </si>
  <si>
    <t xml:space="preserve">SAN NICOLAS </t>
  </si>
  <si>
    <t>BASTIDAS KLEVER YUSMELIS DEL CARMEN</t>
  </si>
  <si>
    <t>EDINSON JAVIER VILORIA</t>
  </si>
  <si>
    <t>Rafael Humberto Echeverri Cerón</t>
  </si>
  <si>
    <t xml:space="preserve">JUAN CARLOS ZAPATA MARIN  </t>
  </si>
  <si>
    <t>Isabela Negrete Sanchez</t>
  </si>
  <si>
    <t>VERA ATENCIA ANAHYS PAOLA</t>
  </si>
  <si>
    <t>GENESIS GOMEZ</t>
  </si>
  <si>
    <t>?</t>
  </si>
  <si>
    <t>ALEXANDRA PINT</t>
  </si>
  <si>
    <t>JEISON JAVIER VILORA</t>
  </si>
  <si>
    <t>MATEO PINEDA</t>
  </si>
  <si>
    <t>MARIA ISABEL GUARIN</t>
  </si>
  <si>
    <t>TERMINACION DE CT</t>
  </si>
  <si>
    <t>NEYELI ANDREA PITALUA CARO</t>
  </si>
  <si>
    <t>RODRIGUEZ TALERO EDITH YOHANNA</t>
  </si>
  <si>
    <t>AUXILIAR DE COCINA-TIEMPOS</t>
  </si>
  <si>
    <t>RAFAEL HUMBERTO TALERO</t>
  </si>
  <si>
    <t>GEIDYS KARINA GARRIDO CARO</t>
  </si>
  <si>
    <t>TATIANA SALCEDO BRICEÑO</t>
  </si>
  <si>
    <t>ISABELA NEGRETE</t>
  </si>
  <si>
    <t>Dario cobaleda rodriguez</t>
  </si>
  <si>
    <t>LILIANA GUILLEN</t>
  </si>
  <si>
    <t>APARTIR DEL 12-05-2026</t>
  </si>
  <si>
    <t>Jose David Chacón Marín</t>
  </si>
  <si>
    <t>SUPERNUMERARIO DE SERVICIO</t>
  </si>
  <si>
    <t>DENIS BLANCO</t>
  </si>
  <si>
    <t>Nicolás Esteban Arteaga Madrid</t>
  </si>
  <si>
    <t>MAYRIN RUIZ</t>
  </si>
  <si>
    <t>NO PRROGA DE CAJERA</t>
  </si>
  <si>
    <t>Cruz Maria Fernandez Hernandez</t>
  </si>
  <si>
    <t>ALEZANDRA PINTO FLOREZ</t>
  </si>
  <si>
    <t>JUAN DIEGO GABALO</t>
  </si>
  <si>
    <t>ELIZABETH VALENTINA BERRIO BEDOYA</t>
  </si>
  <si>
    <t>JOSE DAVID CHACON</t>
  </si>
  <si>
    <t>LIDER DE COCINA</t>
  </si>
  <si>
    <t>YEISON LUIS</t>
  </si>
  <si>
    <t>LIDER</t>
  </si>
  <si>
    <t>PERSONA APROBADA POR JUAN</t>
  </si>
  <si>
    <t>OBSERVACION</t>
  </si>
  <si>
    <t>PEÑA LOPEZ SERGIO NICOLAS</t>
  </si>
  <si>
    <t xml:space="preserve">AUXILIAR DE COCINA </t>
  </si>
  <si>
    <t xml:space="preserve">CONTRATADO </t>
  </si>
  <si>
    <t>SEBASTIAN</t>
  </si>
  <si>
    <t>HORTAS VANEGAS VALENTINA</t>
  </si>
  <si>
    <t>ROJAS ORTIZ LINDA STEFANY</t>
  </si>
  <si>
    <t>JESUS</t>
  </si>
  <si>
    <t>LOZANO GAITAN JULIAN ESTID</t>
  </si>
  <si>
    <t xml:space="preserve">RODRIGUEZ MENDIVELSO ALAN </t>
  </si>
  <si>
    <t>TITAN</t>
  </si>
  <si>
    <t>USTARIZ SAURITH YESITH PAOLA</t>
  </si>
  <si>
    <t>MONTALVO ZAMBRANO CARLOS ANTONIO</t>
  </si>
  <si>
    <t xml:space="preserve">SEBASTIAN </t>
  </si>
  <si>
    <t xml:space="preserve">GAITAN SEDANO BRAYAN EDILSON </t>
  </si>
  <si>
    <t>SEVERICHE CHICA JAIRIS</t>
  </si>
  <si>
    <t xml:space="preserve">SORIANO CADENA ALEJANDRO 
</t>
  </si>
  <si>
    <t>HORTA CARRILLO SAMIR  ENRIQUE</t>
  </si>
  <si>
    <t>ROSAS JUAN ESTEBAN</t>
  </si>
  <si>
    <t xml:space="preserve">TRES PALACIOS JUAN CAMILO </t>
  </si>
  <si>
    <t>CORTES RIVERA YEYNNE JOHANNA</t>
  </si>
  <si>
    <t>VIRGUEZ SUAREZ YEISON ALEXANDER</t>
  </si>
  <si>
    <t>MEJIA BURGOS ENIRLEYDIS</t>
  </si>
  <si>
    <t>SANTA AGUDELO CARLOS ALBERTO</t>
  </si>
  <si>
    <t>ORTEGA OSORIO LEONARDO JOSE</t>
  </si>
  <si>
    <t xml:space="preserve">OLIVARES PEREZ LUIS JOSE </t>
  </si>
  <si>
    <t>CACERES PERDOMO LEIDY CARLINA</t>
  </si>
  <si>
    <t>ROMERO BERRIO YARELIS BEATRIZ</t>
  </si>
  <si>
    <t>DOMINGUEZ FRIA YIBRAN JOSE</t>
  </si>
  <si>
    <t>WANDURRUAGA REYES  MARIO ALEJANDRO</t>
  </si>
  <si>
    <t xml:space="preserve">PEÑA RUIZ MARIA GABRIELA </t>
  </si>
  <si>
    <t>CENTRO MAYOR</t>
  </si>
  <si>
    <t>TRESPALACIOS GARCIA JUAN DAVID</t>
  </si>
  <si>
    <t>NORIEGA ALVAREZ AUREN FELIPE</t>
  </si>
  <si>
    <t>CAMACHO HERRERA DIEGO MARIO</t>
  </si>
  <si>
    <t>PICON TORRES HILMER</t>
  </si>
  <si>
    <t>BACKUP</t>
  </si>
  <si>
    <t>MOLINA PEREZ HAROLD JUNIOR</t>
  </si>
  <si>
    <t xml:space="preserve">SOLANO GUERRERO MAYERLYN VIRGINIA </t>
  </si>
  <si>
    <t xml:space="preserve">AUXILIAR DE SERVICIO </t>
  </si>
  <si>
    <t>DURAN TOVAR MARIA ANGELICA</t>
  </si>
  <si>
    <t xml:space="preserve">LOPEZ RAMIREZ DUBAN </t>
  </si>
  <si>
    <t>ESCOBAR ITURRIAGO DAVID</t>
  </si>
  <si>
    <t>MURIEL RODRIGUEZ JEFERSSON MURIEL</t>
  </si>
  <si>
    <t xml:space="preserve">LLERENE NEGRETE ASHLY CAROLINA </t>
  </si>
  <si>
    <t>LOPEZ RAMIREZ DUBAN</t>
  </si>
  <si>
    <t>ACOSTA FERNANDDEZ MICHEL ALBERTO</t>
  </si>
  <si>
    <t>CASTRO BRAVO HEIDY ANDREA</t>
  </si>
  <si>
    <t>APONTE MADERA LUIS MIGUEL</t>
  </si>
  <si>
    <t xml:space="preserve">CORTES GONZALEZ CRISTIAN DE JESUS </t>
  </si>
  <si>
    <t xml:space="preserve">VIVAS SANEZ JUAN SEBASTIAN </t>
  </si>
  <si>
    <t>FONTALVO CAPELA CALEB DAVID</t>
  </si>
  <si>
    <t>CAMILA ANDREA DEL VALLE POMBO</t>
  </si>
  <si>
    <t>ORTEGA DIAZ YENI PAOLA</t>
  </si>
  <si>
    <t>BACKUP APROBADA DE SERVICIO (+)</t>
  </si>
  <si>
    <t>GAMBINO GUIZA SANTIAGO</t>
  </si>
  <si>
    <t xml:space="preserve">PRADA CHAPARRO BEIDY LORENA </t>
  </si>
  <si>
    <t>COLINA</t>
  </si>
  <si>
    <t>GUARIN RAMIREZ LAIDY JOHANA</t>
  </si>
  <si>
    <t xml:space="preserve">SALAZAR AGUAS JULISA PAOLA </t>
  </si>
  <si>
    <t>RUIZ RAMOS MARINELA (TRASLADO)</t>
  </si>
  <si>
    <t>MARTINEZ QUINTERO GEIDIS</t>
  </si>
  <si>
    <t>HOYOS HIMITOLA VICTOR DANILO</t>
  </si>
  <si>
    <t>SUAREZ VELASQUEZ RAUL ANDRES</t>
  </si>
  <si>
    <t xml:space="preserve">QUIROZ BOLIVAR JOSE MIGUEL </t>
  </si>
  <si>
    <t>MAULETH CRUZ  YINETH PAOLA</t>
  </si>
  <si>
    <t>VALENCIA GONZALEZ TATIANA</t>
  </si>
  <si>
    <t>PEREZ BLANCO ARIEL JOSE</t>
  </si>
  <si>
    <t>PUERTAS RAMIREZ VIVERLIS JOVANA</t>
  </si>
  <si>
    <t xml:space="preserve">GRANADOS CERVERA ROSA ANGELICA </t>
  </si>
  <si>
    <t xml:space="preserve">SOTO AYALA  JUAN CARLOS </t>
  </si>
  <si>
    <t>QUIROZ OROZCO  ANA MARIA</t>
  </si>
  <si>
    <t>PACHECO MENDOZA YESICA MILENA</t>
  </si>
  <si>
    <t>BUELVAS MADERA YURANIS YOENIS</t>
  </si>
  <si>
    <t>RODRIGUEZ GARCIA DANNA VALENTINA</t>
  </si>
  <si>
    <t>ZAPATA CAICEDO MARI LUZ</t>
  </si>
  <si>
    <t>PEÑA VALDES JHON JAIDER</t>
  </si>
  <si>
    <t xml:space="preserve">DE LA ROSA RAMIREZ SANDRA PATRICIA </t>
  </si>
  <si>
    <t>MARTINEZ QUINTERO YETHMY YOLINA</t>
  </si>
  <si>
    <t xml:space="preserve">OSPINO FLOREZ CARMEN BELISA </t>
  </si>
  <si>
    <t>GUERRERO GOMEZ JESUS ANTONIO</t>
  </si>
  <si>
    <t>CAMARGO ARIAS CRISTIAN DAVID</t>
  </si>
  <si>
    <t>ALTAMAR MARTINEZ RAUL FERNANDO</t>
  </si>
  <si>
    <t>MELO LADINO JULIAN DAVID</t>
  </si>
  <si>
    <t xml:space="preserve">DEL VALLE POMBO FABIANA ANDREA </t>
  </si>
  <si>
    <t>MURIEL RODRIGUEZ JEINNER DUVAN</t>
  </si>
  <si>
    <t>MULETH CRUZ  YINETH PAOLA</t>
  </si>
  <si>
    <t>LUGO COLINA ANA GABRIELA</t>
  </si>
  <si>
    <t xml:space="preserve">ORTEGA DIAZ YENI PAOLA </t>
  </si>
  <si>
    <t xml:space="preserve">MERCADO ARRIETA JOSSEPH DAVID </t>
  </si>
  <si>
    <t>BONILLA BASTIDAS SHIRLEY DANIELA</t>
  </si>
  <si>
    <t>GRAN ESTACION</t>
  </si>
  <si>
    <t xml:space="preserve">LOPERA CRUZ DANIEL FELIPE </t>
  </si>
  <si>
    <t>GONZALEZ VARGAS PAOLA ANDREA</t>
  </si>
  <si>
    <t>MENDOZA HERRERA DAYANA</t>
  </si>
  <si>
    <t>JIMENEZ HERNANDEZ JORGE DANIEL</t>
  </si>
  <si>
    <t>RODRIGUEZ PARRA LUIS CARLOS</t>
  </si>
  <si>
    <t>QUIROZ BOLIVAR JOSE MIGUEL</t>
  </si>
  <si>
    <t xml:space="preserve">NICOLL DANIELA GONZÁLEZ AHUMADA </t>
  </si>
  <si>
    <t>MARTINEZ FLOREZ YUDIS SAMIRA</t>
  </si>
  <si>
    <t>LLANOS SOLANO YIRETH PATRICIA</t>
  </si>
  <si>
    <t>CONSUEGRA SIERRA JHON STEVEN</t>
  </si>
  <si>
    <t xml:space="preserve">RAMIREZ VELASQUES SOL DANIELA </t>
  </si>
  <si>
    <t xml:space="preserve">CASTILLA BECERRA JUAN CAMILO </t>
  </si>
  <si>
    <t>ROMERO OSPINO LIZETH CAROLINA</t>
  </si>
  <si>
    <t>HERNANDEZ GALVIS JOSE DANIEL</t>
  </si>
  <si>
    <t>ARIZA NISPERUZA JOSE ARMANDO</t>
  </si>
  <si>
    <t>ANDRADE GALEANO DANNA VANESSA</t>
  </si>
  <si>
    <t>NIETO PRIETO INGRID JULIETH</t>
  </si>
  <si>
    <t>AVILA HORTUA DIANA MAYERLY</t>
  </si>
  <si>
    <t xml:space="preserve">CARDONA CASTILLO JUAN MANUEL </t>
  </si>
  <si>
    <t>SEDAS AGUILLON YEIMI ANDREA</t>
  </si>
  <si>
    <t>VARGAS QUIROGA DAVID SANTIAGO</t>
  </si>
  <si>
    <t>BARRIOS BARRIOS DIGNA KATIUSKA</t>
  </si>
  <si>
    <t>BENAVIDES VALENCIA JONATHAN DAVID</t>
  </si>
  <si>
    <t xml:space="preserve">MENDEZ ARROYO JUAN CARLOS </t>
  </si>
  <si>
    <t xml:space="preserve">REVELO ROSERO JUAN JOSE </t>
  </si>
  <si>
    <t xml:space="preserve">HERNANDEZ BERNATES NATALIA ANDREA </t>
  </si>
  <si>
    <t>PEÑA VALERO JHON EDISON</t>
  </si>
  <si>
    <t>CEBALLOS LEIDY JOHANA</t>
  </si>
  <si>
    <t>LOZANO AMEZQUITA LISBETH</t>
  </si>
  <si>
    <t xml:space="preserve">DE LA HOZ PERILLA VERUSKA ELVIRA </t>
  </si>
  <si>
    <t>SUAREZ MOGOLLON CRISTIAN CAMILO</t>
  </si>
  <si>
    <t>ALVAREZ CALDERON KAREN ALESKA</t>
  </si>
  <si>
    <t>FORERO CHACON LUIS FERNANDO</t>
  </si>
  <si>
    <t>LICENCIA MATERNIDAD</t>
  </si>
  <si>
    <t>CASTILLO ROJAS INGRID JOHANNA</t>
  </si>
  <si>
    <t>RODRIGUEZ VARGAS LEIDY YULIETH</t>
  </si>
  <si>
    <t>CARRASCAL MEJIA ANDREINA</t>
  </si>
  <si>
    <t>PERTUZ ARIAS ADRIANA LUCIA</t>
  </si>
  <si>
    <t xml:space="preserve">MENDOZA VILLALBA  JUAN CARLOS </t>
  </si>
  <si>
    <t xml:space="preserve">GAMEZ RODRIGUEZ RICARDO </t>
  </si>
  <si>
    <t>BELTRAN RAMOS JULIAN ANDRES</t>
  </si>
  <si>
    <t>NUEVO PDV</t>
  </si>
  <si>
    <t xml:space="preserve">NUEVO PUNTO </t>
  </si>
  <si>
    <t>CHACON SOLANO DI STEFANO</t>
  </si>
  <si>
    <t>PDV SALITRE</t>
  </si>
  <si>
    <t xml:space="preserve">ORTIZ MOLINA ALBERTO RAFAEL </t>
  </si>
  <si>
    <t>LOAIZA PEREZ JENNY PAOLA</t>
  </si>
  <si>
    <t>ZUÑIGA CAMPO YASLEIDIS</t>
  </si>
  <si>
    <t>RONCANCIO GUTIERREZ JEFFREYSTIVEN</t>
  </si>
  <si>
    <t xml:space="preserve">ESTUPIÑAN PEÑUELA  MAYCOL DANIEL </t>
  </si>
  <si>
    <t>GOMEZ PEREZ DALLYS NAYELIS</t>
  </si>
  <si>
    <t>CIFUENTES MENDEZ CAROL YINETH</t>
  </si>
  <si>
    <t xml:space="preserve">ROJAS VALENCIA ROBERTO CARLOS </t>
  </si>
  <si>
    <t>MORENO AVELLA DIEGO DAVID</t>
  </si>
  <si>
    <t>BOTON GARCIA EDWIN ANDRES</t>
  </si>
  <si>
    <t>RUIZ RODRIGUEZ NICOLE VANESSA</t>
  </si>
  <si>
    <t>PLAZA CENTRAL</t>
  </si>
  <si>
    <t>MEDINA CASTIBLANCO ANGIE VIVIANA</t>
  </si>
  <si>
    <t>HERRERA COHECHA VIVIANA KATHERINE</t>
  </si>
  <si>
    <t>ALONSO BRICEÑO LEIDY XIMENA</t>
  </si>
  <si>
    <t>ORTIZ SANCHEZ DIANA YINED</t>
  </si>
  <si>
    <t>PLAZA DE LAS AMERICAS</t>
  </si>
  <si>
    <t>GONZALEZ DIAZ CATERIN</t>
  </si>
  <si>
    <t>ABRIL AVELLANEDA CAMILO ERNESTO</t>
  </si>
  <si>
    <t xml:space="preserve">NAVARRO ACUÑA ANA MARIA </t>
  </si>
  <si>
    <t>MURIEL RODRIGUEZ JEFERSSON FARID</t>
  </si>
  <si>
    <t>RENDON CARMONA ANZISAR</t>
  </si>
  <si>
    <t xml:space="preserve">GALINDO ZULLY ANDREA </t>
  </si>
  <si>
    <t>MORENO CHIQUILLO DEISY MARIA</t>
  </si>
  <si>
    <t>BARRETO TAPIAS MARIA ANDREA</t>
  </si>
  <si>
    <t xml:space="preserve">TORRES BORRERO IVONNE NATALIA </t>
  </si>
  <si>
    <t xml:space="preserve">HERNANDEZ CARRILLO JONATHAN ENRIQUE </t>
  </si>
  <si>
    <t>HERNANDEZ BASTARDO ESTEFANO EDUARDO</t>
  </si>
  <si>
    <t>Se cumple pero por temas de dotacion ingresan 8 dias despues, aparte de ser reportados mucho dias despues por administrador</t>
  </si>
  <si>
    <t>LOPEZ TOQUICA LUIS JOSUE</t>
  </si>
  <si>
    <t xml:space="preserve">BELEÑO CAICEDO JHONATAN  DAVID </t>
  </si>
  <si>
    <t xml:space="preserve">RODRIGUEZ CASTILLO MARTA CATALINA </t>
  </si>
  <si>
    <t xml:space="preserve">GUANARES DANIEL CARMEN MARIA </t>
  </si>
  <si>
    <t>ESCALANTE LEON ANDREA CAROLINA</t>
  </si>
  <si>
    <t xml:space="preserve">ARAUJO SANTOS JOSE FERNANDO </t>
  </si>
  <si>
    <t xml:space="preserve">PLAZA DE LAS AMERICAS </t>
  </si>
  <si>
    <t xml:space="preserve">PINZON AVILA DANIEL CAMILO </t>
  </si>
  <si>
    <t>VILLEGAS CARRILLO CARMEN ALEJANDRA</t>
  </si>
  <si>
    <t>SUBERO FIGUEROA ROSANGEL MARIA</t>
  </si>
  <si>
    <t>DURAN VERA JUAN ANDRES</t>
  </si>
  <si>
    <t>SUAREZ PULIDO MEGAN SOFIA</t>
  </si>
  <si>
    <t>MELENDEZ PEÑALOZA KENDRIS PAOLA</t>
  </si>
  <si>
    <t>ESCOBAR MONTERO ANYELA MERCEDES</t>
  </si>
  <si>
    <t>RIASCOS OLMEDO BEATRIZ</t>
  </si>
  <si>
    <t xml:space="preserve">AGUIAR ARBELAEZ NEVER ANDRES </t>
  </si>
  <si>
    <t>SOLIS RAMOS MARIA ISODENIS</t>
  </si>
  <si>
    <t xml:space="preserve">RODRIGUEZ SAAVEDRA JOSE LUIS </t>
  </si>
  <si>
    <t>RONCANCIO GUTIERREZ JEFREY STIVEN</t>
  </si>
  <si>
    <t xml:space="preserve">OROZCO QUINTERO ANDERSON DANILO </t>
  </si>
  <si>
    <t xml:space="preserve">BOLIVAR LOPEZ NIKOL ALEJANDRA </t>
  </si>
  <si>
    <t>LEGUIZAMON ACOSTA CAMILO ANDRES</t>
  </si>
  <si>
    <t>GALEANO DIAZ EDNA ROCIO</t>
  </si>
  <si>
    <t xml:space="preserve">se cumple pero por dotacion se estan ingresando 8 dias despues </t>
  </si>
  <si>
    <t>BARRIOS PEREZ SIMON ANDRES</t>
  </si>
  <si>
    <t>PEÑALOZA SUAREZ VIVIANA CAROLINA</t>
  </si>
  <si>
    <t xml:space="preserve">CORREA DE ARCO ELIANA MARGARITA </t>
  </si>
  <si>
    <t xml:space="preserve">RAMÍREZ ÁLVAREZ JUNIOR DANIEL  </t>
  </si>
  <si>
    <t>MARIMON DIAZ BRAYAN ANDRES</t>
  </si>
  <si>
    <t xml:space="preserve">MENDOZA MORALES KARLA ESTEFANIA </t>
  </si>
  <si>
    <t xml:space="preserve">PACHON RAMOS DAYANA PAOLA </t>
  </si>
  <si>
    <t>ARANGO MOSQUERA JHON DANNY</t>
  </si>
  <si>
    <t>CANTILLO PERALTA IRINA PAOLA</t>
  </si>
  <si>
    <t>MARTINEZ RODRIGUEZ BLANCA CECILIA</t>
  </si>
  <si>
    <t>SANTA CARLOS ALBERTO</t>
  </si>
  <si>
    <t xml:space="preserve">MARQUEZ LARA JULIETH </t>
  </si>
  <si>
    <t>CORTES SUAREZ GREINS DAMARIS</t>
  </si>
  <si>
    <t>PINEDA PINEDA RUTH JULIANA</t>
  </si>
  <si>
    <t>VALBUENA RINCON  JUAN SEBASTIAN</t>
  </si>
  <si>
    <t>IZASA LOPEZ LINA PAOLA</t>
  </si>
  <si>
    <t>MARTINEZ BRACAMONTE ESTEFANIA</t>
  </si>
  <si>
    <t>VIAFARA QUINTERO GERALDINE</t>
  </si>
  <si>
    <t xml:space="preserve">LARA BUSTAMANTE AURA CECILIA </t>
  </si>
  <si>
    <t xml:space="preserve">Temas de dotacion </t>
  </si>
  <si>
    <t xml:space="preserve">ANAYA FANCO CAMILA </t>
  </si>
  <si>
    <t>ACOSTA FERNANDEZ MICHEL ALBERTO</t>
  </si>
  <si>
    <t>PENAGOS HEREDIA KEVIN DAVID</t>
  </si>
  <si>
    <t>LIDER DE COCINA JUNIOR</t>
  </si>
  <si>
    <t>ORTEGA LOZANO VICTOR DANILO</t>
  </si>
  <si>
    <t xml:space="preserve">BETANCOURT VEGA JAMES </t>
  </si>
  <si>
    <t>LARA ROJAS SANDI PATRICIA</t>
  </si>
  <si>
    <t xml:space="preserve">CUADRO UBAQUE YOMARA  KARINA </t>
  </si>
  <si>
    <t>CAAMAÑO VILLALOBOS ELVIS JUNIOR</t>
  </si>
  <si>
    <t>OCHOA MATAPI MICHEL XIOMARA</t>
  </si>
  <si>
    <t xml:space="preserve">PISCIOTTI RIVERA LILIANA DE JESUS </t>
  </si>
  <si>
    <t>PATERNINA GUERRERO ALMA ESTHER</t>
  </si>
  <si>
    <t>RODRIGUEZ QUIMBAYO WILMER HERNAN</t>
  </si>
  <si>
    <t>SALGADO MATOS YORLEDIS</t>
  </si>
  <si>
    <t>ALEMAN BARRAGAN KELLY JHOANNA</t>
  </si>
  <si>
    <t xml:space="preserve">BERNAL LOPEZ ELIANA CAMILA </t>
  </si>
  <si>
    <t>LOPEZ MEZA ANGELICA JULIETH</t>
  </si>
  <si>
    <t>SANABRIA RIAÑO MARIA PAULA</t>
  </si>
  <si>
    <t>MENDOZA TORRES JENNY JULIETH</t>
  </si>
  <si>
    <t xml:space="preserve">PARDO DE AVILA JOSE ABEL </t>
  </si>
  <si>
    <t xml:space="preserve">HERNANDEZ BERNAL YULI PAOLA </t>
  </si>
  <si>
    <t xml:space="preserve">PEREZ YESSICA PAOLA </t>
  </si>
  <si>
    <t>PEREZ RADA NATALY MARCELA</t>
  </si>
  <si>
    <t>HOYOS IMITOLA VICTOR DANILO</t>
  </si>
  <si>
    <t>RAMIREZ RONDON JAIME JOSE</t>
  </si>
  <si>
    <t>ORDOÑEZ VALENCIA WENDY SARAY</t>
  </si>
  <si>
    <t xml:space="preserve">EN PROCEOS </t>
  </si>
  <si>
    <t>SANDRA MILENA PIÑERES VALDES</t>
  </si>
  <si>
    <t>BARRANQUILLA</t>
  </si>
  <si>
    <t>Yerling Rodríguez</t>
  </si>
  <si>
    <t>DUVIS MARGARITA VANEGAS CANTILLO</t>
  </si>
  <si>
    <t>YESICA</t>
  </si>
  <si>
    <t>HAROL MOLINA</t>
  </si>
  <si>
    <t>YENIFER DEL CARMEN</t>
  </si>
  <si>
    <t>Estefani Carrioni</t>
  </si>
  <si>
    <t>INCAPACIDAD DE CAJERA</t>
  </si>
  <si>
    <t xml:space="preserve">Melisa Paola insignares castro </t>
  </si>
  <si>
    <t>FALTANTE DE COCINA</t>
  </si>
  <si>
    <t>BUENAVISTA</t>
  </si>
  <si>
    <t>KINWERLIS ESTEFANIA</t>
  </si>
  <si>
    <t>VICTOR HUGO RODRÍGUEZ CANCHANO</t>
  </si>
  <si>
    <t>DIEGO ARMANDO MARINO</t>
  </si>
  <si>
    <t>CARLOS ALBERTO PEDROZA QUIROZ</t>
  </si>
  <si>
    <t>VIVA BARRANQUILLA</t>
  </si>
  <si>
    <t>GABRIEL RIOS PERFIL</t>
  </si>
  <si>
    <t>CASTAÑEDA OCAMPO LUIS FERNANDO</t>
  </si>
  <si>
    <t>PAULA</t>
  </si>
  <si>
    <t>MANIZALES</t>
  </si>
  <si>
    <t>FELIPE RESTREPO</t>
  </si>
  <si>
    <t>KEVIN DANIEL GIRALDO</t>
  </si>
  <si>
    <t>LOPEZ VELASQUEZ VIVIANA MARIA</t>
  </si>
  <si>
    <t>JOSÉ DAVID TRUJILLO</t>
  </si>
  <si>
    <t>JORGE</t>
  </si>
  <si>
    <t>SUPER# FALTANTE</t>
  </si>
  <si>
    <t>MARLON STEVEN CORREA VALENCIA</t>
  </si>
  <si>
    <t>MALL PLAZA CALI</t>
  </si>
  <si>
    <t>MARIA EUGENIA VICTORIA VILLADA</t>
  </si>
  <si>
    <t>JAIRO ANDRES ORJUELA GUERRERO</t>
  </si>
  <si>
    <t>PALMETTO PLAZA</t>
  </si>
  <si>
    <t>JUAN SEBASTIAN GARZON FENANDEZ</t>
  </si>
  <si>
    <t>UNICENTRO CALI</t>
  </si>
  <si>
    <t>GENESIS ROGSIRI MOROCOIMA IBAÑEZ</t>
  </si>
  <si>
    <t>MARLYN DAMARIS CALDERON QUICENO</t>
  </si>
  <si>
    <t>MALL PLAZA MANIZALES</t>
  </si>
  <si>
    <t>LAURA VILLANEDA</t>
  </si>
  <si>
    <t>PAULA ANDREA CARDONA CEBALLOS</t>
  </si>
  <si>
    <t xml:space="preserve">COCINA </t>
  </si>
  <si>
    <t>DAVID ESTEBAN MENESES</t>
  </si>
  <si>
    <t>UNICO OUTLET</t>
  </si>
  <si>
    <t>Katerine giannine</t>
  </si>
  <si>
    <t>JHONATAN ANDRES RIVERA</t>
  </si>
  <si>
    <t>Jairo Andres orejuela</t>
  </si>
  <si>
    <t>MARIO ANDRES MONTERROZA</t>
  </si>
  <si>
    <t>Marlyn Damaris Calderon</t>
  </si>
  <si>
    <t>JARY NICOL RAMIREZ</t>
  </si>
  <si>
    <t>JODAVID TRUJILLO</t>
  </si>
  <si>
    <t>JULIETH TATIANA SANDOVAL CORTES</t>
  </si>
  <si>
    <t>PALMETTO</t>
  </si>
  <si>
    <t>LINCENCIA MATERNIDA STEFANY MUÑOZ</t>
  </si>
  <si>
    <t>OSPINA RAMIREZ STEFANNY</t>
  </si>
  <si>
    <t>JUAN DAVID BUENO</t>
  </si>
  <si>
    <t>ESTEFANÍA OROZCO CASTAÑO</t>
  </si>
  <si>
    <t>KEVIN GIRALDO</t>
  </si>
  <si>
    <t>LEDI JOHANA MESA ORTIZ</t>
  </si>
  <si>
    <t>PAULA CEBALLOS</t>
  </si>
  <si>
    <t>ALEJANDRA PALMA</t>
  </si>
  <si>
    <t>SUPER#</t>
  </si>
  <si>
    <t>VALENTINA</t>
  </si>
  <si>
    <t>ISABELLA HINCAPIE</t>
  </si>
  <si>
    <t xml:space="preserve">BRIAM YEBSEHVIC RIASCOS MANYOMA
</t>
  </si>
  <si>
    <t>INGRID MELISA</t>
  </si>
  <si>
    <t>JESSICA PAOLA ORTEGA POLO</t>
  </si>
  <si>
    <t>JULIANA HURTADO</t>
  </si>
  <si>
    <t>MAYRA ALEJANDRA ARANGO</t>
  </si>
  <si>
    <t>ANDRES BANDERA</t>
  </si>
  <si>
    <t>CLAUDIA GARCIA</t>
  </si>
  <si>
    <t>TATIANA COTES</t>
  </si>
  <si>
    <t>SORANY ADVINCULA SAENZ</t>
  </si>
  <si>
    <t>JARDIN PLAZA</t>
  </si>
  <si>
    <t>JUAN ANGEL</t>
  </si>
  <si>
    <t xml:space="preserve">Johan Federico Montoya Gómez </t>
  </si>
  <si>
    <t>FUNDADORES</t>
  </si>
  <si>
    <t>ALEJANDRO MARIN</t>
  </si>
  <si>
    <t>JOSELIN MORA</t>
  </si>
  <si>
    <t>BRIAM RIASCOS</t>
  </si>
  <si>
    <t xml:space="preserve">CARLOS ALBERTO ARBOLEDA </t>
  </si>
  <si>
    <t>David esteban Meneses</t>
  </si>
  <si>
    <t>JOSE FERNANDO RAMIREZ OSPINA</t>
  </si>
  <si>
    <t>ISABELLA VALENCIA HINCAPIE</t>
  </si>
  <si>
    <t>JHON ALEXANDER DUEÑAS OSORIO</t>
  </si>
  <si>
    <t>MONTES OSORIO CRISTIAN CAMILO</t>
  </si>
  <si>
    <t xml:space="preserve">Luis Felipe Díaz Grisales </t>
  </si>
  <si>
    <t>VICTORIA</t>
  </si>
  <si>
    <t>NUEVO PUNTO</t>
  </si>
  <si>
    <t>SAMUEL DAVID PARRA MENDOZA</t>
  </si>
  <si>
    <t>CESAR GERMAN HERNANDEZ MADRID</t>
  </si>
  <si>
    <t>MICHEL ALEXANDER IBARRA HERNÁNDEZ.</t>
  </si>
  <si>
    <t xml:space="preserve">Yoselin gaviria moreno </t>
  </si>
  <si>
    <t>David Esteban Arango Gallego</t>
  </si>
  <si>
    <t xml:space="preserve">Michelle Dayana Hernández Mejía </t>
  </si>
  <si>
    <t xml:space="preserve">Ana María Aguirre Muñoz </t>
  </si>
  <si>
    <t>WILMER EDUARDO ORTIZ GONZALES</t>
  </si>
  <si>
    <t>CALI</t>
  </si>
  <si>
    <t>RICARDO GALLEGO</t>
  </si>
  <si>
    <t>NATALIA RODRÍGUEZ LARRAHONDO</t>
  </si>
  <si>
    <t xml:space="preserve">Yoiner Ortiz vallecilla </t>
  </si>
  <si>
    <t>CAMILA ARIAS BUSTAMANTE</t>
  </si>
  <si>
    <t>LUISA FERNANDA PRIETO</t>
  </si>
  <si>
    <t>STEFANI RAMIREZ</t>
  </si>
  <si>
    <t>CAMILA REYES RIVILLAS</t>
  </si>
  <si>
    <t>CLAUDIA GARCAI</t>
  </si>
  <si>
    <t>OSCAR JAVIER AYA</t>
  </si>
  <si>
    <t>YESICA HURTADO</t>
  </si>
  <si>
    <t>MONICA DIAZ</t>
  </si>
  <si>
    <t>LADY LUJAN</t>
  </si>
  <si>
    <t>CLAUDIA VALECILLA</t>
  </si>
  <si>
    <t>ORIANA PANDARE</t>
  </si>
  <si>
    <t>Nacilia García Chamarra</t>
  </si>
  <si>
    <t xml:space="preserve">Alejandra cuadros gonzalez </t>
  </si>
  <si>
    <t>AGUIRRE MUÑOZ ANA MARIA</t>
  </si>
  <si>
    <t>ADRIANA CORREA LONDOÑO</t>
  </si>
  <si>
    <t>VIVIVANA ESTER CRUZ</t>
  </si>
  <si>
    <t>JACOBO CHICA RAMIREZ</t>
  </si>
  <si>
    <t>ARIAS BUSTAMANTE CAMILA</t>
  </si>
  <si>
    <t xml:space="preserve">Dahiana Gaviria Osorio </t>
  </si>
  <si>
    <t>Juan José Muñoz</t>
  </si>
  <si>
    <t xml:space="preserve"> César madriz</t>
  </si>
  <si>
    <t xml:space="preserve">EDISON SANTIAGO RUIZ HOYOS </t>
  </si>
  <si>
    <t xml:space="preserve">YENNY ALEJANDRA AYALA CUERVO </t>
  </si>
  <si>
    <t>FALTANTE EN COCINA</t>
  </si>
  <si>
    <t>DIEGO ALEJANDRO PATIÑO ROMERO</t>
  </si>
  <si>
    <t>NUEVA PLAZA</t>
  </si>
  <si>
    <t>CUERO HINESTROZA ROSIRY</t>
  </si>
  <si>
    <t>AUXILIAR DE PRODUCCION</t>
  </si>
  <si>
    <t>JUAN FERNANDO TORO BAENA</t>
  </si>
  <si>
    <t>VICTOR MANUEL FIGUEROA</t>
  </si>
  <si>
    <t>HAROLD ANDRES CATAÑO TABORDA</t>
  </si>
  <si>
    <t>REINALDO ALVAREZ</t>
  </si>
  <si>
    <t>SEBASTIAN MARTINEZ DEL CASTILLO</t>
  </si>
  <si>
    <t>MARY LUZ LONDOÑO</t>
  </si>
  <si>
    <t>JUAN PABLO CASTAÑO NIETO</t>
  </si>
  <si>
    <t>MONICA LISS LONDOÑO</t>
  </si>
  <si>
    <t>LEONARDO FABIO AVILA GAZABON</t>
  </si>
  <si>
    <t>(en blanco)</t>
  </si>
  <si>
    <t>JUAN GABRIEL ALVAREZ</t>
  </si>
  <si>
    <t>GIOVANNY ALONSO MUÑOZ LOPEZ</t>
  </si>
  <si>
    <t>JONATHAN RESTREPO RAMIREZ</t>
  </si>
  <si>
    <t>TECNICO DE MANTENIMIENTO</t>
  </si>
  <si>
    <t>MIGUEL</t>
  </si>
  <si>
    <t>MEDELLIN</t>
  </si>
  <si>
    <t xml:space="preserve">ALEXANDER </t>
  </si>
  <si>
    <t>JUAN PABLO MONTOYA</t>
  </si>
  <si>
    <t>AUXILIAR ADMINISTRATIVO</t>
  </si>
  <si>
    <t>LORENA</t>
  </si>
  <si>
    <t>JUAN ESTEBAN</t>
  </si>
  <si>
    <t>DIEGO MAURICIO OCAMPO HERRERA</t>
  </si>
  <si>
    <t>BOGOTA</t>
  </si>
  <si>
    <t>CAMILO ANDRES CASTAÑEDA ZAPATA</t>
  </si>
  <si>
    <t>ANALISTA DE CALIDAD</t>
  </si>
  <si>
    <t>KAREN</t>
  </si>
  <si>
    <t>TANYA</t>
  </si>
  <si>
    <t>MIGUEL ANGEL ACEVEDO</t>
  </si>
  <si>
    <t>JEFE DE MERCADEO</t>
  </si>
  <si>
    <t>GERENCIA</t>
  </si>
  <si>
    <t>LIZETH PORRAS</t>
  </si>
  <si>
    <t>JONATHAN ANDRES RESTREPO</t>
  </si>
  <si>
    <t>CONDUCTOR</t>
  </si>
  <si>
    <t>DANIELA</t>
  </si>
  <si>
    <t>JUAN ESTIVENS ARBELAEZ</t>
  </si>
  <si>
    <t>ELIZABETH BOCANEGRA</t>
  </si>
  <si>
    <t>JEFE DE CONTROL INTERNO</t>
  </si>
  <si>
    <t>JUAN DIEGO SALDARRIAGA CHICA</t>
  </si>
  <si>
    <t xml:space="preserve">SEBASTIAN MARTINEZ </t>
  </si>
  <si>
    <t>YESICA MILENA ESQUIVEL MONROY</t>
  </si>
  <si>
    <t>MANCO GARCIA ARLISON DAVID</t>
  </si>
  <si>
    <t>JHON ALEXANDER CABRERA</t>
  </si>
  <si>
    <t xml:space="preserve">MEDELLIN </t>
  </si>
  <si>
    <t>JUAN CARLOS CORREA</t>
  </si>
  <si>
    <t>JENIFER LOPEZ BETANCUR</t>
  </si>
  <si>
    <t xml:space="preserve">JUAN PABLO CASTAÑO </t>
  </si>
  <si>
    <t>SEBASTIAN BUITRAGO</t>
  </si>
  <si>
    <t>LIDER DE MANTENIMIENTO</t>
  </si>
  <si>
    <t>SIMON</t>
  </si>
  <si>
    <t>MIGUEL YEPES</t>
  </si>
  <si>
    <t>JHONIER MENESES</t>
  </si>
  <si>
    <t>07//04/2026</t>
  </si>
  <si>
    <t>JUAN ALEJANDRO RESTREPO RESTREPO</t>
  </si>
  <si>
    <t>OLGA EMILSE CASTAÑO</t>
  </si>
  <si>
    <t>SANTIAGO ZAPATA PINEDA</t>
  </si>
  <si>
    <t>OLGA DIAZ</t>
  </si>
  <si>
    <t>ARBELAEZ ZABALA JUAN ESTIVENS</t>
  </si>
  <si>
    <t>JHON JAIRO</t>
  </si>
  <si>
    <t>AUXILIAR DE LOGISTICA</t>
  </si>
  <si>
    <t>ALEJANDRO RAMIREZ ARANGO</t>
  </si>
  <si>
    <t xml:space="preserve">JOSE MANUEL MONCADA </t>
  </si>
  <si>
    <t>ALEJANDRO GIRALDO LOPEZ</t>
  </si>
  <si>
    <t>RICARDO ROMAÑA COSSIO</t>
  </si>
  <si>
    <t xml:space="preserve">ROSYMAR OBISPO SEVILLA </t>
  </si>
  <si>
    <t>JUAN RICARDO</t>
  </si>
  <si>
    <t>ADMINISTRADOR PUNTO DE VENTA</t>
  </si>
  <si>
    <t>Zharick Yulisa Giraldo Fandiño</t>
  </si>
  <si>
    <t>AUXILIAR DE SISTEMAS</t>
  </si>
  <si>
    <t>LIDER JOSE BARROS SOCARRAS</t>
  </si>
  <si>
    <t>LIDER JUNIOR DE AUDITORIA Y CONTOL</t>
  </si>
  <si>
    <t>CUERO RODRIGUEZ EVELYN YESENIA</t>
  </si>
  <si>
    <t>ESTEFANIA CASTAÑEDA VALENCIA</t>
  </si>
  <si>
    <t>AUXILIAR CONTABLE</t>
  </si>
  <si>
    <t>PLAZA NUEVA- MONITOREO</t>
  </si>
  <si>
    <t>EFRAIN</t>
  </si>
  <si>
    <t>APRENDIZ MANTENIMIENTO</t>
  </si>
  <si>
    <t>SANTIAGO SARMIENTO LOPEZ</t>
  </si>
  <si>
    <t xml:space="preserve">PERSONAL DE TEMPORADA </t>
  </si>
  <si>
    <t>YAN CARLOS VARGAS CARRILLO</t>
  </si>
  <si>
    <t>ANDRY YURINA ARBOLEDA</t>
  </si>
  <si>
    <t>ANGELA MARIA PULGARÍN</t>
  </si>
  <si>
    <t>MOLINOS</t>
  </si>
  <si>
    <t>ANGELICA PATRICIA VEGA</t>
  </si>
  <si>
    <t>MARISOL VALOY</t>
  </si>
  <si>
    <t xml:space="preserve">FABRICATO </t>
  </si>
  <si>
    <t>ANDRES FELIPE AREIZA</t>
  </si>
  <si>
    <t>PLANTA</t>
  </si>
  <si>
    <t>PERSONAL DE TEMPORADA</t>
  </si>
  <si>
    <t xml:space="preserve">SANTIAGO RENTERIA </t>
  </si>
  <si>
    <t>JUAN GABRIEL ALVAREZ JARAMILLO</t>
  </si>
  <si>
    <t>MARINEZ</t>
  </si>
  <si>
    <t>ALBERTO SANTOS JR JIMENEZ</t>
  </si>
  <si>
    <t>GENESIS MOROCOIMA IBAÑEZ</t>
  </si>
  <si>
    <t>CARGOS</t>
  </si>
  <si>
    <t>AUXILIAR DE SERVICIO-TIEMPOS</t>
  </si>
  <si>
    <t>AUXILIAR MONITOREO</t>
  </si>
  <si>
    <t>OPERARIO LIDER DE PRODUCCIÓN</t>
  </si>
  <si>
    <t>JEFE LIDER DE OPERACIONES</t>
  </si>
  <si>
    <t>AUXILAIR DE SERVICIO MEDIO TIEMPO</t>
  </si>
  <si>
    <t>APRENDIZ COCINA</t>
  </si>
  <si>
    <t>LIDER DE SISTEMAS</t>
  </si>
  <si>
    <t>APRENDIZ GESTION HUMANA</t>
  </si>
  <si>
    <t>APRENDIZ CONTABILIDAD</t>
  </si>
  <si>
    <t>APRENDIZ PSICOLOGÍA</t>
  </si>
  <si>
    <t>APRENDIZ GESTIÓN HUMANA</t>
  </si>
  <si>
    <t>APRENDIZ SST</t>
  </si>
  <si>
    <t>APRENDIZ MERCADEO</t>
  </si>
  <si>
    <t>APRENDIZ SITEMAS</t>
  </si>
  <si>
    <t>JEDE DE OPERACIONES</t>
  </si>
  <si>
    <t>PENDIENTE POR CONTRATAR</t>
  </si>
  <si>
    <t xml:space="preserve">Cuenta de FECHA DE SOLICITUD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</si>
</sst>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C0A]mmmm\-yy;@"/>
  </numFmts>
  <fonts count="37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Calibri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b/>
      <sz val="11"/>
      <name val="Calibri"/>
      <family val="2"/>
    </font>
    <font>
      <sz val="10"/>
      <color rgb="FF000000"/>
      <name val="Aptos Narrow"/>
      <family val="2"/>
    </font>
    <font>
      <sz val="10"/>
      <color rgb="FF000000"/>
      <name val="Arial"/>
      <scheme val="minor"/>
    </font>
    <font>
      <sz val="11"/>
      <color indexed="8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0"/>
      <color theme="0"/>
      <name val="Arial"/>
    </font>
    <font>
      <sz val="10"/>
      <color theme="0"/>
      <name val="Arial"/>
    </font>
    <font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</font>
    <font>
      <sz val="10"/>
      <color theme="1"/>
      <name val="Aptos Narrow"/>
      <family val="2"/>
    </font>
    <font>
      <sz val="12"/>
      <color theme="1"/>
      <name val="Calibri"/>
    </font>
    <font>
      <b/>
      <sz val="10"/>
      <color rgb="FF000000"/>
      <name val="Arial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2"/>
      <color rgb="FF000000"/>
      <name val="Aptos Narrow"/>
      <family val="2"/>
    </font>
    <font>
      <sz val="11"/>
      <color rgb="FF000000"/>
      <name val="Arial"/>
      <family val="2"/>
      <scheme val="minor"/>
    </font>
    <font>
      <sz val="11"/>
      <color rgb="FF000000"/>
      <name val="Arial"/>
      <scheme val="minor"/>
    </font>
    <font>
      <b/>
      <sz val="10"/>
      <color theme="0"/>
      <name val="Arial"/>
      <family val="2"/>
      <scheme val="minor"/>
    </font>
    <font>
      <b/>
      <sz val="10"/>
      <color theme="0"/>
      <name val="Arial"/>
      <scheme val="minor"/>
    </font>
    <font>
      <u/>
      <sz val="11"/>
      <color rgb="FF000000"/>
      <name val="Arial"/>
      <family val="2"/>
      <scheme val="minor"/>
    </font>
    <font>
      <u/>
      <sz val="11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5">
    <xf numFmtId="0" fontId="0" fillId="0" borderId="0"/>
    <xf numFmtId="0" fontId="15" fillId="0" borderId="3"/>
    <xf numFmtId="0" fontId="16" fillId="0" borderId="3"/>
    <xf numFmtId="0" fontId="17" fillId="0" borderId="3" applyNumberFormat="0" applyFill="0" applyBorder="0" applyAlignment="0" applyProtection="0"/>
    <xf numFmtId="0" fontId="8" fillId="0" borderId="3">
      <alignment vertical="center"/>
    </xf>
  </cellStyleXfs>
  <cellXfs count="36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8" fillId="0" borderId="7" xfId="0" applyNumberFormat="1" applyFont="1" applyBorder="1" applyAlignment="1">
      <alignment vertical="center"/>
    </xf>
    <xf numFmtId="0" fontId="1" fillId="0" borderId="9" xfId="0" applyFont="1" applyBorder="1" applyAlignment="1">
      <alignment horizontal="center"/>
    </xf>
    <xf numFmtId="0" fontId="1" fillId="6" borderId="3" xfId="0" applyFont="1" applyFill="1" applyBorder="1" applyAlignment="1">
      <alignment horizontal="center" indent="2"/>
    </xf>
    <xf numFmtId="14" fontId="0" fillId="0" borderId="3" xfId="0" applyNumberFormat="1" applyBorder="1" applyAlignment="1">
      <alignment horizontal="center" vertical="center" indent="2"/>
    </xf>
    <xf numFmtId="0" fontId="1" fillId="3" borderId="3" xfId="0" applyFont="1" applyFill="1" applyBorder="1" applyAlignment="1">
      <alignment horizontal="center" indent="2"/>
    </xf>
    <xf numFmtId="0" fontId="2" fillId="3" borderId="3" xfId="0" applyFont="1" applyFill="1" applyBorder="1" applyAlignment="1">
      <alignment horizontal="center" vertical="center" indent="2"/>
    </xf>
    <xf numFmtId="0" fontId="2" fillId="6" borderId="3" xfId="0" applyFont="1" applyFill="1" applyBorder="1" applyAlignment="1">
      <alignment horizontal="center" vertical="center" indent="2"/>
    </xf>
    <xf numFmtId="14" fontId="0" fillId="0" borderId="3" xfId="0" applyNumberFormat="1" applyBorder="1" applyAlignment="1">
      <alignment vertical="center"/>
    </xf>
    <xf numFmtId="0" fontId="1" fillId="0" borderId="1" xfId="0" applyFont="1" applyBorder="1" applyAlignment="1">
      <alignment horizontal="left"/>
    </xf>
    <xf numFmtId="14" fontId="0" fillId="0" borderId="9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1" fillId="0" borderId="1" xfId="1" applyFont="1" applyBorder="1"/>
    <xf numFmtId="0" fontId="1" fillId="0" borderId="1" xfId="1" applyFont="1" applyBorder="1" applyAlignment="1">
      <alignment horizontal="center"/>
    </xf>
    <xf numFmtId="0" fontId="15" fillId="0" borderId="1" xfId="1" applyBorder="1" applyAlignment="1">
      <alignment vertical="center"/>
    </xf>
    <xf numFmtId="0" fontId="15" fillId="0" borderId="1" xfId="1" applyBorder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1" fillId="0" borderId="2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5" fillId="0" borderId="1" xfId="1" applyBorder="1" applyAlignment="1">
      <alignment horizontal="left" vertical="center"/>
    </xf>
    <xf numFmtId="0" fontId="8" fillId="0" borderId="7" xfId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vertical="center"/>
    </xf>
    <xf numFmtId="0" fontId="8" fillId="0" borderId="6" xfId="1" applyFont="1" applyBorder="1" applyAlignment="1">
      <alignment horizontal="center" vertical="center"/>
    </xf>
    <xf numFmtId="14" fontId="1" fillId="0" borderId="1" xfId="1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4" fontId="18" fillId="0" borderId="18" xfId="0" applyNumberFormat="1" applyFont="1" applyBorder="1" applyAlignment="1">
      <alignment readingOrder="1"/>
    </xf>
    <xf numFmtId="0" fontId="19" fillId="0" borderId="18" xfId="0" applyFont="1" applyBorder="1" applyAlignment="1">
      <alignment readingOrder="1"/>
    </xf>
    <xf numFmtId="14" fontId="0" fillId="0" borderId="18" xfId="0" applyNumberFormat="1" applyBorder="1" applyAlignment="1">
      <alignment vertical="center"/>
    </xf>
    <xf numFmtId="14" fontId="18" fillId="0" borderId="0" xfId="0" applyNumberFormat="1" applyFont="1" applyAlignment="1">
      <alignment readingOrder="1"/>
    </xf>
    <xf numFmtId="0" fontId="0" fillId="0" borderId="18" xfId="0" applyBorder="1" applyAlignment="1">
      <alignment vertical="center"/>
    </xf>
    <xf numFmtId="0" fontId="19" fillId="0" borderId="0" xfId="0" applyFont="1" applyAlignment="1">
      <alignment readingOrder="1"/>
    </xf>
    <xf numFmtId="0" fontId="18" fillId="0" borderId="19" xfId="0" applyFont="1" applyBorder="1" applyAlignment="1">
      <alignment readingOrder="1"/>
    </xf>
    <xf numFmtId="0" fontId="21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14" fontId="20" fillId="0" borderId="5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  <xf numFmtId="14" fontId="20" fillId="0" borderId="5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14" fontId="1" fillId="0" borderId="3" xfId="0" applyNumberFormat="1" applyFont="1" applyBorder="1"/>
    <xf numFmtId="14" fontId="0" fillId="0" borderId="3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pivotButton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3" xfId="0" applyNumberFormat="1" applyBorder="1" applyAlignment="1">
      <alignment vertical="center"/>
    </xf>
    <xf numFmtId="165" fontId="0" fillId="0" borderId="0" xfId="0" pivotButton="1" applyNumberFormat="1" applyAlignment="1">
      <alignment vertical="center"/>
    </xf>
    <xf numFmtId="0" fontId="19" fillId="0" borderId="20" xfId="0" applyFont="1" applyBorder="1" applyAlignment="1">
      <alignment readingOrder="1"/>
    </xf>
    <xf numFmtId="0" fontId="0" fillId="0" borderId="3" xfId="0" applyBorder="1" applyAlignment="1">
      <alignment horizontal="center" vertical="center" indent="2"/>
    </xf>
    <xf numFmtId="0" fontId="0" fillId="6" borderId="3" xfId="0" applyFill="1" applyBorder="1" applyAlignment="1">
      <alignment horizontal="center" vertical="center" indent="2"/>
    </xf>
    <xf numFmtId="164" fontId="2" fillId="0" borderId="3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4" fontId="5" fillId="8" borderId="22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14" fontId="8" fillId="8" borderId="21" xfId="0" applyNumberFormat="1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25" fillId="8" borderId="21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65" fontId="5" fillId="0" borderId="21" xfId="0" applyNumberFormat="1" applyFont="1" applyBorder="1" applyAlignment="1">
      <alignment horizontal="center" vertical="center"/>
    </xf>
    <xf numFmtId="14" fontId="5" fillId="0" borderId="22" xfId="0" applyNumberFormat="1" applyFont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14" fontId="24" fillId="9" borderId="5" xfId="0" applyNumberFormat="1" applyFont="1" applyFill="1" applyBorder="1" applyAlignment="1">
      <alignment horizontal="center" vertical="center" wrapText="1"/>
    </xf>
    <xf numFmtId="14" fontId="24" fillId="9" borderId="5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10" fillId="9" borderId="6" xfId="2" applyFont="1" applyFill="1" applyBorder="1" applyAlignment="1">
      <alignment horizontal="center" vertical="center" wrapText="1"/>
    </xf>
    <xf numFmtId="14" fontId="24" fillId="9" borderId="14" xfId="0" applyNumberFormat="1" applyFont="1" applyFill="1" applyBorder="1" applyAlignment="1">
      <alignment horizontal="center" vertical="center"/>
    </xf>
    <xf numFmtId="165" fontId="5" fillId="9" borderId="0" xfId="0" applyNumberFormat="1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9" borderId="24" xfId="2" applyFont="1" applyFill="1" applyBorder="1" applyAlignment="1">
      <alignment horizontal="center" vertical="center" wrapText="1"/>
    </xf>
    <xf numFmtId="14" fontId="24" fillId="9" borderId="25" xfId="0" applyNumberFormat="1" applyFont="1" applyFill="1" applyBorder="1" applyAlignment="1">
      <alignment horizontal="center" vertical="center"/>
    </xf>
    <xf numFmtId="165" fontId="5" fillId="9" borderId="3" xfId="0" applyNumberFormat="1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18" fillId="0" borderId="20" xfId="0" applyNumberFormat="1" applyFont="1" applyBorder="1" applyAlignment="1">
      <alignment readingOrder="1"/>
    </xf>
    <xf numFmtId="0" fontId="12" fillId="0" borderId="9" xfId="1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15" fillId="0" borderId="7" xfId="1" applyNumberFormat="1" applyBorder="1" applyAlignment="1">
      <alignment vertical="center"/>
    </xf>
    <xf numFmtId="14" fontId="8" fillId="0" borderId="1" xfId="0" applyNumberFormat="1" applyFont="1" applyBorder="1" applyAlignment="1">
      <alignment vertical="center"/>
    </xf>
    <xf numFmtId="14" fontId="1" fillId="0" borderId="6" xfId="1" applyNumberFormat="1" applyFont="1" applyBorder="1"/>
    <xf numFmtId="14" fontId="8" fillId="0" borderId="8" xfId="0" applyNumberFormat="1" applyFont="1" applyBorder="1" applyAlignment="1">
      <alignment vertical="center"/>
    </xf>
    <xf numFmtId="14" fontId="1" fillId="0" borderId="7" xfId="1" applyNumberFormat="1" applyFont="1" applyBorder="1"/>
    <xf numFmtId="0" fontId="8" fillId="0" borderId="16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14" fontId="8" fillId="0" borderId="6" xfId="1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0" fillId="0" borderId="1" xfId="0" applyBorder="1"/>
    <xf numFmtId="0" fontId="12" fillId="0" borderId="8" xfId="1" applyFont="1" applyBorder="1" applyAlignment="1">
      <alignment vertical="center"/>
    </xf>
    <xf numFmtId="0" fontId="12" fillId="0" borderId="14" xfId="1" applyFont="1" applyBorder="1" applyAlignment="1">
      <alignment vertical="center"/>
    </xf>
    <xf numFmtId="0" fontId="15" fillId="0" borderId="3" xfId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11" fillId="0" borderId="8" xfId="0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8" fillId="8" borderId="7" xfId="0" applyNumberFormat="1" applyFont="1" applyFill="1" applyBorder="1" applyAlignment="1">
      <alignment vertical="center"/>
    </xf>
    <xf numFmtId="14" fontId="8" fillId="11" borderId="1" xfId="0" applyNumberFormat="1" applyFont="1" applyFill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8" fillId="11" borderId="7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0" fontId="8" fillId="0" borderId="1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12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27" xfId="1" applyBorder="1" applyAlignment="1">
      <alignment horizontal="center" vertical="center"/>
    </xf>
    <xf numFmtId="0" fontId="8" fillId="11" borderId="28" xfId="0" applyFont="1" applyFill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8" fillId="11" borderId="2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2" fillId="0" borderId="24" xfId="2" applyFont="1" applyBorder="1" applyAlignment="1">
      <alignment horizontal="center" vertical="center" wrapText="1"/>
    </xf>
    <xf numFmtId="14" fontId="20" fillId="0" borderId="25" xfId="0" applyNumberFormat="1" applyFont="1" applyBorder="1" applyAlignment="1">
      <alignment horizontal="center" vertical="center"/>
    </xf>
    <xf numFmtId="0" fontId="15" fillId="0" borderId="9" xfId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12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14" fontId="9" fillId="0" borderId="1" xfId="1" applyNumberFormat="1" applyFont="1" applyBorder="1" applyAlignment="1">
      <alignment horizontal="center"/>
    </xf>
    <xf numFmtId="14" fontId="8" fillId="0" borderId="7" xfId="1" applyNumberFormat="1" applyFont="1" applyBorder="1" applyAlignment="1">
      <alignment vertical="center"/>
    </xf>
    <xf numFmtId="14" fontId="8" fillId="11" borderId="6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8" fillId="12" borderId="29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0" borderId="17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2" fillId="0" borderId="0" xfId="0" applyFont="1" applyAlignment="1">
      <alignment vertical="center"/>
    </xf>
    <xf numFmtId="14" fontId="1" fillId="0" borderId="1" xfId="0" applyNumberFormat="1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14" fontId="1" fillId="0" borderId="8" xfId="0" applyNumberFormat="1" applyFont="1" applyBorder="1"/>
    <xf numFmtId="0" fontId="8" fillId="11" borderId="8" xfId="0" applyFont="1" applyFill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8" fillId="0" borderId="3" xfId="0" applyFont="1" applyBorder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14" fontId="1" fillId="0" borderId="0" xfId="0" applyNumberFormat="1" applyFon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indent="2"/>
    </xf>
    <xf numFmtId="0" fontId="8" fillId="11" borderId="17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/>
    <xf numFmtId="0" fontId="8" fillId="11" borderId="1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7" fillId="0" borderId="8" xfId="3" applyBorder="1" applyAlignment="1">
      <alignment horizontal="left"/>
    </xf>
    <xf numFmtId="0" fontId="1" fillId="2" borderId="1" xfId="0" applyFont="1" applyFill="1" applyBorder="1" applyAlignment="1">
      <alignment horizontal="center" vertical="center" indent="2"/>
    </xf>
    <xf numFmtId="0" fontId="28" fillId="0" borderId="1" xfId="0" applyFont="1" applyBorder="1" applyAlignment="1">
      <alignment horizontal="center" vertical="center" indent="1"/>
    </xf>
    <xf numFmtId="0" fontId="29" fillId="0" borderId="1" xfId="0" applyFont="1" applyBorder="1" applyAlignment="1">
      <alignment horizontal="center" vertical="center" indent="1"/>
    </xf>
    <xf numFmtId="0" fontId="4" fillId="0" borderId="1" xfId="0" applyFont="1" applyBorder="1" applyAlignment="1">
      <alignment horizontal="center" vertical="center" indent="2"/>
    </xf>
    <xf numFmtId="164" fontId="2" fillId="8" borderId="1" xfId="0" applyNumberFormat="1" applyFont="1" applyFill="1" applyBorder="1" applyAlignment="1">
      <alignment horizontal="center" vertical="center" indent="2"/>
    </xf>
    <xf numFmtId="0" fontId="2" fillId="0" borderId="1" xfId="0" applyFont="1" applyBorder="1" applyAlignment="1">
      <alignment horizontal="center" vertical="center" indent="2"/>
    </xf>
    <xf numFmtId="14" fontId="4" fillId="0" borderId="1" xfId="0" applyNumberFormat="1" applyFont="1" applyBorder="1" applyAlignment="1">
      <alignment horizontal="center" vertical="center" indent="2"/>
    </xf>
    <xf numFmtId="164" fontId="2" fillId="0" borderId="1" xfId="0" applyNumberFormat="1" applyFont="1" applyBorder="1" applyAlignment="1">
      <alignment horizontal="center" vertical="center" indent="2"/>
    </xf>
    <xf numFmtId="0" fontId="28" fillId="8" borderId="1" xfId="0" applyFont="1" applyFill="1" applyBorder="1" applyAlignment="1">
      <alignment horizontal="center" vertical="center" indent="1"/>
    </xf>
    <xf numFmtId="0" fontId="29" fillId="8" borderId="1" xfId="0" applyFont="1" applyFill="1" applyBorder="1" applyAlignment="1">
      <alignment horizontal="center" vertical="center" indent="1"/>
    </xf>
    <xf numFmtId="14" fontId="8" fillId="8" borderId="1" xfId="0" applyNumberFormat="1" applyFont="1" applyFill="1" applyBorder="1" applyAlignment="1">
      <alignment horizontal="center" vertical="center" indent="2"/>
    </xf>
    <xf numFmtId="0" fontId="4" fillId="8" borderId="1" xfId="0" applyFont="1" applyFill="1" applyBorder="1" applyAlignment="1">
      <alignment horizontal="center" vertical="center" indent="2"/>
    </xf>
    <xf numFmtId="0" fontId="2" fillId="8" borderId="1" xfId="0" applyFont="1" applyFill="1" applyBorder="1" applyAlignment="1">
      <alignment horizontal="center" vertical="center" indent="2"/>
    </xf>
    <xf numFmtId="0" fontId="30" fillId="11" borderId="1" xfId="0" applyFont="1" applyFill="1" applyBorder="1" applyAlignment="1">
      <alignment horizontal="center" vertical="center"/>
    </xf>
    <xf numFmtId="14" fontId="8" fillId="11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indent="2"/>
    </xf>
    <xf numFmtId="0" fontId="9" fillId="3" borderId="1" xfId="0" applyFont="1" applyFill="1" applyBorder="1" applyAlignment="1">
      <alignment horizontal="center" vertical="center"/>
    </xf>
    <xf numFmtId="0" fontId="1" fillId="0" borderId="1" xfId="3" applyFont="1" applyFill="1" applyBorder="1" applyAlignment="1">
      <alignment horizontal="left"/>
    </xf>
    <xf numFmtId="0" fontId="8" fillId="11" borderId="1" xfId="0" applyFont="1" applyFill="1" applyBorder="1" applyAlignment="1">
      <alignment horizontal="center" vertical="center" wrapText="1"/>
    </xf>
    <xf numFmtId="0" fontId="31" fillId="0" borderId="8" xfId="3" applyFont="1" applyBorder="1" applyAlignment="1">
      <alignment horizontal="left"/>
    </xf>
    <xf numFmtId="0" fontId="1" fillId="0" borderId="13" xfId="0" applyFont="1" applyBorder="1"/>
    <xf numFmtId="14" fontId="0" fillId="0" borderId="2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14" fontId="8" fillId="11" borderId="6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33" xfId="0" applyFont="1" applyFill="1" applyBorder="1" applyAlignment="1">
      <alignment horizontal="left" wrapText="1"/>
    </xf>
    <xf numFmtId="0" fontId="8" fillId="11" borderId="6" xfId="0" applyFont="1" applyFill="1" applyBorder="1" applyAlignment="1">
      <alignment horizontal="left" vertical="center"/>
    </xf>
    <xf numFmtId="0" fontId="32" fillId="0" borderId="8" xfId="3" applyFont="1" applyBorder="1" applyAlignment="1">
      <alignment horizontal="left"/>
    </xf>
    <xf numFmtId="0" fontId="20" fillId="13" borderId="34" xfId="0" applyFont="1" applyFill="1" applyBorder="1" applyAlignment="1">
      <alignment horizontal="center" vertical="center"/>
    </xf>
    <xf numFmtId="0" fontId="20" fillId="13" borderId="34" xfId="0" applyFont="1" applyFill="1" applyBorder="1" applyAlignment="1">
      <alignment horizontal="center" vertical="center" wrapText="1"/>
    </xf>
    <xf numFmtId="14" fontId="20" fillId="13" borderId="34" xfId="0" applyNumberFormat="1" applyFont="1" applyFill="1" applyBorder="1" applyAlignment="1">
      <alignment horizontal="center" vertical="center" wrapText="1"/>
    </xf>
    <xf numFmtId="14" fontId="20" fillId="13" borderId="34" xfId="0" applyNumberFormat="1" applyFont="1" applyFill="1" applyBorder="1" applyAlignment="1">
      <alignment horizontal="center" vertical="center"/>
    </xf>
    <xf numFmtId="0" fontId="33" fillId="13" borderId="35" xfId="2" applyFont="1" applyFill="1" applyBorder="1" applyAlignment="1">
      <alignment horizontal="center" vertical="center" wrapText="1"/>
    </xf>
    <xf numFmtId="14" fontId="20" fillId="13" borderId="36" xfId="0" applyNumberFormat="1" applyFont="1" applyFill="1" applyBorder="1" applyAlignment="1">
      <alignment horizontal="center" vertical="center"/>
    </xf>
    <xf numFmtId="165" fontId="34" fillId="13" borderId="21" xfId="0" applyNumberFormat="1" applyFont="1" applyFill="1" applyBorder="1" applyAlignment="1">
      <alignment vertical="center"/>
    </xf>
    <xf numFmtId="0" fontId="34" fillId="13" borderId="22" xfId="0" applyFont="1" applyFill="1" applyBorder="1"/>
    <xf numFmtId="0" fontId="2" fillId="8" borderId="1" xfId="0" applyFont="1" applyFill="1" applyBorder="1" applyAlignment="1">
      <alignment horizontal="left"/>
    </xf>
    <xf numFmtId="0" fontId="2" fillId="8" borderId="37" xfId="0" applyFont="1" applyFill="1" applyBorder="1" applyAlignment="1">
      <alignment horizontal="center"/>
    </xf>
    <xf numFmtId="14" fontId="2" fillId="8" borderId="1" xfId="0" applyNumberFormat="1" applyFont="1" applyFill="1" applyBorder="1" applyAlignment="1">
      <alignment horizontal="center"/>
    </xf>
    <xf numFmtId="14" fontId="2" fillId="8" borderId="1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8" fillId="8" borderId="38" xfId="0" applyFont="1" applyFill="1" applyBorder="1" applyAlignment="1">
      <alignment vertical="center" wrapText="1"/>
    </xf>
    <xf numFmtId="0" fontId="8" fillId="8" borderId="39" xfId="0" applyFont="1" applyFill="1" applyBorder="1" applyAlignment="1">
      <alignment horizontal="center" vertical="center" wrapText="1"/>
    </xf>
    <xf numFmtId="165" fontId="5" fillId="8" borderId="21" xfId="0" applyNumberFormat="1" applyFont="1" applyFill="1" applyBorder="1" applyAlignment="1">
      <alignment vertical="center"/>
    </xf>
    <xf numFmtId="14" fontId="5" fillId="8" borderId="22" xfId="0" applyNumberFormat="1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8" borderId="23" xfId="0" applyFont="1" applyFill="1" applyBorder="1" applyAlignment="1">
      <alignment horizontal="left"/>
    </xf>
    <xf numFmtId="0" fontId="5" fillId="8" borderId="1" xfId="0" applyFont="1" applyFill="1" applyBorder="1" applyAlignment="1">
      <alignment vertical="center"/>
    </xf>
    <xf numFmtId="0" fontId="2" fillId="8" borderId="40" xfId="0" applyFont="1" applyFill="1" applyBorder="1" applyAlignment="1">
      <alignment horizontal="center"/>
    </xf>
    <xf numFmtId="14" fontId="8" fillId="8" borderId="6" xfId="0" applyNumberFormat="1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5" fillId="0" borderId="21" xfId="0" applyNumberFormat="1" applyFont="1" applyBorder="1" applyAlignment="1">
      <alignment vertical="center"/>
    </xf>
    <xf numFmtId="14" fontId="5" fillId="0" borderId="22" xfId="0" applyNumberFormat="1" applyFont="1" applyBorder="1" applyAlignment="1">
      <alignment vertical="center"/>
    </xf>
    <xf numFmtId="0" fontId="8" fillId="8" borderId="1" xfId="0" applyFont="1" applyFill="1" applyBorder="1" applyAlignment="1">
      <alignment vertical="center" wrapText="1"/>
    </xf>
    <xf numFmtId="0" fontId="2" fillId="0" borderId="37" xfId="0" applyFont="1" applyBorder="1" applyAlignment="1">
      <alignment horizont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8" borderId="1" xfId="0" applyNumberFormat="1" applyFont="1" applyFill="1" applyBorder="1"/>
    <xf numFmtId="0" fontId="2" fillId="8" borderId="1" xfId="0" applyFont="1" applyFill="1" applyBorder="1"/>
    <xf numFmtId="0" fontId="8" fillId="8" borderId="10" xfId="0" applyFont="1" applyFill="1" applyBorder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/>
    <xf numFmtId="0" fontId="8" fillId="11" borderId="38" xfId="0" applyFont="1" applyFill="1" applyBorder="1" applyAlignment="1">
      <alignment vertical="center" wrapText="1"/>
    </xf>
    <xf numFmtId="0" fontId="8" fillId="0" borderId="38" xfId="0" applyFont="1" applyBorder="1" applyAlignment="1">
      <alignment horizontal="center" vertical="center"/>
    </xf>
    <xf numFmtId="0" fontId="5" fillId="8" borderId="38" xfId="0" applyFont="1" applyFill="1" applyBorder="1" applyAlignment="1">
      <alignment vertical="center"/>
    </xf>
    <xf numFmtId="0" fontId="5" fillId="8" borderId="38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right" vertical="center"/>
    </xf>
    <xf numFmtId="14" fontId="0" fillId="0" borderId="9" xfId="0" applyNumberFormat="1" applyBorder="1" applyAlignment="1">
      <alignment horizontal="right" vertical="center"/>
    </xf>
    <xf numFmtId="14" fontId="1" fillId="0" borderId="3" xfId="0" applyNumberFormat="1" applyFont="1" applyBorder="1" applyAlignment="1">
      <alignment horizontal="center" vertical="center"/>
    </xf>
    <xf numFmtId="14" fontId="1" fillId="14" borderId="3" xfId="0" applyNumberFormat="1" applyFont="1" applyFill="1" applyBorder="1" applyAlignment="1">
      <alignment horizontal="center" vertical="center"/>
    </xf>
    <xf numFmtId="0" fontId="35" fillId="0" borderId="8" xfId="3" applyFont="1" applyBorder="1" applyAlignment="1">
      <alignment horizontal="left"/>
    </xf>
    <xf numFmtId="0" fontId="31" fillId="0" borderId="8" xfId="3" applyFont="1" applyBorder="1" applyAlignment="1">
      <alignment horizontal="center"/>
    </xf>
    <xf numFmtId="0" fontId="24" fillId="7" borderId="1" xfId="0" applyFont="1" applyFill="1" applyBorder="1" applyAlignment="1">
      <alignment horizontal="center" vertical="center" indent="2"/>
    </xf>
    <xf numFmtId="0" fontId="24" fillId="7" borderId="1" xfId="0" applyFont="1" applyFill="1" applyBorder="1" applyAlignment="1">
      <alignment horizontal="center" vertical="center" wrapText="1" indent="2"/>
    </xf>
    <xf numFmtId="0" fontId="23" fillId="7" borderId="1" xfId="2" applyFont="1" applyFill="1" applyBorder="1" applyAlignment="1">
      <alignment horizontal="center" vertical="center" wrapText="1"/>
    </xf>
    <xf numFmtId="14" fontId="24" fillId="7" borderId="1" xfId="0" applyNumberFormat="1" applyFont="1" applyFill="1" applyBorder="1" applyAlignment="1">
      <alignment horizontal="center" vertical="center" indent="2"/>
    </xf>
    <xf numFmtId="14" fontId="5" fillId="8" borderId="1" xfId="0" applyNumberFormat="1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 indent="2"/>
    </xf>
    <xf numFmtId="14" fontId="5" fillId="8" borderId="1" xfId="0" applyNumberFormat="1" applyFont="1" applyFill="1" applyBorder="1" applyAlignment="1">
      <alignment horizontal="center" vertical="center" indent="2"/>
    </xf>
    <xf numFmtId="165" fontId="5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indent="2"/>
    </xf>
    <xf numFmtId="0" fontId="1" fillId="2" borderId="1" xfId="0" applyFont="1" applyFill="1" applyBorder="1" applyAlignment="1">
      <alignment horizontal="center" indent="2"/>
    </xf>
    <xf numFmtId="0" fontId="1" fillId="3" borderId="1" xfId="0" applyFont="1" applyFill="1" applyBorder="1" applyAlignment="1">
      <alignment horizontal="center" indent="2"/>
    </xf>
    <xf numFmtId="0" fontId="3" fillId="3" borderId="1" xfId="0" applyFont="1" applyFill="1" applyBorder="1" applyAlignment="1">
      <alignment horizontal="center" indent="2"/>
    </xf>
    <xf numFmtId="14" fontId="5" fillId="8" borderId="9" xfId="0" applyNumberFormat="1" applyFont="1" applyFill="1" applyBorder="1" applyAlignment="1">
      <alignment horizontal="center" vertical="center"/>
    </xf>
    <xf numFmtId="0" fontId="0" fillId="0" borderId="3" xfId="0" pivotButton="1" applyBorder="1" applyAlignment="1">
      <alignment vertical="center"/>
    </xf>
    <xf numFmtId="0" fontId="24" fillId="7" borderId="8" xfId="0" applyFont="1" applyFill="1" applyBorder="1" applyAlignment="1">
      <alignment horizontal="center" vertical="center" indent="2"/>
    </xf>
    <xf numFmtId="0" fontId="0" fillId="15" borderId="0" xfId="0" applyFill="1"/>
    <xf numFmtId="0" fontId="36" fillId="0" borderId="8" xfId="3" applyFont="1" applyBorder="1" applyAlignment="1">
      <alignment horizontal="left"/>
    </xf>
    <xf numFmtId="0" fontId="1" fillId="10" borderId="1" xfId="0" applyFont="1" applyFill="1" applyBorder="1" applyAlignment="1">
      <alignment horizontal="center" vertical="center" indent="2"/>
    </xf>
    <xf numFmtId="16" fontId="1" fillId="2" borderId="1" xfId="0" applyNumberFormat="1" applyFont="1" applyFill="1" applyBorder="1" applyAlignment="1">
      <alignment horizontal="center" vertical="center" indent="2"/>
    </xf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2" fillId="10" borderId="25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</cellXfs>
  <cellStyles count="5">
    <cellStyle name="Hyperlink" xfId="3" xr:uid="{19768F9F-9C06-41C2-9CED-652EA617DF56}"/>
    <cellStyle name="Normal" xfId="0" builtinId="0"/>
    <cellStyle name="Normal 2" xfId="1" xr:uid="{06DAA2D2-0296-4AAD-B4D0-BE1A8C0F69EE}"/>
    <cellStyle name="Normal 2 2" xfId="4" xr:uid="{1B036788-F902-48A9-B8A5-12CD7E912A12}"/>
    <cellStyle name="Normal 3" xfId="2" xr:uid="{3082DAA7-0247-4362-8757-2862A6D67A5E}"/>
  </cellStyles>
  <dxfs count="2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/>
    </dxf>
    <dxf>
      <numFmt numFmtId="165" formatCode="[$-C0A]mmmm\-yy;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dd/mm/yyyy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dd\-mm\-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ont>
        <sz val="10"/>
        <color theme="1"/>
      </font>
      <fill>
        <patternFill patternType="solid">
          <fgColor indexed="64"/>
          <bgColor theme="6" tint="0.39997558519241921"/>
        </patternFill>
      </fill>
      <alignment horizontal="center" vertical="center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/>
    </dxf>
    <dxf>
      <numFmt numFmtId="165" formatCode="[$-C0A]mmmm\-yy;@"/>
      <fill>
        <patternFill patternType="none">
          <fgColor indexed="64"/>
          <bgColor auto="1"/>
        </patternFill>
      </fill>
      <alignment horizontal="center" vertical="center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dd/mm/yyyy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dd\-mm\-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ont>
        <sz val="10"/>
        <color theme="1"/>
      </font>
      <fill>
        <patternFill patternType="solid">
          <fgColor indexed="64"/>
          <bgColor theme="6" tint="0.39997558519241921"/>
        </patternFill>
      </fill>
      <alignment horizontal="center" vertical="center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/>
    </dxf>
    <dxf>
      <numFmt numFmtId="165" formatCode="[$-C0A]mmmm\-yy;@"/>
      <fill>
        <patternFill patternType="none">
          <fgColor indexed="64"/>
          <bgColor auto="1"/>
        </patternFill>
      </fill>
      <alignment horizontal="center" vertical="center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dd/mm/yyyy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ont>
        <sz val="10"/>
        <color theme="1"/>
      </font>
      <fill>
        <patternFill patternType="solid">
          <fgColor indexed="64"/>
          <bgColor theme="6" tint="0.39997558519241921"/>
        </patternFill>
      </fill>
      <alignment horizontal="center" vertical="center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6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/>
    </dxf>
    <dxf>
      <numFmt numFmtId="165" formatCode="[$-C0A]m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[$-C0A]mmmm\-yy;@"/>
      <fill>
        <patternFill patternType="none">
          <fgColor indexed="64"/>
          <bgColor auto="1"/>
        </patternFill>
      </fill>
      <alignment horizontal="center" vertical="center"/>
    </dxf>
    <dxf>
      <numFmt numFmtId="166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dd/mm/yyyy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dd\-mm\-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dd\-mm\-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/>
    </dxf>
    <dxf>
      <font>
        <sz val="10"/>
        <color theme="1"/>
      </font>
      <fill>
        <patternFill patternType="solid">
          <fgColor indexed="64"/>
          <bgColor theme="6" tint="0.39997558519241921"/>
        </patternFill>
      </fill>
      <alignment horizontal="center" vertical="center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6" formatCode="dd/mm/yyyy"/>
      <fill>
        <patternFill patternType="none">
          <fgColor indexed="64"/>
          <bgColor auto="1"/>
        </patternFill>
      </fill>
    </dxf>
    <dxf>
      <numFmt numFmtId="165" formatCode="[$-C0A]mmmm\-yy;@"/>
      <fill>
        <patternFill patternType="none">
          <fgColor indexed="64"/>
          <bgColor auto="1"/>
        </patternFill>
      </fill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dd/mm/yyyy"/>
      <fill>
        <patternFill patternType="none">
          <fgColor indexed="64"/>
          <bgColor auto="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sz val="10"/>
        <color theme="1"/>
      </font>
      <fill>
        <patternFill patternType="solid">
          <fgColor indexed="64"/>
          <bgColor theme="6" tint="0.39997558519241921"/>
        </patternFill>
      </fill>
      <alignment horizontal="center" vertical="center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19" formatCode="d/mm/yyyy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19" formatCode="d/mm/yyyy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  <dxf>
      <numFmt numFmtId="166" formatCode="dd/mm/yyyy"/>
      <fill>
        <patternFill patternType="none">
          <fgColor indexed="64"/>
          <bgColor auto="1"/>
        </patternFill>
      </fill>
    </dxf>
    <dxf>
      <numFmt numFmtId="165" formatCode="[$-C0A]mmmm\-yy;@"/>
      <fill>
        <patternFill patternType="none">
          <fgColor indexed="64"/>
          <bgColor auto="1"/>
        </patternFill>
      </fill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dd/mm/yyyy"/>
      <fill>
        <patternFill patternType="none">
          <fgColor indexed="64"/>
          <bgColor auto="1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sz val="10"/>
        <color theme="0"/>
      </font>
      <fill>
        <patternFill patternType="none">
          <fgColor indexed="64"/>
          <bgColor auto="1"/>
        </patternFill>
      </fill>
      <alignment horizontal="center" vertical="center"/>
    </dxf>
    <dxf>
      <numFmt numFmtId="165" formatCode="[$-C0A]mmmm\-yy;@"/>
    </dxf>
    <dxf>
      <numFmt numFmtId="165" formatCode="[$-C0A]mmmm\-yy;@"/>
    </dxf>
    <dxf>
      <numFmt numFmtId="165" formatCode="[$-C0A]mmmm\-yy;@"/>
    </dxf>
    <dxf>
      <numFmt numFmtId="165" formatCode="[$-C0A]m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397764467591" createdVersion="8" refreshedVersion="8" minRefreshableVersion="3" recordCount="17" xr:uid="{DE7FA6E3-B681-43F3-80D3-10C246720493}">
  <cacheSource type="worksheet">
    <worksheetSource ref="A1:M28" sheet="BOGOTA"/>
  </cacheSource>
  <cacheFields count="13">
    <cacheField name="NOMBRE NUEVO INGRESO" numFmtId="0">
      <sharedItems/>
    </cacheField>
    <cacheField name="CARGO" numFmtId="0">
      <sharedItems/>
    </cacheField>
    <cacheField name="ESTADO" numFmtId="0">
      <sharedItems containsBlank="1"/>
    </cacheField>
    <cacheField name="FECHA DE INGRESO " numFmtId="0">
      <sharedItems containsNonDate="0" containsDate="1" containsString="0" containsBlank="1" minDate="2025-12-04T00:00:00" maxDate="2026-01-06T00:00:00"/>
    </cacheField>
    <cacheField name="SOLICITA" numFmtId="0">
      <sharedItems/>
    </cacheField>
    <cacheField name="FECHA DE SOLICITUD " numFmtId="14">
      <sharedItems containsSemiMixedTypes="0" containsNonDate="0" containsDate="1" containsString="0" minDate="2025-12-01T00:00:00" maxDate="2026-01-06T00:00:00"/>
    </cacheField>
    <cacheField name="PUNTO" numFmtId="0">
      <sharedItems/>
    </cacheField>
    <cacheField name="PERSONA A QUIEN REEMPLAZARA" numFmtId="0">
      <sharedItems/>
    </cacheField>
    <cacheField name="POSICION CLAVES " numFmtId="0">
      <sharedItems containsNonDate="0" containsString="0" containsBlank="1"/>
    </cacheField>
    <cacheField name="MOTIVO " numFmtId="0">
      <sharedItems containsNonDate="0" containsString="0" containsBlank="1"/>
    </cacheField>
    <cacheField name="FECHA MAXIMA" numFmtId="14">
      <sharedItems containsSemiMixedTypes="0" containsNonDate="0" containsDate="1" containsString="0" minDate="2025-12-11T00:00:00" maxDate="2026-01-21T00:00:00"/>
    </cacheField>
    <cacheField name="MES_INDICADOR_K" numFmtId="165">
      <sharedItems containsSemiMixedTypes="0" containsNonDate="0" containsDate="1" containsString="0" minDate="2025-12-01T00:00:00" maxDate="2026-02-02T00:00:00" count="3">
        <d v="2025-12-01T00:00:00"/>
        <d v="2026-01-01T00:00:00"/>
        <d v="2026-02-01T00:00:00" u="1"/>
      </sharedItems>
    </cacheField>
    <cacheField name="ESTADO DEL INGRESO" numFmtId="14">
      <sharedItems count="2">
        <s v="A TIEMPO"/>
        <s v="PENDI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397944560187" createdVersion="8" refreshedVersion="8" minRefreshableVersion="3" recordCount="24" xr:uid="{0F461A13-A6DB-4291-A11B-5D3604EB65FF}">
  <cacheSource type="worksheet">
    <worksheetSource name="Tabla17849"/>
  </cacheSource>
  <cacheFields count="13">
    <cacheField name="NOMBRE NUEVO INGRESO" numFmtId="0">
      <sharedItems containsBlank="1"/>
    </cacheField>
    <cacheField name="CARGO" numFmtId="0">
      <sharedItems/>
    </cacheField>
    <cacheField name="ESTADO" numFmtId="0">
      <sharedItems containsBlank="1"/>
    </cacheField>
    <cacheField name="FECHA DE INGRESO " numFmtId="0">
      <sharedItems containsNonDate="0" containsDate="1" containsString="0" containsBlank="1" minDate="2025-10-10T00:00:00" maxDate="2025-11-27T00:00:00"/>
    </cacheField>
    <cacheField name="SOLICITA" numFmtId="0">
      <sharedItems/>
    </cacheField>
    <cacheField name="FECHA DE SOLICITUD " numFmtId="14">
      <sharedItems containsSemiMixedTypes="0" containsNonDate="0" containsDate="1" containsString="0" minDate="2025-09-01T00:00:00" maxDate="2025-10-30T00:00:00"/>
    </cacheField>
    <cacheField name="PUNTO" numFmtId="0">
      <sharedItems/>
    </cacheField>
    <cacheField name="PERSONA A QUIEN REEMPLAZARA" numFmtId="0">
      <sharedItems/>
    </cacheField>
    <cacheField name="POSICION CLAVES " numFmtId="0">
      <sharedItems containsNonDate="0" containsString="0" containsBlank="1"/>
    </cacheField>
    <cacheField name="MOTIVO " numFmtId="0">
      <sharedItems containsNonDate="0" containsString="0" containsBlank="1"/>
    </cacheField>
    <cacheField name="FECHA MAXIMA" numFmtId="14">
      <sharedItems containsSemiMixedTypes="0" containsNonDate="0" containsDate="1" containsString="0" minDate="2025-09-22T00:00:00" maxDate="2025-11-22T00:00:00"/>
    </cacheField>
    <cacheField name="MES_INDICADOR_K" numFmtId="165">
      <sharedItems containsSemiMixedTypes="0" containsNonDate="0" containsDate="1" containsString="0" minDate="2025-09-01T00:00:00" maxDate="2025-12-02T00:00:00" count="4">
        <d v="2025-10-01T00:00:00"/>
        <d v="2025-09-01T00:00:00"/>
        <d v="2025-11-01T00:00:00"/>
        <d v="2025-12-01T00:00:00" u="1"/>
      </sharedItems>
    </cacheField>
    <cacheField name="ESTADO DEL INGRESO" numFmtId="14">
      <sharedItems count="3">
        <s v="FUERA DE TIEMPO"/>
        <s v="PENDIENTE"/>
        <s v="A TIEMP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397992013888" createdVersion="8" refreshedVersion="8" minRefreshableVersion="3" recordCount="1" xr:uid="{25351015-3200-4FFF-A9F8-57D74B5BE430}">
  <cacheSource type="worksheet">
    <worksheetSource name="Tabla1784910"/>
  </cacheSource>
  <cacheFields count="13">
    <cacheField name="NOMBRE NUEVO INGRESO" numFmtId="0">
      <sharedItems containsNonDate="0" containsString="0" containsBlank="1"/>
    </cacheField>
    <cacheField name="CARGO" numFmtId="0">
      <sharedItems containsNonDate="0" containsString="0" containsBlank="1"/>
    </cacheField>
    <cacheField name="ESTADO" numFmtId="0">
      <sharedItems containsNonDate="0" containsString="0" containsBlank="1"/>
    </cacheField>
    <cacheField name="FECHA DE INGRESO " numFmtId="14">
      <sharedItems containsNonDate="0" containsString="0" containsBlank="1"/>
    </cacheField>
    <cacheField name="SOLICITA" numFmtId="0">
      <sharedItems containsNonDate="0" containsString="0" containsBlank="1"/>
    </cacheField>
    <cacheField name="FECHA DE SOLICITUD " numFmtId="14">
      <sharedItems containsNonDate="0" containsString="0" containsBlank="1"/>
    </cacheField>
    <cacheField name="PUNTO" numFmtId="0">
      <sharedItems containsNonDate="0" containsString="0" containsBlank="1"/>
    </cacheField>
    <cacheField name="PERSONA A QUIEN REEMPLAZARA" numFmtId="0">
      <sharedItems containsNonDate="0" containsString="0" containsBlank="1"/>
    </cacheField>
    <cacheField name="POSICION CLAVES " numFmtId="0">
      <sharedItems containsNonDate="0" containsString="0" containsBlank="1"/>
    </cacheField>
    <cacheField name="MOTIVO " numFmtId="0">
      <sharedItems containsNonDate="0" containsString="0" containsBlank="1"/>
    </cacheField>
    <cacheField name="FECHA MAXIMA" numFmtId="14">
      <sharedItems/>
    </cacheField>
    <cacheField name="MES_INDICADOR_K" numFmtId="165">
      <sharedItems count="1">
        <s v=""/>
      </sharedItems>
    </cacheField>
    <cacheField name="ESTADO DEL INGRESO" numFmtId="14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1.649080439813" createdVersion="8" refreshedVersion="8" minRefreshableVersion="3" recordCount="79" xr:uid="{5D4D225B-7FF5-41A9-A0DC-DED1058635DD}">
  <cacheSource type="worksheet">
    <worksheetSource name="Tabla1"/>
  </cacheSource>
  <cacheFields count="13">
    <cacheField name="NOMBRE NUEVO INGRESO" numFmtId="0">
      <sharedItems containsBlank="1"/>
    </cacheField>
    <cacheField name="CARGO" numFmtId="0">
      <sharedItems count="2">
        <s v="AUXILIAR DE SERVICIO"/>
        <s v="AUXILIAR DE COCINA"/>
      </sharedItems>
    </cacheField>
    <cacheField name="ESTADO" numFmtId="0">
      <sharedItems containsBlank="1"/>
    </cacheField>
    <cacheField name="FECHA DE INGRESO " numFmtId="0">
      <sharedItems containsNonDate="0" containsDate="1" containsString="0" containsBlank="1" minDate="2025-11-11T00:00:00" maxDate="2026-01-24T00:00:00"/>
    </cacheField>
    <cacheField name="SOLICITA" numFmtId="0">
      <sharedItems containsBlank="1"/>
    </cacheField>
    <cacheField name="FECHA DE SOLICITUD " numFmtId="14">
      <sharedItems containsSemiMixedTypes="0" containsNonDate="0" containsDate="1" containsString="0" minDate="2025-11-10T00:00:00" maxDate="2026-01-27T00:00:00"/>
    </cacheField>
    <cacheField name="PUNTO" numFmtId="0">
      <sharedItems containsBlank="1"/>
    </cacheField>
    <cacheField name="PERSONA A QUIEN REEMPLAZARA" numFmtId="0">
      <sharedItems/>
    </cacheField>
    <cacheField name="POSICION CLAVES " numFmtId="0">
      <sharedItems containsBlank="1" containsMixedTypes="1" containsNumber="1" containsInteger="1" minValue="0" maxValue="0"/>
    </cacheField>
    <cacheField name="MOTIVO " numFmtId="0">
      <sharedItems containsBlank="1"/>
    </cacheField>
    <cacheField name="FECHA MAXIMA" numFmtId="14">
      <sharedItems containsSemiMixedTypes="0" containsNonDate="0" containsDate="1" containsString="0" minDate="2025-12-02T00:00:00" maxDate="2026-02-11T00:00:00"/>
    </cacheField>
    <cacheField name="MES_INDICADOR_K" numFmtId="165">
      <sharedItems containsDate="1" containsMixedTypes="1" minDate="2025-11-01T00:00:00" maxDate="2026-02-02T00:00:00" count="6">
        <d v="2025-12-01T00:00:00"/>
        <e v="#REF!"/>
        <d v="2026-01-01T00:00:00"/>
        <d v="2026-02-01T00:00:00"/>
        <s v=""/>
        <d v="2025-11-01T00:00:00" u="1"/>
      </sharedItems>
    </cacheField>
    <cacheField name="ESTADO DEL INGRESO" numFmtId="14">
      <sharedItems count="4">
        <s v="FUERA DE TIEMPO"/>
        <s v="A TIEMPO"/>
        <s v="PENDIENTE"/>
        <e v="#REF!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1.676789004632" createdVersion="8" refreshedVersion="8" minRefreshableVersion="3" recordCount="16" xr:uid="{1EEA490C-C60D-4DFE-8F69-39E50E64578E}">
  <cacheSource type="worksheet">
    <worksheetSource name="Tabla178"/>
  </cacheSource>
  <cacheFields count="13">
    <cacheField name="NOMBRE NUEVO INGRESO" numFmtId="0">
      <sharedItems containsBlank="1"/>
    </cacheField>
    <cacheField name="CARGO" numFmtId="0">
      <sharedItems/>
    </cacheField>
    <cacheField name="ESTADO" numFmtId="0">
      <sharedItems containsBlank="1"/>
    </cacheField>
    <cacheField name="FECHA DE INGRESO " numFmtId="0">
      <sharedItems containsNonDate="0" containsDate="1" containsString="0" containsBlank="1" minDate="2025-12-03T00:00:00" maxDate="2026-01-24T00:00:00"/>
    </cacheField>
    <cacheField name="SOLICITA" numFmtId="0">
      <sharedItems containsBlank="1"/>
    </cacheField>
    <cacheField name="FECHA DE SOLICITUD " numFmtId="14">
      <sharedItems containsSemiMixedTypes="0" containsNonDate="0" containsDate="1" containsString="0" minDate="2025-12-01T00:00:00" maxDate="2026-01-27T00:00:00"/>
    </cacheField>
    <cacheField name="PUNTO" numFmtId="0">
      <sharedItems containsBlank="1"/>
    </cacheField>
    <cacheField name="PERSONA A QUIEN REEMPLAZARA" numFmtId="0">
      <sharedItems/>
    </cacheField>
    <cacheField name="POSICION CLAVES " numFmtId="0">
      <sharedItems containsBlank="1"/>
    </cacheField>
    <cacheField name="MOTIVO " numFmtId="0">
      <sharedItems containsNonDate="0" containsString="0" containsBlank="1"/>
    </cacheField>
    <cacheField name="FECHA MAXIMA" numFmtId="14">
      <sharedItems containsSemiMixedTypes="0" containsNonDate="0" containsDate="1" containsString="0" minDate="2025-12-16T00:00:00" maxDate="2026-02-17T00:00:00"/>
    </cacheField>
    <cacheField name="MES_INDICADOR_K" numFmtId="165">
      <sharedItems containsSemiMixedTypes="0" containsNonDate="0" containsDate="1" containsString="0" minDate="2025-12-01T00:00:00" maxDate="2026-02-02T00:00:00" count="3">
        <d v="2025-12-01T00:00:00"/>
        <d v="2026-01-01T00:00:00"/>
        <d v="2026-02-01T00:00:00"/>
      </sharedItems>
    </cacheField>
    <cacheField name="ESTADO DEL INGRESO" numFmtId="14">
      <sharedItems count="2">
        <s v="A TIEMPO"/>
        <s v="PENDI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1.695932175928" createdVersion="8" refreshedVersion="8" minRefreshableVersion="3" recordCount="2" xr:uid="{ED3BE0CC-4489-4A06-9EC3-A4BDE26C6845}">
  <cacheSource type="worksheet">
    <worksheetSource name="Tabla17"/>
  </cacheSource>
  <cacheFields count="13">
    <cacheField name="NOMBRE NUEVO INGRESO" numFmtId="0">
      <sharedItems/>
    </cacheField>
    <cacheField name="CARGO" numFmtId="0">
      <sharedItems/>
    </cacheField>
    <cacheField name="ESTADO" numFmtId="0">
      <sharedItems/>
    </cacheField>
    <cacheField name="FECHA DE INGRESO " numFmtId="14">
      <sharedItems containsSemiMixedTypes="0" containsNonDate="0" containsDate="1" containsString="0" minDate="2025-12-24T00:00:00" maxDate="2026-01-18T00:00:00"/>
    </cacheField>
    <cacheField name="SOLICITA" numFmtId="0">
      <sharedItems/>
    </cacheField>
    <cacheField name="FECHA DE SOLICITUD " numFmtId="14">
      <sharedItems containsSemiMixedTypes="0" containsNonDate="0" containsDate="1" containsString="0" minDate="2025-12-19T00:00:00" maxDate="2025-12-30T00:00:00"/>
    </cacheField>
    <cacheField name="PUNTO" numFmtId="0">
      <sharedItems/>
    </cacheField>
    <cacheField name="PERSONA A QUIEN REEMPLAZARA" numFmtId="0">
      <sharedItems/>
    </cacheField>
    <cacheField name="POSICION CLAVES " numFmtId="0">
      <sharedItems containsNonDate="0" containsString="0" containsBlank="1"/>
    </cacheField>
    <cacheField name="MOTIVO " numFmtId="0">
      <sharedItems containsNonDate="0" containsString="0" containsBlank="1"/>
    </cacheField>
    <cacheField name="FECHA MAXIMA" numFmtId="14">
      <sharedItems containsSemiMixedTypes="0" containsNonDate="0" containsDate="1" containsString="0" minDate="2026-01-14T00:00:00" maxDate="2026-01-22T00:00:00"/>
    </cacheField>
    <cacheField name="MES_INDICADOR_K" numFmtId="165">
      <sharedItems containsSemiMixedTypes="0" containsNonDate="0" containsDate="1" containsString="0" minDate="2026-01-01T00:00:00" maxDate="2026-02-02T00:00:00" count="2">
        <d v="2026-01-01T00:00:00"/>
        <d v="2026-02-01T00:00:00" u="1"/>
      </sharedItems>
    </cacheField>
    <cacheField name="ESTADO DEL INGRESO" numFmtId="14">
      <sharedItems count="2">
        <s v="A TIEMPO"/>
        <s v="PENDIENT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639730787036" createdVersion="8" refreshedVersion="8" minRefreshableVersion="3" recordCount="50" xr:uid="{07639EFC-22E7-4B36-B5F7-A02201E4DD36}">
  <cacheSource type="worksheet">
    <worksheetSource name="Tabla1784"/>
  </cacheSource>
  <cacheFields count="13">
    <cacheField name="NOMBRE NUEVO INGRESO" numFmtId="0">
      <sharedItems containsBlank="1"/>
    </cacheField>
    <cacheField name="CARGO" numFmtId="0">
      <sharedItems containsBlank="1"/>
    </cacheField>
    <cacheField name="ESTADO" numFmtId="0">
      <sharedItems containsBlank="1"/>
    </cacheField>
    <cacheField name="FECHA DE INGRESO " numFmtId="0">
      <sharedItems containsNonDate="0" containsDate="1" containsString="0" containsBlank="1" minDate="2025-12-04T00:00:00" maxDate="2026-01-09T00:00:00"/>
    </cacheField>
    <cacheField name="SOLICITA" numFmtId="0">
      <sharedItems containsBlank="1"/>
    </cacheField>
    <cacheField name="FECHA DE SOLICITUD " numFmtId="0">
      <sharedItems containsNonDate="0" containsDate="1" containsString="0" containsBlank="1" minDate="2025-12-02T00:00:00" maxDate="2026-01-17T00:00:00" count="6">
        <d v="2025-12-02T00:00:00"/>
        <d v="2025-12-09T00:00:00"/>
        <d v="2025-12-24T00:00:00"/>
        <d v="2026-01-06T00:00:00"/>
        <d v="2026-01-16T00:00:00"/>
        <m/>
      </sharedItems>
    </cacheField>
    <cacheField name="PUNTO" numFmtId="0">
      <sharedItems containsBlank="1"/>
    </cacheField>
    <cacheField name="PERSONA A QUIEN REEMPLAZARA" numFmtId="0">
      <sharedItems containsBlank="1"/>
    </cacheField>
    <cacheField name="POSICION CLAVES " numFmtId="0">
      <sharedItems containsNonDate="0" containsString="0" containsBlank="1"/>
    </cacheField>
    <cacheField name="MOTIVO " numFmtId="0">
      <sharedItems containsNonDate="0" containsString="0" containsBlank="1"/>
    </cacheField>
    <cacheField name="FECHA MAXIMA" numFmtId="14">
      <sharedItems containsNonDate="0" containsDate="1" containsString="0" containsBlank="1" minDate="2025-12-24T00:00:00" maxDate="2026-02-07T00:00:00"/>
    </cacheField>
    <cacheField name="MES_INDICADOR_K" numFmtId="165">
      <sharedItems containsNonDate="0" containsDate="1" containsString="0" containsBlank="1" minDate="2025-12-01T00:00:00" maxDate="2026-01-02T00:00:00" count="3">
        <d v="2025-12-01T00:00:00"/>
        <d v="2026-01-01T00:00:00"/>
        <m/>
      </sharedItems>
    </cacheField>
    <cacheField name="ESTADO DEL INGRESO" numFmtId="14">
      <sharedItems count="3">
        <s v="A TIEMPO"/>
        <s v="PENDIENTE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PEÑA LOPEZ SERGIO NICOLAS"/>
    <s v="AUXILIAR DE COCINA "/>
    <s v="CONTRATADO "/>
    <d v="2025-12-04T00:00:00"/>
    <s v="SEBASTIAN"/>
    <d v="2025-12-01T00:00:00"/>
    <s v="SUPERNUMERARIO "/>
    <s v="HORTAS VANEGAS VALENTINA"/>
    <m/>
    <m/>
    <d v="2025-12-11T00:00:00"/>
    <x v="0"/>
    <x v="0"/>
  </r>
  <r>
    <s v="ROJAS ORTIZ LINDA STEFANY"/>
    <s v="AUXILIAR DE COCINA "/>
    <s v="CONTRATADO "/>
    <d v="2025-12-04T00:00:00"/>
    <s v="JESUS"/>
    <d v="2025-12-01T00:00:00"/>
    <s v="SUPERNUMERARIO "/>
    <s v="LOZANO GAITAN JULIAN ESTID"/>
    <m/>
    <m/>
    <d v="2025-12-11T00:00:00"/>
    <x v="0"/>
    <x v="0"/>
  </r>
  <r>
    <s v="RODRIGUEZ MENDIVELSO ALAN "/>
    <s v="AUXILIAR DE COCINA "/>
    <s v="CONTRATADO "/>
    <d v="2025-12-11T00:00:00"/>
    <s v="SEBASTIAN"/>
    <d v="2025-12-05T00:00:00"/>
    <s v="TITAN"/>
    <s v="USTARIZ SAURITH YESITH PAOLA"/>
    <m/>
    <m/>
    <d v="2025-12-17T00:00:00"/>
    <x v="0"/>
    <x v="0"/>
  </r>
  <r>
    <s v="MONTALVO ZAMBRANO CARLOS ANTONIO"/>
    <s v="AUXILIAR DE COCINA "/>
    <s v="CONTRATADO "/>
    <d v="2025-12-11T00:00:00"/>
    <s v="SEBASTIAN "/>
    <d v="2025-12-10T00:00:00"/>
    <s v="SUPERNUMERARIO "/>
    <s v="GAITAN SEDANO BRAYAN EDILSON "/>
    <m/>
    <m/>
    <d v="2025-12-19T00:00:00"/>
    <x v="0"/>
    <x v="0"/>
  </r>
  <r>
    <s v="SEVERICHE CHICA JAIRIS"/>
    <s v="AUXILIAR DE SERVICIO"/>
    <s v="CONTRATADO "/>
    <d v="2025-12-11T00:00:00"/>
    <s v="JESUS"/>
    <d v="2025-12-10T00:00:00"/>
    <s v="SUPERNUMERARIO "/>
    <s v="SORIANO CADENA ALEJANDRO _x000a_"/>
    <m/>
    <m/>
    <d v="2025-12-24T00:00:00"/>
    <x v="0"/>
    <x v="0"/>
  </r>
  <r>
    <s v="HORTA CARRILLO SAMIR  ENRIQUE"/>
    <s v="AUXILIAR DE COCINA "/>
    <s v="CONTRATADO "/>
    <d v="2025-12-18T00:00:00"/>
    <s v="SEBASTIAN "/>
    <d v="2025-12-11T00:00:00"/>
    <s v="SUPERNUMERARIO "/>
    <s v="PEÑA LOPEZ SERGIO NICOLAS"/>
    <m/>
    <m/>
    <d v="2025-12-22T00:00:00"/>
    <x v="0"/>
    <x v="0"/>
  </r>
  <r>
    <s v="ROSAS JUAN ESTEBAN"/>
    <s v="AUXILIAR DE COCINA "/>
    <s v="CONTRATADO "/>
    <d v="2025-12-18T00:00:00"/>
    <s v="SEBASTIAN "/>
    <d v="2025-12-12T00:00:00"/>
    <s v="SUPERNUMERARIO "/>
    <s v="TRES PALACIOS JUAN CAMILO "/>
    <m/>
    <m/>
    <d v="2025-12-23T00:00:00"/>
    <x v="0"/>
    <x v="0"/>
  </r>
  <r>
    <s v="CORTES RIVERA YEYNNE JOHANNA"/>
    <s v="AUXILIAR DE COCINA "/>
    <s v="CONTRATADO "/>
    <d v="2025-12-18T00:00:00"/>
    <s v="SEBASTIAN"/>
    <d v="2025-12-12T00:00:00"/>
    <s v="SUPERNUMERARIO "/>
    <s v="VIRGUEZ SUAREZ YEISON ALEXANDER"/>
    <m/>
    <m/>
    <d v="2025-12-23T00:00:00"/>
    <x v="0"/>
    <x v="0"/>
  </r>
  <r>
    <s v="MEJIA BURGOS ENIRLEYDIS"/>
    <s v="AUXILIAR DE SERVICIO"/>
    <s v="CONTRATADO "/>
    <d v="2025-12-18T00:00:00"/>
    <s v="SEBASTIAN"/>
    <d v="2025-12-16T00:00:00"/>
    <s v="TITAN"/>
    <s v="SANTA AGUDELO CARLOS ALBERTO"/>
    <m/>
    <m/>
    <d v="2025-12-31T00:00:00"/>
    <x v="0"/>
    <x v="0"/>
  </r>
  <r>
    <s v="ORTEGA OSORIO LEONARDO JOSE"/>
    <s v="AUXILIAR DE COCINA "/>
    <s v="CONTRATADO "/>
    <d v="2025-12-18T00:00:00"/>
    <s v="SEBASTIAN"/>
    <d v="2025-12-17T00:00:00"/>
    <s v="SUPERNUMERARIO "/>
    <s v="OLIVARES PEREZ LUIS JOSE "/>
    <m/>
    <m/>
    <d v="2025-12-29T00:00:00"/>
    <x v="1"/>
    <x v="0"/>
  </r>
  <r>
    <s v="CACERES PERDOMO LEIDY CARLINA"/>
    <s v="AUXILIAR DE SERVICIO"/>
    <s v="CONTRATADO "/>
    <d v="2025-12-22T00:00:00"/>
    <s v="JESUS"/>
    <d v="2025-12-18T00:00:00"/>
    <s v="SUPERNUMERARIO "/>
    <s v="SEVERICHE CHICA JAIRIS"/>
    <m/>
    <m/>
    <d v="2026-01-05T00:00:00"/>
    <x v="1"/>
    <x v="0"/>
  </r>
  <r>
    <s v="ROMERO BERRIO YARELIS BEATRIZ"/>
    <s v="AUXILIAR DE COCINA "/>
    <s v="CONTRATADO "/>
    <d v="2025-12-18T00:00:00"/>
    <s v="SEBASTIAN"/>
    <d v="2025-12-20T00:00:00"/>
    <s v="SUPERNUMERARIO "/>
    <s v="DOMINGUEZ FRIA YIBRAN JOSE"/>
    <m/>
    <m/>
    <d v="2025-12-31T00:00:00"/>
    <x v="1"/>
    <x v="1"/>
  </r>
  <r>
    <s v="WANDURRUAGA REYES  MARIO ALEJANDRO"/>
    <s v="AUXILIAR DE COCINA "/>
    <s v="CONTRATADO "/>
    <d v="2026-01-05T00:00:00"/>
    <s v="SEBASTIAN"/>
    <d v="2025-12-29T00:00:00"/>
    <s v="SUPERNUMERARIO "/>
    <s v="CORTES RIVERA YEYNNE JOHANNA"/>
    <m/>
    <m/>
    <d v="2026-01-08T00:00:00"/>
    <x v="1"/>
    <x v="0"/>
  </r>
  <r>
    <s v="EN PROCESO "/>
    <s v="AUXILIAR DE COCINA "/>
    <m/>
    <m/>
    <s v="SEBASTIAN"/>
    <d v="2025-12-29T00:00:00"/>
    <s v="SUPERNUMERARIO "/>
    <s v="CASTILLA FLOREZ ANDREA PATRICIA"/>
    <m/>
    <m/>
    <d v="2026-01-08T00:00:00"/>
    <x v="1"/>
    <x v="1"/>
  </r>
  <r>
    <s v="EN PROCESO "/>
    <s v="AUXILIAR DE SERVICIO"/>
    <m/>
    <m/>
    <s v="JESUS"/>
    <d v="2025-12-29T00:00:00"/>
    <s v="SUPERNUMERARIO "/>
    <s v="CACERES PERDOMO LEIDY CARLINA"/>
    <m/>
    <m/>
    <d v="2026-01-14T00:00:00"/>
    <x v="1"/>
    <x v="1"/>
  </r>
  <r>
    <s v="EN PROCESO "/>
    <s v="CAJERO "/>
    <s v=" "/>
    <m/>
    <s v="JESUS"/>
    <d v="2026-01-05T00:00:00"/>
    <s v="CENTRO MAYOR"/>
    <s v="TRESPALACIOS GARCIA JUAN DAVID"/>
    <m/>
    <m/>
    <d v="2026-01-20T00:00:00"/>
    <x v="1"/>
    <x v="1"/>
  </r>
  <r>
    <s v="EN PROCESO "/>
    <s v="AUXILIAR DE COCINA "/>
    <s v=" "/>
    <m/>
    <s v="JESUS"/>
    <d v="2026-01-05T00:00:00"/>
    <s v="CENTRO MAYOR"/>
    <s v="CAMACHO HERRERA DIEGO MARIO"/>
    <m/>
    <m/>
    <d v="2026-01-15T00:00:0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SANTIAGO SARMIENTO LOPEZ"/>
    <s v="AUXILIAR DE COCINA"/>
    <s v="CONTRATADO"/>
    <d v="2025-10-22T00:00:00"/>
    <s v="ANGIE"/>
    <d v="2025-10-01T00:00:00"/>
    <s v="SANTA FE "/>
    <s v="PERSONAL DE TEMPORADA "/>
    <m/>
    <m/>
    <d v="2025-10-15T00:00:00"/>
    <x v="0"/>
    <x v="0"/>
  </r>
  <r>
    <s v="YAN CARLOS VARGAS CARRILLO"/>
    <s v="AUXILIAR DE COCINA"/>
    <s v="CONTRATADO"/>
    <d v="2025-10-22T00:00:00"/>
    <s v="ANGIE"/>
    <d v="2025-10-01T00:00:00"/>
    <s v="ARKADIA "/>
    <s v="PERSONAL DE TEMPORADA "/>
    <m/>
    <m/>
    <d v="2025-10-15T00:00:00"/>
    <x v="0"/>
    <x v="0"/>
  </r>
  <r>
    <s v="ANDRY YURINA ARBOLEDA"/>
    <s v="AUXILIAR DE COCINA"/>
    <s v="CONTRATADO"/>
    <d v="2025-11-14T00:00:00"/>
    <s v="ANGIE"/>
    <d v="2025-10-01T00:00:00"/>
    <s v="TESORO"/>
    <s v="PERSONAL DE TEMPORADA "/>
    <m/>
    <m/>
    <d v="2025-10-15T00:00:00"/>
    <x v="0"/>
    <x v="0"/>
  </r>
  <r>
    <s v="MARISOL ECHEVERRY GARCIA"/>
    <s v="AUXILIAR DE COCINA"/>
    <s v="CONTRATADO"/>
    <d v="2025-11-14T00:00:00"/>
    <s v="ANGIE"/>
    <d v="2025-10-01T00:00:00"/>
    <s v="VIVA ENVIGADO "/>
    <s v="PERSONAL DE TEMPORADA "/>
    <m/>
    <m/>
    <d v="2025-10-15T00:00:00"/>
    <x v="0"/>
    <x v="0"/>
  </r>
  <r>
    <s v="ANGELA MARIA PULGARÍN"/>
    <s v="AUXILIAR DE COCINA"/>
    <s v="CONTRATADO"/>
    <d v="2025-11-20T00:00:00"/>
    <s v="ANGIE"/>
    <d v="2025-10-01T00:00:00"/>
    <s v="MOLINOS"/>
    <s v="PERSONAL DE TEMPORADA "/>
    <m/>
    <m/>
    <d v="2025-10-15T00:00:00"/>
    <x v="0"/>
    <x v="0"/>
  </r>
  <r>
    <s v="ANGELICA PATRICIA VEGA"/>
    <s v="AUXILIAR DE COCINA"/>
    <s v="CONTRATADO"/>
    <d v="2025-11-20T00:00:00"/>
    <s v="ANGIE"/>
    <d v="2025-10-01T00:00:00"/>
    <s v="GRAN PLAZA "/>
    <s v="PERSONAL DE TEMPORADA "/>
    <m/>
    <m/>
    <d v="2025-10-15T00:00:00"/>
    <x v="0"/>
    <x v="0"/>
  </r>
  <r>
    <s v="MARISOL VALOY"/>
    <s v="AUXILIAR DE COCINA"/>
    <s v="CONTRATADO"/>
    <d v="2025-11-20T00:00:00"/>
    <s v="ANGIE"/>
    <d v="2025-10-01T00:00:00"/>
    <s v="FABRICATO "/>
    <s v="PERSONAL DE TEMPORADA "/>
    <m/>
    <m/>
    <d v="2025-10-15T00:00:00"/>
    <x v="0"/>
    <x v="0"/>
  </r>
  <r>
    <s v="DINA LUZ PEÑA"/>
    <s v="AUXILIAR DE COCINA"/>
    <s v="CONTRATADO"/>
    <d v="2025-11-11T00:00:00"/>
    <s v="ANGIE"/>
    <d v="2025-10-01T00:00:00"/>
    <s v="PUERTA DEL NORTE "/>
    <s v="PERSONAL DE TEMPORADA "/>
    <m/>
    <m/>
    <d v="2025-10-15T00:00:00"/>
    <x v="0"/>
    <x v="0"/>
  </r>
  <r>
    <s v="EMILCE ISABEL HERNANDEZ"/>
    <s v="AUXILIAR DE COCINA"/>
    <s v="CONTRATADO"/>
    <d v="2025-11-26T00:00:00"/>
    <s v="ANGIE"/>
    <d v="2025-10-01T00:00:00"/>
    <s v="MAYORCA 2 "/>
    <s v="PERSONAL DE TEMPORADA "/>
    <m/>
    <m/>
    <d v="2025-10-15T00:00:00"/>
    <x v="0"/>
    <x v="0"/>
  </r>
  <r>
    <m/>
    <s v="AUXILIAR DE SERVICIO"/>
    <m/>
    <m/>
    <s v="ANGIE"/>
    <d v="2025-10-02T00:00:00"/>
    <s v="FABRICATO "/>
    <s v="PERSONAL DE TEMPORADA "/>
    <m/>
    <m/>
    <d v="2025-10-23T00:00:00"/>
    <x v="0"/>
    <x v="1"/>
  </r>
  <r>
    <m/>
    <s v="AUXILIAR DE SERVICIO"/>
    <m/>
    <m/>
    <s v="ANGIE"/>
    <d v="2025-10-02T00:00:00"/>
    <s v="ARKADIA "/>
    <s v="PERSONAL DE TEMPORADA "/>
    <m/>
    <m/>
    <d v="2025-10-23T00:00:00"/>
    <x v="0"/>
    <x v="1"/>
  </r>
  <r>
    <m/>
    <s v="AUXILIAR DE SERVICIO"/>
    <m/>
    <m/>
    <s v="ANGIE"/>
    <d v="2025-10-02T00:00:00"/>
    <s v="SANTA FE "/>
    <s v="PERSONAL DE TEMPORADA "/>
    <m/>
    <m/>
    <d v="2025-10-23T00:00:00"/>
    <x v="0"/>
    <x v="1"/>
  </r>
  <r>
    <m/>
    <s v="AUXILIAR DE SERVICIO"/>
    <m/>
    <m/>
    <s v="ANGIE"/>
    <d v="2025-10-02T00:00:00"/>
    <s v="MOLINOS "/>
    <s v="PERSONAL DE TEMPORADA "/>
    <m/>
    <m/>
    <d v="2025-10-23T00:00:00"/>
    <x v="0"/>
    <x v="1"/>
  </r>
  <r>
    <m/>
    <s v="AUXILIAR DE SERVICIO"/>
    <m/>
    <m/>
    <s v="ANGIE"/>
    <d v="2025-10-02T00:00:00"/>
    <s v="TESORO "/>
    <s v="PERSONAL DE TEMPORADA "/>
    <m/>
    <m/>
    <d v="2025-10-23T00:00:00"/>
    <x v="0"/>
    <x v="1"/>
  </r>
  <r>
    <s v="ANDRES FELIPE AREIZA"/>
    <s v="AUXILIAR DE LOGISTICA"/>
    <m/>
    <d v="2025-10-14T00:00:00"/>
    <s v="ANGIE"/>
    <d v="2025-09-30T00:00:00"/>
    <s v="PLANTA"/>
    <s v="PERSONAL DE TEMPORADA"/>
    <m/>
    <m/>
    <d v="2025-10-21T00:00:00"/>
    <x v="0"/>
    <x v="2"/>
  </r>
  <r>
    <s v="SANTIAGO RENTERIA "/>
    <s v="AUXILIAR DE LOGISTICA"/>
    <s v="CONTRATADO"/>
    <d v="2025-10-23T00:00:00"/>
    <s v="ANGIE"/>
    <d v="2025-09-30T00:00:00"/>
    <s v="PLANTA"/>
    <s v="PERSONAL DE TEMPORADA"/>
    <m/>
    <m/>
    <d v="2025-10-21T00:00:00"/>
    <x v="0"/>
    <x v="0"/>
  </r>
  <r>
    <m/>
    <s v="AUXILIAR DE LOGISTICA"/>
    <m/>
    <m/>
    <s v="ANGIE"/>
    <d v="2025-09-30T00:00:00"/>
    <s v="PLANTA"/>
    <s v="PERSONAL DE TEMPORADA"/>
    <m/>
    <m/>
    <d v="2025-10-21T00:00:00"/>
    <x v="0"/>
    <x v="1"/>
  </r>
  <r>
    <s v="JUAN GABRIEL ALVAREZ JARAMILLO"/>
    <s v="AUXILIAR DE PRODUCCION"/>
    <s v="CONTRATADO"/>
    <d v="2025-10-17T00:00:00"/>
    <s v="MARINEZ"/>
    <d v="2025-09-01T00:00:00"/>
    <s v="PLANTA"/>
    <s v="PERSONAL DE TEMPORADA"/>
    <m/>
    <m/>
    <d v="2025-09-22T00:00:00"/>
    <x v="1"/>
    <x v="0"/>
  </r>
  <r>
    <s v="ALBERTO SANTOS JR JIMENEZ"/>
    <s v="AUXILIAR DE PRODUCCION"/>
    <s v="CONTRATADO"/>
    <d v="2025-11-26T00:00:00"/>
    <s v="MARINEZ"/>
    <d v="2025-09-01T00:00:00"/>
    <s v="PLANTA"/>
    <s v="PERSONAL DE TEMPORADA"/>
    <m/>
    <m/>
    <d v="2025-09-22T00:00:00"/>
    <x v="1"/>
    <x v="0"/>
  </r>
  <r>
    <m/>
    <s v="AUXILIAR DE PRODUCCION"/>
    <m/>
    <m/>
    <s v="MARINEZ"/>
    <d v="2025-09-01T00:00:00"/>
    <s v="PLANTA"/>
    <s v="PERSONAL DE TEMPORADA"/>
    <m/>
    <m/>
    <d v="2025-09-22T00:00:00"/>
    <x v="1"/>
    <x v="1"/>
  </r>
  <r>
    <m/>
    <s v="AUXILIAR DE PRODUCCION"/>
    <m/>
    <m/>
    <s v="MARINEZ"/>
    <d v="2025-09-01T00:00:00"/>
    <s v="PLANTA"/>
    <s v="PERSONAL DE TEMPORADA"/>
    <m/>
    <m/>
    <d v="2025-09-22T00:00:00"/>
    <x v="1"/>
    <x v="1"/>
  </r>
  <r>
    <s v="GENESIS MOROCOIMA IBAÑEZ"/>
    <s v="AUXILIAR DE COCINA"/>
    <s v="CONTRATADO"/>
    <d v="2025-10-24T00:00:00"/>
    <s v="ANGIE"/>
    <d v="2025-10-01T00:00:00"/>
    <s v="CALI"/>
    <s v="PERSONAL DE TEMPORADA"/>
    <m/>
    <m/>
    <d v="2025-10-15T00:00:00"/>
    <x v="0"/>
    <x v="0"/>
  </r>
  <r>
    <s v="ESTEBAN FELIPE CONDA PÉREZ"/>
    <s v="AUXILIAR DE SERVICIO"/>
    <s v="CONTRATADO"/>
    <d v="2025-10-10T00:00:00"/>
    <s v="ANGIE"/>
    <d v="2025-10-01T00:00:00"/>
    <s v="CALI"/>
    <s v="PERSONAL DE TEMPORADA"/>
    <m/>
    <m/>
    <d v="2025-10-22T00:00:00"/>
    <x v="0"/>
    <x v="2"/>
  </r>
  <r>
    <m/>
    <s v="AUXILIAR DE LOGISTICA"/>
    <m/>
    <m/>
    <s v="DANI"/>
    <d v="2025-10-29T00:00:00"/>
    <s v="MEDELLIN"/>
    <s v="SANTIAGO RENTERIA"/>
    <m/>
    <m/>
    <d v="2025-11-21T00:00:00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  <m/>
    <m/>
    <m/>
    <s v="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REY DAVID VALDERRAMA DIAZ"/>
    <x v="0"/>
    <s v="CONTRATADO"/>
    <d v="2025-12-24T00:00:00"/>
    <s v="ANGIE"/>
    <d v="2025-11-10T00:00:00"/>
    <s v="MAYORCA 2 "/>
    <s v="BENITEZ GUERRERO YESMIN ADRIANA"/>
    <m/>
    <m/>
    <d v="2025-12-02T00:00:00"/>
    <x v="0"/>
    <x v="0"/>
  </r>
  <r>
    <s v="MARISOL ECHEVERRY GARCIA"/>
    <x v="0"/>
    <s v="CONTRATADO"/>
    <d v="2025-11-14T00:00:00"/>
    <s v="ANGIE"/>
    <d v="2025-11-11T00:00:00"/>
    <s v="VEGAS PLAZA "/>
    <s v="ENMANUEL TUBERQUIA PEREZ "/>
    <m/>
    <m/>
    <d v="2025-12-03T00:00:00"/>
    <x v="0"/>
    <x v="1"/>
  </r>
  <r>
    <s v="DINA LUZ PEÑA"/>
    <x v="1"/>
    <s v="CONTRATADO"/>
    <d v="2025-11-11T00:00:00"/>
    <s v="ANGIE"/>
    <d v="2025-11-18T00:00:00"/>
    <s v="PUERTA DEL NORTE "/>
    <s v="MARIA ALEJANDRA ALMANZA RAMIREZ"/>
    <m/>
    <m/>
    <d v="2025-12-02T00:00:00"/>
    <x v="0"/>
    <x v="2"/>
  </r>
  <r>
    <s v="JULIAN ANDRES VALENCIA"/>
    <x v="1"/>
    <s v="CONTRATADO"/>
    <d v="2025-11-22T00:00:00"/>
    <s v="ANGIE"/>
    <d v="2025-11-18T00:00:00"/>
    <s v="ENVIGADO "/>
    <s v="JUAN SEBASTIAN CELIS BLANDON "/>
    <m/>
    <m/>
    <d v="2025-12-02T00:00:00"/>
    <x v="0"/>
    <x v="1"/>
  </r>
  <r>
    <s v="MIGUEL ANGEL CASTAÑO"/>
    <x v="1"/>
    <s v="CONTRATADO"/>
    <d v="2025-11-22T00:00:00"/>
    <s v="ANGIE"/>
    <d v="2025-11-18T00:00:00"/>
    <s v="SUPERNUEMRARIA "/>
    <s v="YERIKA BIBIANA ARIAS VASQUEZ "/>
    <m/>
    <m/>
    <d v="2025-12-02T00:00:00"/>
    <x v="0"/>
    <x v="1"/>
  </r>
  <r>
    <s v="PAULA ANDREA MOSQUERA"/>
    <x v="1"/>
    <s v="CONTRATADO"/>
    <d v="2025-11-22T00:00:00"/>
    <s v="ANGIE"/>
    <d v="2025-11-18T00:00:00"/>
    <s v="DISTRITO VERA "/>
    <s v="ALEXANDER MACHADO OSORIO "/>
    <m/>
    <m/>
    <d v="2025-12-02T00:00:00"/>
    <x v="0"/>
    <x v="1"/>
  </r>
  <r>
    <s v="PAULA ANDREA RAMIREZ"/>
    <x v="1"/>
    <s v="CONTRATADO"/>
    <d v="2025-11-22T00:00:00"/>
    <s v="ANGIE"/>
    <d v="2025-11-18T00:00:00"/>
    <s v="SUPERNUMERARIO "/>
    <s v="JENNY JOHANA RENGIFO JARAMILLO"/>
    <m/>
    <m/>
    <d v="2025-12-02T00:00:00"/>
    <x v="0"/>
    <x v="1"/>
  </r>
  <r>
    <s v="KAREN YANETH ANAYA"/>
    <x v="1"/>
    <s v="CONTRATADO"/>
    <d v="2025-11-26T00:00:00"/>
    <s v="ANGIE"/>
    <d v="2025-11-18T00:00:00"/>
    <s v="DISTRITO VERA "/>
    <s v="SEBASTIAN SANCHEZ MARIN "/>
    <m/>
    <m/>
    <d v="2025-12-02T00:00:00"/>
    <x v="0"/>
    <x v="1"/>
  </r>
  <r>
    <s v="NELLIS JUDITH GAMEZ LOPEZ"/>
    <x v="1"/>
    <s v="CONTRATADO"/>
    <d v="2025-11-28T00:00:00"/>
    <s v="ANGIE"/>
    <d v="2025-11-18T00:00:00"/>
    <s v="SUPERNUEMRARIA "/>
    <s v="LUISA FERNANDA AGUDELO CEBALLOS"/>
    <m/>
    <m/>
    <d v="2025-12-02T00:00:00"/>
    <x v="0"/>
    <x v="1"/>
  </r>
  <r>
    <s v="PAULA ANDREA LONDOÑO GUERRERO"/>
    <x v="1"/>
    <s v="CONTRATADO"/>
    <d v="2025-11-28T00:00:00"/>
    <s v="ANGIE"/>
    <d v="2025-11-18T00:00:00"/>
    <s v="SUPERNUMERARIO "/>
    <s v="LUIS CARLOS CUADRADO MORA "/>
    <m/>
    <m/>
    <d v="2025-12-02T00:00:00"/>
    <x v="0"/>
    <x v="1"/>
  </r>
  <r>
    <s v="DEILER RAMIREZ MENDOSA"/>
    <x v="1"/>
    <s v="CONTRATADO"/>
    <d v="2025-12-02T00:00:00"/>
    <s v="ANGIE"/>
    <d v="2025-11-18T00:00:00"/>
    <s v="OVIEDO "/>
    <s v="BRANDIS LUZ BELLO BLANCO "/>
    <m/>
    <m/>
    <d v="2025-12-02T00:00:00"/>
    <x v="0"/>
    <x v="1"/>
  </r>
  <r>
    <s v="EMILCE ISABEL HERNANDEZ"/>
    <x v="0"/>
    <s v="CONTRATADO"/>
    <d v="2025-11-26T00:00:00"/>
    <s v="ANGIE"/>
    <d v="2025-11-18T00:00:00"/>
    <m/>
    <s v="VALENCIA PROAÑOS JENNY ALEJANDRA"/>
    <m/>
    <m/>
    <d v="2025-12-10T00:00:00"/>
    <x v="0"/>
    <x v="1"/>
  </r>
  <r>
    <s v="MARIO ANDRES MAIGUAL COGOLLO"/>
    <x v="1"/>
    <s v="CONTRATADO"/>
    <d v="2025-12-04T00:00:00"/>
    <s v="ANGIE"/>
    <d v="2025-11-20T00:00:00"/>
    <s v="FLORIDA 1 "/>
    <s v="MARCELA YULIETH MARTINEZ BLANDON "/>
    <m/>
    <m/>
    <d v="2025-12-04T00:00:00"/>
    <x v="0"/>
    <x v="1"/>
  </r>
  <r>
    <s v="MONICA MARCELA MONTOYA CAÑAS"/>
    <x v="1"/>
    <s v="CONTRATADO"/>
    <d v="2025-12-04T00:00:00"/>
    <s v="ANGIE"/>
    <d v="2025-11-20T00:00:00"/>
    <s v="SANTA FE "/>
    <s v="HERNANDEZ ANGULO NAUDITH"/>
    <m/>
    <m/>
    <d v="2025-12-04T00:00:00"/>
    <x v="0"/>
    <x v="1"/>
  </r>
  <r>
    <s v="CINDI MILENA MARTINEZ IBARGUEN"/>
    <x v="1"/>
    <s v="CONTRATADO"/>
    <d v="2025-12-03T00:00:00"/>
    <s v="ANGIE"/>
    <d v="2025-11-21T00:00:00"/>
    <s v="LA CENTRAL"/>
    <s v="JUAN ESTEBAN RIOS PALACIO "/>
    <m/>
    <m/>
    <d v="2025-12-05T00:00:00"/>
    <x v="0"/>
    <x v="1"/>
  </r>
  <r>
    <s v="NATALIA ANDREA HOLGUIN"/>
    <x v="1"/>
    <s v="CONTRATADO"/>
    <d v="2025-12-03T00:00:00"/>
    <s v="ANGIE"/>
    <d v="2025-11-21T00:00:00"/>
    <s v="OVIEDO "/>
    <s v="NORLIDIS LLORENTE "/>
    <m/>
    <m/>
    <d v="2025-12-05T00:00:00"/>
    <x v="0"/>
    <x v="1"/>
  </r>
  <r>
    <s v="JULIAN DAVID POLO BARRIOS"/>
    <x v="1"/>
    <s v="CONTRATADO"/>
    <d v="2025-12-16T00:00:00"/>
    <s v="ANGIE"/>
    <d v="2025-11-21T00:00:00"/>
    <s v="FLORIDA 2 "/>
    <s v="NUÑES HORTA MARIA JOSE"/>
    <m/>
    <m/>
    <d v="2025-12-05T00:00:00"/>
    <x v="0"/>
    <x v="0"/>
  </r>
  <r>
    <s v="EMILCE ISABEL HERNANDEZ"/>
    <x v="0"/>
    <s v="CONTRATADO"/>
    <d v="2025-11-26T00:00:00"/>
    <s v="ANGIE"/>
    <d v="2025-11-24T00:00:00"/>
    <m/>
    <s v="VALENCIA PROAÑOS JENNY ALEJANDRA"/>
    <m/>
    <m/>
    <d v="2025-12-16T00:00:00"/>
    <x v="0"/>
    <x v="1"/>
  </r>
  <r>
    <s v="ELIANA ESTRADA SUAREZ"/>
    <x v="0"/>
    <s v="CONTRATADO"/>
    <d v="2025-12-16T00:00:00"/>
    <s v="ANGIE"/>
    <d v="2025-11-24T00:00:00"/>
    <s v="SUPERNUMERARIO "/>
    <s v="SINDY PATRICIA MELENDRES SALGADO"/>
    <m/>
    <m/>
    <d v="2025-12-16T00:00:00"/>
    <x v="0"/>
    <x v="1"/>
  </r>
  <r>
    <s v="YEINIS GRACIALA GUTIERREZ"/>
    <x v="0"/>
    <s v="CONTRATADO"/>
    <d v="2025-12-16T00:00:00"/>
    <s v="ANGIE"/>
    <d v="2025-11-25T00:00:00"/>
    <s v="VIVA LAURELES"/>
    <s v="VALDERRAMA ORTEGA KEVIN"/>
    <m/>
    <m/>
    <d v="2025-12-17T00:00:00"/>
    <x v="0"/>
    <x v="1"/>
  </r>
  <r>
    <s v="ANGELA CÉCILIA ÁLVAREZ"/>
    <x v="0"/>
    <s v="CONTRATADO"/>
    <d v="2025-12-16T00:00:00"/>
    <s v="ANGIE"/>
    <d v="2025-11-25T00:00:00"/>
    <s v="LA CENTRAL"/>
    <s v="JULIAN ANDRES VALENCIA OCAMPO "/>
    <m/>
    <m/>
    <d v="2025-12-17T00:00:00"/>
    <x v="0"/>
    <x v="1"/>
  </r>
  <r>
    <s v="DERWIN PAJARO MEDINA"/>
    <x v="0"/>
    <s v="CONTRATADO"/>
    <d v="2026-01-19T00:00:00"/>
    <s v="ANGIE"/>
    <d v="2025-11-25T00:00:00"/>
    <s v="SANTA FE "/>
    <s v="BERRIO GUEVARA MARIA ISABEL"/>
    <m/>
    <m/>
    <d v="2025-12-17T00:00:00"/>
    <x v="0"/>
    <x v="0"/>
  </r>
  <r>
    <s v="KAREN DALLANA LARGACHA"/>
    <x v="1"/>
    <s v="CONTRATADO"/>
    <d v="2025-12-17T00:00:00"/>
    <s v="ANGIE"/>
    <d v="2025-12-02T00:00:00"/>
    <s v="SUPERNUMERARIO "/>
    <s v="ORREGO CALLE LAURA"/>
    <m/>
    <m/>
    <d v="2025-12-17T00:00:00"/>
    <x v="0"/>
    <x v="1"/>
  </r>
  <r>
    <s v="LUISA FERNANDA PELUFO"/>
    <x v="1"/>
    <s v="CONTRATADO"/>
    <d v="2025-12-16T00:00:00"/>
    <s v="ANGIE"/>
    <d v="2025-12-03T00:00:00"/>
    <s v="VIVA ENVIGADO "/>
    <s v="PEREZ BERRIO LEIDIS"/>
    <m/>
    <m/>
    <d v="2025-12-18T00:00:00"/>
    <x v="0"/>
    <x v="1"/>
  </r>
  <r>
    <s v="LEIDY BIVIANA GALVIS"/>
    <x v="1"/>
    <s v="CONTRATADO"/>
    <d v="2025-12-17T00:00:00"/>
    <s v="ANGIE"/>
    <d v="2025-12-03T00:00:00"/>
    <s v="ARKADIA "/>
    <s v="OCHOA SANCHEZ MARIANA"/>
    <m/>
    <m/>
    <d v="2025-12-18T00:00:00"/>
    <x v="0"/>
    <x v="1"/>
  </r>
  <r>
    <s v="LAURA ECHAVARRIA "/>
    <x v="1"/>
    <s v="CONTRATADO"/>
    <d v="2025-12-17T00:00:00"/>
    <s v="ANGIE"/>
    <d v="2025-12-03T00:00:00"/>
    <s v="GRAN PLAZA "/>
    <s v="CHANCI NAVARRO YULIETH PAOLA"/>
    <n v="0"/>
    <m/>
    <d v="2025-12-18T00:00:00"/>
    <x v="0"/>
    <x v="1"/>
  </r>
  <r>
    <s v="SACRA ISABEL COCHERO"/>
    <x v="1"/>
    <s v="CONTRATADO"/>
    <d v="2025-12-17T00:00:00"/>
    <s v="ANGIE"/>
    <d v="2025-12-03T00:00:00"/>
    <s v="VIVA ENVIGADO "/>
    <s v="ROHIMER RAMON RONDON"/>
    <m/>
    <m/>
    <d v="2025-12-18T00:00:00"/>
    <x v="0"/>
    <x v="1"/>
  </r>
  <r>
    <s v="MARIA ANA CIRIA PLACIOS"/>
    <x v="1"/>
    <s v="CONTRATADO"/>
    <d v="2025-12-19T00:00:00"/>
    <s v="ANGIE"/>
    <d v="2025-12-03T00:00:00"/>
    <s v="MAYORCA 1 "/>
    <s v="GARCÍA CADAVID MATEO SMIT"/>
    <m/>
    <m/>
    <d v="2025-12-24T00:00:00"/>
    <x v="0"/>
    <x v="1"/>
  </r>
  <r>
    <s v="SARA  GUTIERREZ "/>
    <x v="1"/>
    <s v="CONTRATADO"/>
    <d v="2025-12-19T00:00:00"/>
    <s v="ANGIE"/>
    <d v="2025-12-03T00:00:00"/>
    <s v="OVIEDO "/>
    <s v="PEDROZO ZANBRANO RICARDO"/>
    <m/>
    <m/>
    <d v="2025-12-24T00:00:00"/>
    <x v="0"/>
    <x v="1"/>
  </r>
  <r>
    <s v="DRAIDY YESELY MEJIA "/>
    <x v="1"/>
    <s v="CONTRATADO"/>
    <d v="2025-12-19T00:00:00"/>
    <s v="ANGIE"/>
    <d v="2025-12-03T00:00:00"/>
    <s v="OVIEDO "/>
    <s v="FUENTES NARANJO NICK MICHELL"/>
    <m/>
    <m/>
    <d v="2025-12-24T00:00:00"/>
    <x v="0"/>
    <x v="1"/>
  </r>
  <r>
    <s v="YASITH LUZ HERRERA PEREZ"/>
    <x v="0"/>
    <s v="CONTRATADO"/>
    <d v="2026-01-02T00:00:00"/>
    <s v="ANGIE"/>
    <d v="2025-12-04T00:00:00"/>
    <s v="SUPERNUMERARIA "/>
    <s v="CAROLINA LOPEZ ZAPATA"/>
    <m/>
    <m/>
    <d v="2025-12-29T00:00:00"/>
    <x v="1"/>
    <x v="0"/>
  </r>
  <r>
    <s v="VALENTINA VANESSA GOMEZ"/>
    <x v="1"/>
    <s v="CONTRATADO"/>
    <d v="2025-12-19T00:00:00"/>
    <s v="ANGIE"/>
    <d v="2025-12-05T00:00:00"/>
    <s v="DE MODA"/>
    <s v="BONILLA FERNANDEZ RICARDO ENMANUEL"/>
    <m/>
    <m/>
    <d v="2025-12-22T00:00:00"/>
    <x v="0"/>
    <x v="1"/>
  </r>
  <r>
    <s v="JOSE ANGEL MEZA"/>
    <x v="1"/>
    <s v="CONTRATADO"/>
    <d v="2025-12-19T00:00:00"/>
    <s v="ANGIE"/>
    <d v="2025-12-05T00:00:00"/>
    <s v="VIVA ENVIGADO "/>
    <s v="DOGIRAMA MANYOMA JHOANA"/>
    <m/>
    <m/>
    <d v="2025-12-22T00:00:00"/>
    <x v="0"/>
    <x v="1"/>
  </r>
  <r>
    <s v="SARAI MARIA HERNANDEZ"/>
    <x v="1"/>
    <s v="CONTRATADO"/>
    <d v="2025-12-19T00:00:00"/>
    <s v="ANGIE"/>
    <d v="2025-12-05T00:00:00"/>
    <s v="SANTA FE "/>
    <s v="SILGADO RUIZ LUISANA"/>
    <m/>
    <m/>
    <d v="2025-12-22T00:00:00"/>
    <x v="0"/>
    <x v="1"/>
  </r>
  <r>
    <s v="DIEGO ALONSO OCAMPO YEPES"/>
    <x v="1"/>
    <s v="CONTRATADO"/>
    <d v="2025-12-19T00:00:00"/>
    <s v="ANGIE"/>
    <d v="2025-12-08T00:00:00"/>
    <s v="DE MODA"/>
    <s v="ORTEGA PALMA JANER RAFAEL"/>
    <m/>
    <m/>
    <d v="2025-12-22T00:00:00"/>
    <x v="0"/>
    <x v="1"/>
  </r>
  <r>
    <s v="LILIAM YISET ROMERO BARBOZA"/>
    <x v="1"/>
    <s v="CONTRATADO"/>
    <d v="2026-01-09T00:00:00"/>
    <s v="ANGIE"/>
    <d v="2025-12-12T00:00:00"/>
    <m/>
    <s v="YENIFER PAOLA MORENO PEREZ"/>
    <m/>
    <m/>
    <d v="2025-12-29T00:00:00"/>
    <x v="0"/>
    <x v="0"/>
  </r>
  <r>
    <s v="YUDY NATALIA FLOREZ MANCO"/>
    <x v="1"/>
    <s v="CONTRATADO"/>
    <d v="2026-01-07T00:00:00"/>
    <s v="ANGIE"/>
    <d v="2025-12-12T00:00:00"/>
    <m/>
    <s v="JESUS ALBERTO SEPULVEDA BELTRAN"/>
    <m/>
    <m/>
    <d v="2025-12-29T00:00:00"/>
    <x v="0"/>
    <x v="0"/>
  </r>
  <r>
    <s v="SUSANA RIOS MEJIA"/>
    <x v="1"/>
    <s v="CONTRATADO"/>
    <d v="2026-01-09T00:00:00"/>
    <s v="ANGIE"/>
    <d v="2025-12-12T00:00:00"/>
    <m/>
    <s v="LEIDIS TATIANA MONTERROZA GIL "/>
    <m/>
    <m/>
    <d v="2025-12-29T00:00:00"/>
    <x v="0"/>
    <x v="0"/>
  </r>
  <r>
    <s v="YORLEIDYS PEÑATA  HERRERA"/>
    <x v="1"/>
    <s v="CONTRATADO"/>
    <d v="2026-01-09T00:00:00"/>
    <s v="ANGIE"/>
    <d v="2025-12-12T00:00:00"/>
    <m/>
    <s v="LEIDY DIANA MONTERROSA GIL "/>
    <m/>
    <m/>
    <d v="2025-12-29T00:00:00"/>
    <x v="0"/>
    <x v="0"/>
  </r>
  <r>
    <s v="YULIANA MOSQIERA MOSQUERA"/>
    <x v="1"/>
    <s v="CONTRATADO"/>
    <d v="2026-01-09T00:00:00"/>
    <s v="ANGIE"/>
    <d v="2025-12-12T00:00:00"/>
    <s v="SAN NICOLAS"/>
    <s v="ROSELYN VALERO DE LOPEZ"/>
    <m/>
    <m/>
    <d v="2025-12-29T00:00:00"/>
    <x v="2"/>
    <x v="0"/>
  </r>
  <r>
    <s v="NAUDITH HERNANDEZ ANGULO"/>
    <x v="1"/>
    <s v="CONTRATADO"/>
    <d v="2026-01-02T00:00:00"/>
    <s v="ANGIE"/>
    <d v="2025-12-18T00:00:00"/>
    <s v="MOLINOS "/>
    <s v="VALENCIA ROMERO MATEO AUGUSTO"/>
    <m/>
    <m/>
    <d v="2026-01-05T00:00:00"/>
    <x v="2"/>
    <x v="1"/>
  </r>
  <r>
    <s v="SIULKA YINETH MOLINA"/>
    <x v="0"/>
    <s v="CONTRATADO"/>
    <d v="2026-01-08T00:00:00"/>
    <s v="ANGIE"/>
    <d v="2025-12-18T00:00:00"/>
    <m/>
    <s v="SOSSA TORRES INGRID ESTEFANIA"/>
    <m/>
    <m/>
    <d v="2026-01-13T00:00:00"/>
    <x v="2"/>
    <x v="1"/>
  </r>
  <r>
    <s v="ESTEFANIA GERALDINE"/>
    <x v="0"/>
    <s v="CONTRATADO"/>
    <d v="2026-01-08T00:00:00"/>
    <s v="ANGIE"/>
    <d v="2025-12-18T00:00:00"/>
    <m/>
    <s v="CANO ZAPATA KENDY ALEJANDRA"/>
    <m/>
    <m/>
    <d v="2026-01-13T00:00:00"/>
    <x v="2"/>
    <x v="1"/>
  </r>
  <r>
    <s v="JHON JAIRO BETANCUR"/>
    <x v="0"/>
    <s v="CONTRATADO"/>
    <d v="2026-01-08T00:00:00"/>
    <s v="ANGIE"/>
    <d v="2025-12-19T00:00:00"/>
    <m/>
    <s v="HERNANDEZ BEDOYA MISHELL"/>
    <m/>
    <m/>
    <d v="2026-01-14T00:00:00"/>
    <x v="2"/>
    <x v="1"/>
  </r>
  <r>
    <s v="ALEJANDRA MARIA SUAREZ"/>
    <x v="1"/>
    <s v="CONTRATADO"/>
    <d v="2026-01-07T00:00:00"/>
    <s v="ANGIE"/>
    <d v="2025-12-22T00:00:00"/>
    <s v="LA CENTRAL"/>
    <s v="SILVA LOPEZ MERCEDES"/>
    <m/>
    <m/>
    <d v="2026-01-07T00:00:00"/>
    <x v="2"/>
    <x v="1"/>
  </r>
  <r>
    <s v="EDIER FABIA PEREZ PABON"/>
    <x v="1"/>
    <s v="CONTRATADO"/>
    <d v="2026-01-07T00:00:00"/>
    <s v="ANGIE"/>
    <d v="2025-12-22T00:00:00"/>
    <s v="PUERTA "/>
    <s v="CARLOS ALFREDO CARDENAS MUÑOZ "/>
    <m/>
    <m/>
    <d v="2026-01-07T00:00:00"/>
    <x v="2"/>
    <x v="1"/>
  </r>
  <r>
    <s v="ANDRES FELIPE RODRIGUEZ"/>
    <x v="1"/>
    <s v="CONTRATADO"/>
    <d v="2026-01-09T00:00:00"/>
    <s v="ANGIE"/>
    <d v="2025-12-22T00:00:00"/>
    <s v="SAN NICOLAS"/>
    <s v="BASTIDAS KLEVER YUSMELIS DEL CARMEN_x000a__x000a_"/>
    <m/>
    <m/>
    <d v="2026-01-07T00:00:00"/>
    <x v="2"/>
    <x v="0"/>
  </r>
  <r>
    <s v="CRISTIAN CAMILO SERNA SEGURA"/>
    <x v="1"/>
    <s v="CONTRATADO"/>
    <d v="2026-01-07T00:00:00"/>
    <s v="ANGIE"/>
    <d v="2025-12-23T00:00:00"/>
    <s v="PREMIUM PLAZA"/>
    <s v="LEON VERA KEILYN NAOMI"/>
    <m/>
    <m/>
    <d v="2026-01-08T00:00:00"/>
    <x v="2"/>
    <x v="1"/>
  </r>
  <r>
    <s v="SERNA PEÑA LEIDY LICETH"/>
    <x v="1"/>
    <s v="CONTRATADO"/>
    <d v="2026-01-09T00:00:00"/>
    <s v="ANGIE"/>
    <d v="2025-12-26T00:00:00"/>
    <m/>
    <s v="ANGELA MARIA PULGARIN SANCHEZ "/>
    <m/>
    <m/>
    <d v="2026-01-13T00:00:00"/>
    <x v="2"/>
    <x v="1"/>
  </r>
  <r>
    <s v="JESSICA CAROLINA LUZARDO MARIMON"/>
    <x v="1"/>
    <s v="CONTRATADO"/>
    <d v="2026-01-16T00:00:00"/>
    <s v="ANGIE"/>
    <d v="2026-01-06T00:00:00"/>
    <s v="UNICENTRO "/>
    <s v="GARAY CORDOBA ALDAIR"/>
    <s v="PERFIL"/>
    <s v="RENUNCIA "/>
    <d v="2026-01-21T00:00:00"/>
    <x v="2"/>
    <x v="1"/>
  </r>
  <r>
    <s v="KEVIN ALEJANDRO HIGUITA QUINTERO"/>
    <x v="1"/>
    <s v="CONTRATADO"/>
    <d v="2026-01-16T00:00:00"/>
    <s v="ANGIE"/>
    <d v="2026-01-06T00:00:00"/>
    <s v="PUERTA DEL NORTE "/>
    <s v="PAULA ANDREA RAMIREZ GIRALDO "/>
    <s v="ESTUDIANTE "/>
    <s v="RENUNCIA "/>
    <d v="2026-01-21T00:00:00"/>
    <x v="2"/>
    <x v="1"/>
  </r>
  <r>
    <s v="LOREN JULIETH TORIJANO MOSQUERA"/>
    <x v="1"/>
    <s v="CONTRATADO"/>
    <d v="2026-01-16T00:00:00"/>
    <s v="ANGIE"/>
    <d v="2026-01-06T00:00:00"/>
    <s v="VIVA ENVIGADO "/>
    <s v="DE LA CRUZ PAYARES BLAINDER JOSE"/>
    <s v="JUNIOR "/>
    <s v="RENUNCIA "/>
    <d v="2026-01-21T00:00:00"/>
    <x v="2"/>
    <x v="1"/>
  </r>
  <r>
    <s v="MARIA DE LOS ANGELES GUERRERO GUTIERREZ"/>
    <x v="1"/>
    <s v="CONTRATADO"/>
    <d v="2026-01-16T00:00:00"/>
    <s v="ANGIE"/>
    <d v="2026-01-07T00:00:00"/>
    <s v="MOLINOS "/>
    <s v="ANA MILENA CORONADO "/>
    <s v="AUXILIAR "/>
    <s v="RENUNCIA "/>
    <d v="2026-01-22T00:00:00"/>
    <x v="2"/>
    <x v="1"/>
  </r>
  <r>
    <s v="MARIA JOSE RODRIGUEZ TRESPALACIOS"/>
    <x v="1"/>
    <s v="CONTRATADO"/>
    <d v="2026-01-16T00:00:00"/>
    <s v="ANGIE"/>
    <d v="2026-01-07T00:00:00"/>
    <s v="PUERTA DEL NORTE "/>
    <s v="SARA MANUELA RUIZ "/>
    <s v="AUXILIAR "/>
    <s v="RENUNCIA "/>
    <d v="2026-01-22T00:00:00"/>
    <x v="2"/>
    <x v="1"/>
  </r>
  <r>
    <s v="YORJETH CAROLAIN PIANETA GONZALEZ"/>
    <x v="1"/>
    <s v="CONTRATADO"/>
    <d v="2026-01-21T00:00:00"/>
    <s v="ANGIE"/>
    <d v="2026-01-07T00:00:00"/>
    <s v="DE MODA "/>
    <s v="MONTOYA AMAYA CLAUDIA MILENA"/>
    <s v="PERFIL"/>
    <s v="RENUNCIA "/>
    <d v="2026-01-22T00:00:00"/>
    <x v="2"/>
    <x v="1"/>
  </r>
  <r>
    <s v="LILIANA GUILLEN FUENTES"/>
    <x v="1"/>
    <s v="CONTRATADO"/>
    <d v="2026-01-16T00:00:00"/>
    <s v="ANGIE"/>
    <d v="2026-01-07T00:00:00"/>
    <s v="SAN NICOLAS "/>
    <s v="BASTIDAS KLEVER YUSMELIS DEL CARMEN"/>
    <s v="AUXILIAR "/>
    <s v="RENUNCIA"/>
    <d v="2026-01-22T00:00:00"/>
    <x v="2"/>
    <x v="1"/>
  </r>
  <r>
    <s v="EDINSON JAVIER VILORIA"/>
    <x v="1"/>
    <s v="CONTRATADO"/>
    <d v="2026-01-16T00:00:00"/>
    <s v="ANGIE"/>
    <d v="2026-01-07T00:00:00"/>
    <s v="SAN NICOLAS "/>
    <s v="ROSELYN VALERO DE LOPEZ"/>
    <s v="AUXILIAR "/>
    <s v="RENUNCIA"/>
    <d v="2026-01-22T00:00:00"/>
    <x v="2"/>
    <x v="1"/>
  </r>
  <r>
    <s v="Ricardo Pedrozo Zambrano "/>
    <x v="1"/>
    <s v="CONTRATADO"/>
    <d v="2026-01-20T00:00:00"/>
    <s v="ANGIE"/>
    <d v="2026-01-09T00:00:00"/>
    <s v="OVIEDO "/>
    <s v="MUNZON DIAZ KATY LUZ"/>
    <s v="AUXILIAR "/>
    <s v="RENUNCIA "/>
    <d v="2026-01-26T00:00:00"/>
    <x v="2"/>
    <x v="1"/>
  </r>
  <r>
    <s v="JEFERSON JARAMILLO BORJA"/>
    <x v="1"/>
    <s v="CONTRATADO"/>
    <d v="2026-01-21T00:00:00"/>
    <s v="ANGIE"/>
    <d v="2026-01-09T00:00:00"/>
    <s v="SUPERNUMERARIO "/>
    <s v="ALBA YUDY GARCIA "/>
    <s v="AUXILIAR "/>
    <s v="RENUNCIA "/>
    <d v="2026-01-26T00:00:00"/>
    <x v="2"/>
    <x v="1"/>
  </r>
  <r>
    <s v="YEPES OBANDO JUNIOR ESTEBAN"/>
    <x v="1"/>
    <s v="CONTRATADO"/>
    <d v="2026-01-20T00:00:00"/>
    <s v="ANGIE"/>
    <d v="2026-01-09T00:00:00"/>
    <s v="TESORO"/>
    <s v="MARISOL ECHEVERRIA GARCIA "/>
    <s v="AUXILIAR "/>
    <s v="RENUNCIA "/>
    <d v="2026-01-26T00:00:00"/>
    <x v="2"/>
    <x v="1"/>
  </r>
  <r>
    <s v="DANIELA ALEJANDRA FADUL URREA"/>
    <x v="1"/>
    <s v="CONTRATADO"/>
    <d v="2026-01-23T00:00:00"/>
    <s v="ANGIE"/>
    <d v="2026-01-09T00:00:00"/>
    <s v="MAYORCA 2 "/>
    <s v="GENES IGLESIA OBIS JHOAN"/>
    <s v="AUXILIAR "/>
    <s v="RENUNCIA "/>
    <d v="2026-01-26T00:00:00"/>
    <x v="1"/>
    <x v="1"/>
  </r>
  <r>
    <m/>
    <x v="0"/>
    <m/>
    <m/>
    <s v="ANGIE"/>
    <d v="2026-01-20T00:00:00"/>
    <m/>
    <s v="HEREDIA ZUÑIGA MARIA CAMILA"/>
    <m/>
    <m/>
    <d v="2026-02-10T00:00:00"/>
    <x v="2"/>
    <x v="2"/>
  </r>
  <r>
    <s v="YEISON DAVID RIVERA GIRALDO"/>
    <x v="1"/>
    <s v="CONTRATADO"/>
    <d v="2026-01-23T00:00:00"/>
    <s v="ANGIE"/>
    <d v="2026-01-09T00:00:00"/>
    <s v="VIVA ENVIGADO "/>
    <s v="GUIPE GARCÍA KARELIS DEL JESUS"/>
    <s v="AUXILIAR "/>
    <s v="RENUNCIA "/>
    <d v="2026-01-26T00:00:00"/>
    <x v="2"/>
    <x v="3"/>
  </r>
  <r>
    <s v="YUDY ANDREA URIBE URREGO"/>
    <x v="1"/>
    <s v="CONTRATADO"/>
    <d v="2026-01-21T00:00:00"/>
    <s v="ANGIE"/>
    <d v="2026-01-09T00:00:00"/>
    <s v="VIVA ENVIGADO "/>
    <s v="DIEGO ALONSO OCAMPO YEPES "/>
    <s v="AUXILIAR "/>
    <s v="RENUNCIA "/>
    <d v="2026-01-26T00:00:00"/>
    <x v="2"/>
    <x v="3"/>
  </r>
  <r>
    <m/>
    <x v="1"/>
    <m/>
    <m/>
    <s v="ANGIE"/>
    <d v="2026-01-13T00:00:00"/>
    <s v="VEGAS PLAZA "/>
    <s v="MUÑOZ ZAPATA NELLY"/>
    <s v="AUXILIAR "/>
    <s v="RENUNCIA "/>
    <d v="2026-01-27T00:00:00"/>
    <x v="3"/>
    <x v="2"/>
  </r>
  <r>
    <s v="Rafael Humberto Echeverri Cerón"/>
    <x v="1"/>
    <s v="CONTRATADO"/>
    <d v="2026-01-20T00:00:00"/>
    <s v="ANGIE"/>
    <d v="2026-01-19T00:00:00"/>
    <s v="SAN NICOLAS "/>
    <s v="JUAN CARLOS ZAPATA MARIN  "/>
    <s v="AUXILIAR "/>
    <s v="RENUNCIA"/>
    <d v="2026-02-02T00:00:00"/>
    <x v="3"/>
    <x v="1"/>
  </r>
  <r>
    <s v="Isabela Negrete Sanchez"/>
    <x v="1"/>
    <s v="CONTRATADO"/>
    <d v="2026-01-20T00:00:00"/>
    <s v="ANGIE"/>
    <d v="2026-01-19T00:00:00"/>
    <s v="SAN NICOLAS "/>
    <s v="VERA ATENCIA ANAHYS PAOLA"/>
    <s v="AUXILIAR "/>
    <s v="RENUNCIA"/>
    <d v="2026-02-02T00:00:00"/>
    <x v="3"/>
    <x v="1"/>
  </r>
  <r>
    <s v="GENESIS GOMEZ"/>
    <x v="0"/>
    <s v="GENESIS GOMEZ"/>
    <d v="2026-01-20T00:00:00"/>
    <m/>
    <d v="2026-01-19T00:00:00"/>
    <s v="SAN NICOLAS "/>
    <s v="?"/>
    <m/>
    <m/>
    <d v="2026-02-09T00:00:00"/>
    <x v="3"/>
    <x v="1"/>
  </r>
  <r>
    <m/>
    <x v="1"/>
    <m/>
    <m/>
    <s v="ANGIE"/>
    <d v="2026-01-22T00:00:00"/>
    <s v="PUERTA DEL NORTE "/>
    <s v="YOINER  DAVID LARA "/>
    <s v="AUXILIAR "/>
    <s v="RENUNCIA "/>
    <d v="2026-02-05T00:00:00"/>
    <x v="3"/>
    <x v="2"/>
  </r>
  <r>
    <m/>
    <x v="1"/>
    <m/>
    <m/>
    <s v="ANGIE"/>
    <d v="2026-01-22T00:00:00"/>
    <s v="SANTA FE "/>
    <s v="LUZ FANNY JIMENEZ MESA "/>
    <s v="AUXILIAR "/>
    <s v="RENUNCIA "/>
    <d v="2026-02-05T00:00:00"/>
    <x v="3"/>
    <x v="2"/>
  </r>
  <r>
    <m/>
    <x v="1"/>
    <m/>
    <m/>
    <s v="ANGIE"/>
    <d v="2026-01-26T00:00:00"/>
    <s v="VIVA LAURELES "/>
    <s v="RODRIGUEZ PEREZ CARLOS EDUARDO"/>
    <s v="AUXILIAR "/>
    <s v="RENUNCIA "/>
    <d v="2026-02-09T00:00:00"/>
    <x v="3"/>
    <x v="2"/>
  </r>
  <r>
    <m/>
    <x v="1"/>
    <m/>
    <m/>
    <s v="ANGIE"/>
    <d v="2026-01-26T00:00:00"/>
    <s v="PREMIUM PLAZA "/>
    <s v="YANETH MARICEL FERNANDEZ SANCHEZ "/>
    <s v="AUXILIAR "/>
    <s v="RENUNCIA "/>
    <d v="2026-02-09T00:00:00"/>
    <x v="3"/>
    <x v="2"/>
  </r>
  <r>
    <m/>
    <x v="1"/>
    <m/>
    <m/>
    <s v="ANGIE"/>
    <d v="2026-01-26T00:00:00"/>
    <s v="PUERTA DEL NORTE "/>
    <s v="YOINER  DAVID LARA "/>
    <s v="AUXILIAR "/>
    <s v="RENUNCIA "/>
    <d v="2026-02-09T00:00:00"/>
    <x v="3"/>
    <x v="2"/>
  </r>
  <r>
    <m/>
    <x v="1"/>
    <m/>
    <m/>
    <s v="ANGIE"/>
    <d v="2026-01-26T00:00:00"/>
    <s v="OVIEDO "/>
    <s v="LUZ FANNY JIMENEZ MESA "/>
    <s v="AUXILIAR "/>
    <s v="RENUNCIA "/>
    <d v="2026-02-09T00:00:00"/>
    <x v="3"/>
    <x v="2"/>
  </r>
  <r>
    <m/>
    <x v="1"/>
    <m/>
    <m/>
    <s v="ANGIE"/>
    <d v="2026-01-26T00:00:00"/>
    <s v="UNICENTRO "/>
    <s v="YUDY NATALIA FLOREZ"/>
    <s v="AUXILIAR "/>
    <s v="RENUNCIA "/>
    <d v="2026-02-09T00:00:00"/>
    <x v="3"/>
    <x v="2"/>
  </r>
  <r>
    <m/>
    <x v="1"/>
    <m/>
    <m/>
    <s v="ANGIE"/>
    <d v="2026-01-26T00:00:00"/>
    <s v="EL TESORO"/>
    <s v="ALEJANDRA MARIA SUAREZ AVALOS "/>
    <s v="AUXILIAR "/>
    <s v="RENUNCIA "/>
    <d v="2026-02-09T00:00:00"/>
    <x v="3"/>
    <x v="2"/>
  </r>
  <r>
    <m/>
    <x v="1"/>
    <m/>
    <m/>
    <s v="ANGIE"/>
    <d v="2026-01-26T00:00:00"/>
    <s v="SANTA FE"/>
    <s v="LEIDY LICETH SERNA PEÑA "/>
    <s v="AUXILIAR "/>
    <s v="RENUNCIA "/>
    <d v="2026-02-09T00:00:00"/>
    <x v="3"/>
    <x v="2"/>
  </r>
  <r>
    <m/>
    <x v="1"/>
    <m/>
    <m/>
    <s v="ANGIE"/>
    <d v="2026-01-26T00:00:00"/>
    <s v="VEGAS PLAZA "/>
    <s v="MUÑOZ ZAPATA NELLY"/>
    <s v="AUXILIAR "/>
    <s v="RENUNCIA "/>
    <d v="2026-02-09T00:00:00"/>
    <x v="3"/>
    <x v="2"/>
  </r>
  <r>
    <m/>
    <x v="1"/>
    <m/>
    <m/>
    <s v="ANGIE"/>
    <d v="2026-01-26T00:00:00"/>
    <s v="LEDY ATEHORTUA "/>
    <s v="LILIAM YISETH ROMERO BARBOZA"/>
    <s v="AUXILIAR "/>
    <s v="RENUNCIA "/>
    <d v="2026-02-09T00:00:00"/>
    <x v="4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ASTAÑEDA OCAMPO LUIS FERNANDO"/>
    <s v="AUXILIAR DE COCINA"/>
    <s v="CONTRATADO"/>
    <d v="2025-12-03T00:00:00"/>
    <s v="PAULA"/>
    <d v="2025-12-01T00:00:00"/>
    <s v="MANIZALES"/>
    <s v="FELIPE RESTREPO"/>
    <m/>
    <m/>
    <d v="2025-12-16T00:00:00"/>
    <x v="0"/>
    <x v="0"/>
  </r>
  <r>
    <s v="KEVIN DANIEL GIRALDO"/>
    <s v="AUXILIAR DE SERVICIO"/>
    <s v="CONTRATADO"/>
    <d v="2025-12-19T00:00:00"/>
    <s v="PAULA"/>
    <d v="2025-12-04T00:00:00"/>
    <s v="MANIZALES"/>
    <s v="LOPEZ VELASQUEZ VIVIANA MARIA"/>
    <m/>
    <m/>
    <d v="2025-12-29T00:00:00"/>
    <x v="0"/>
    <x v="0"/>
  </r>
  <r>
    <s v="JOSÉ DAVID TRUJILLO"/>
    <s v="AUXILIAR DE COCINA"/>
    <s v="CONTRATADO"/>
    <d v="2025-12-19T00:00:00"/>
    <s v="JORGE"/>
    <d v="2025-12-09T00:00:00"/>
    <s v="SUPERNUMERARIO"/>
    <s v="SUPER# FALTANTE"/>
    <m/>
    <m/>
    <d v="2025-12-23T00:00:00"/>
    <x v="0"/>
    <x v="0"/>
  </r>
  <r>
    <s v="MARLON STEVEN CORREA VALENCIA"/>
    <s v="AUXILIAR DE COCINA"/>
    <s v="CONTRATADO"/>
    <d v="2025-12-24T00:00:00"/>
    <s v="JORGE"/>
    <d v="2025-12-10T00:00:00"/>
    <s v="MALL PLAZA CALI"/>
    <s v="MARIA EUGENIA VICTORIA VILLADA"/>
    <m/>
    <m/>
    <d v="2025-12-24T00:00:00"/>
    <x v="0"/>
    <x v="0"/>
  </r>
  <r>
    <s v="JAIRO ANDRES ORJUELA GUERRERO"/>
    <s v="AUXILIAR DE COCINA"/>
    <s v="CONTRATADO"/>
    <d v="2025-12-24T00:00:00"/>
    <s v="JORGE"/>
    <d v="2025-12-10T00:00:00"/>
    <s v="PALMETTO PLAZA"/>
    <s v="JUAN SEBASTIAN GARZON FENANDEZ"/>
    <m/>
    <m/>
    <d v="2025-12-24T00:00:00"/>
    <x v="0"/>
    <x v="0"/>
  </r>
  <r>
    <m/>
    <s v="AUXILIAR DE COCINA"/>
    <m/>
    <m/>
    <s v="JORGE"/>
    <d v="2025-12-13T00:00:00"/>
    <s v="UNICENTRO CALI"/>
    <s v="GENESIS ROGSIRI MOROCOIMA IBAÑEZ"/>
    <m/>
    <m/>
    <d v="2025-12-29T00:00:00"/>
    <x v="0"/>
    <x v="1"/>
  </r>
  <r>
    <m/>
    <s v="AUXILIAR DE SERVICIO"/>
    <m/>
    <m/>
    <s v="JORGE"/>
    <d v="2025-12-24T00:00:00"/>
    <s v="SUPERNUMERARIO"/>
    <s v="ESTEFANI RAMIREZ"/>
    <m/>
    <m/>
    <d v="2026-01-19T00:00:00"/>
    <x v="1"/>
    <x v="1"/>
  </r>
  <r>
    <s v="MARLYN DAMARIS CALDERON QUICENO"/>
    <s v="AUXILIAR DE COCINA"/>
    <s v="CONTRATADO"/>
    <d v="2025-12-30T00:00:00"/>
    <s v="PAULA"/>
    <d v="2025-12-26T00:00:00"/>
    <s v="MALL PLAZA MANIZALES"/>
    <s v="LAURA VILLANEDA"/>
    <m/>
    <m/>
    <d v="2026-01-13T00:00:00"/>
    <x v="1"/>
    <x v="0"/>
  </r>
  <r>
    <s v="PAULA ANDREA CARDONA CEBALLOS"/>
    <s v="AUXILIAR DE COCINA"/>
    <s v="CONTRATADO"/>
    <d v="2025-12-30T00:00:00"/>
    <s v="PAULA"/>
    <d v="2025-12-26T00:00:00"/>
    <s v="MANIZALES"/>
    <s v="COCINA "/>
    <m/>
    <m/>
    <d v="2026-01-13T00:00:00"/>
    <x v="1"/>
    <x v="0"/>
  </r>
  <r>
    <s v="DAVID ESTEBAN MENESES"/>
    <s v="AUXILIAR DE COCINA"/>
    <m/>
    <d v="2026-01-20T00:00:00"/>
    <s v="JORGE"/>
    <d v="2026-01-07T00:00:00"/>
    <s v="UNICO OUTLET"/>
    <s v="Katerine giannine"/>
    <m/>
    <m/>
    <d v="2026-01-22T00:00:00"/>
    <x v="1"/>
    <x v="0"/>
  </r>
  <r>
    <m/>
    <s v="AUXILIAR DE COCINA"/>
    <m/>
    <m/>
    <s v="JORGE"/>
    <d v="2026-01-07T00:00:00"/>
    <s v="SUPERNUMERARIO"/>
    <s v="Jairo Andres orejuela"/>
    <m/>
    <m/>
    <d v="2026-01-22T00:00:00"/>
    <x v="1"/>
    <x v="1"/>
  </r>
  <r>
    <s v="MARIO ANDRES MONTERROZA"/>
    <s v="AUXILIAR DE COCINA"/>
    <s v="CONTRATADO"/>
    <d v="2026-01-13T00:00:00"/>
    <s v="PAULA"/>
    <d v="2026-01-08T00:00:00"/>
    <s v="SUPERNUMERARIO"/>
    <s v="Marlyn Damaris Calderon"/>
    <m/>
    <m/>
    <d v="2026-01-23T00:00:00"/>
    <x v="1"/>
    <x v="0"/>
  </r>
  <r>
    <m/>
    <s v="AUXILIAR DE COCINA"/>
    <m/>
    <m/>
    <s v="JORGE"/>
    <d v="2026-01-12T00:00:00"/>
    <m/>
    <s v="JODAVID TRUJILLO"/>
    <m/>
    <m/>
    <d v="2026-01-26T00:00:00"/>
    <x v="1"/>
    <x v="1"/>
  </r>
  <r>
    <s v="JULIETH TATIANA SANDOVAL CORTES"/>
    <s v="AUXILIAR DE SERVICIO"/>
    <s v="CONTRATADO"/>
    <d v="2026-01-23T00:00:00"/>
    <s v="JORGE"/>
    <d v="2026-01-12T00:00:00"/>
    <s v="PALMETTO"/>
    <s v="LINCENCIA MATERNIDA STEFANY MUÑOZ"/>
    <m/>
    <m/>
    <d v="2026-02-02T00:00:00"/>
    <x v="1"/>
    <x v="0"/>
  </r>
  <r>
    <s v="OSPINA RAMIREZ STEFANNY"/>
    <s v="CAJERO"/>
    <s v="CONTRATADO"/>
    <d v="2026-01-23T00:00:00"/>
    <s v="JORGE"/>
    <d v="2026-01-15T00:00:00"/>
    <m/>
    <s v="JUAN DAVID BUENO"/>
    <m/>
    <m/>
    <d v="2026-02-05T00:00:00"/>
    <x v="1"/>
    <x v="0"/>
  </r>
  <r>
    <m/>
    <s v="AUXILIAR DE SERVICIO"/>
    <m/>
    <m/>
    <m/>
    <d v="2026-01-26T00:00:00"/>
    <m/>
    <s v="KEVIN GIRALDO"/>
    <s v="SUPERNUMERARIO"/>
    <m/>
    <d v="2026-02-16T00:00:00"/>
    <x v="2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SANDRA MILENA PIÑERES VALDES"/>
    <s v="CAJERO"/>
    <s v="CONTRATADO"/>
    <d v="2025-12-24T00:00:00"/>
    <s v="NACARI"/>
    <d v="2025-12-19T00:00:00"/>
    <s v="BARRANQUILLA"/>
    <s v="Yerling Rodríguez"/>
    <m/>
    <m/>
    <d v="2026-01-14T00:00:00"/>
    <x v="0"/>
    <x v="0"/>
  </r>
  <r>
    <s v="DUVIS MARGARITA VANEGAS CANTILLO"/>
    <s v="CAJERO"/>
    <s v="CONTRATADO"/>
    <d v="2026-01-17T00:00:00"/>
    <s v="ANGIE"/>
    <d v="2025-12-29T00:00:00"/>
    <s v="BARRANQUILLA"/>
    <s v="YESICA"/>
    <m/>
    <m/>
    <d v="2026-01-21T00:00:00"/>
    <x v="0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UERO HINESTROZA ROSIRY"/>
    <s v="AUXILIAR DE PRODUCCION"/>
    <s v="CONTRATADO"/>
    <d v="2025-12-04T00:00:00"/>
    <s v="SEBASTIAN "/>
    <x v="0"/>
    <m/>
    <s v="JUAN FERNANDO TORO BAENA"/>
    <m/>
    <m/>
    <d v="2025-12-24T00:00:00"/>
    <x v="0"/>
    <x v="0"/>
  </r>
  <r>
    <s v="VICTOR MANUEL FIGUEROA"/>
    <s v="AUXILIAR DE PRODUCCION"/>
    <s v="CONTRATADO"/>
    <d v="2025-12-10T00:00:00"/>
    <s v="SEBASTIAN "/>
    <x v="1"/>
    <m/>
    <s v="HAROLD ANDRES CATAÑO TABORDA"/>
    <m/>
    <m/>
    <d v="2025-12-31T00:00:00"/>
    <x v="0"/>
    <x v="0"/>
  </r>
  <r>
    <s v="REINALDO ALVAREZ"/>
    <s v="AUXILIAR DE PRODUCCION"/>
    <s v="CONTRATADO"/>
    <d v="2026-01-08T00:00:00"/>
    <s v="SEBASTIAN "/>
    <x v="2"/>
    <m/>
    <s v="SEBASTIAN MARTINEZ DEL CASTILLO"/>
    <m/>
    <m/>
    <d v="2026-01-19T00:00:00"/>
    <x v="1"/>
    <x v="0"/>
  </r>
  <r>
    <s v="MARY LUZ LONDOÑO"/>
    <s v="AUXILIAR DE PRODUCCION"/>
    <s v="CONTRATADO"/>
    <d v="2026-01-08T00:00:00"/>
    <s v="SEBASTIAN "/>
    <x v="2"/>
    <m/>
    <s v="JUAN PABLO CASTAÑO NIETO"/>
    <m/>
    <m/>
    <d v="2026-01-19T00:00:00"/>
    <x v="1"/>
    <x v="0"/>
  </r>
  <r>
    <s v="MONICA LISS LONDOÑO"/>
    <s v="AUXILIAR DE PRODUCCION"/>
    <s v="CONTRATADO"/>
    <d v="2026-01-08T00:00:00"/>
    <s v="SEBASTIAN "/>
    <x v="3"/>
    <m/>
    <s v="LEONARDO FABIO AVILA GAZABON"/>
    <m/>
    <m/>
    <d v="2026-01-28T00:00:00"/>
    <x v="1"/>
    <x v="0"/>
  </r>
  <r>
    <s v="JUAN GABRIEL ALVAREZ"/>
    <s v="AUXILIAR DE PRODUCCION"/>
    <s v="CONTRATADO"/>
    <d v="2026-01-08T00:00:00"/>
    <s v="SEBASTIAN "/>
    <x v="3"/>
    <m/>
    <s v="GIOVANNY ALONSO MUÑOZ LOPEZ"/>
    <m/>
    <m/>
    <d v="2026-01-28T00:00:00"/>
    <x v="1"/>
    <x v="0"/>
  </r>
  <r>
    <m/>
    <s v="TECNICO DE MANTENIMIENTO"/>
    <s v="CONTRATADO"/>
    <m/>
    <s v="MIGUEL"/>
    <x v="4"/>
    <s v="MEDELLIN"/>
    <s v="ALEXANDER "/>
    <m/>
    <m/>
    <d v="2026-02-06T00:00:00"/>
    <x v="1"/>
    <x v="1"/>
  </r>
  <r>
    <m/>
    <s v="TECNICO DE MANTENIMIENTO"/>
    <m/>
    <m/>
    <s v="MIGUEL"/>
    <x v="4"/>
    <s v="CALI"/>
    <s v="FERNANDO"/>
    <m/>
    <m/>
    <d v="2026-02-06T00:00:00"/>
    <x v="1"/>
    <x v="1"/>
  </r>
  <r>
    <m/>
    <s v="ANALISTA DE CALIDAD"/>
    <s v="CONTRATADO"/>
    <m/>
    <s v="KAREN"/>
    <x v="5"/>
    <s v="MEDELLIN"/>
    <s v="TANYA"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  <r>
    <m/>
    <m/>
    <m/>
    <m/>
    <m/>
    <x v="5"/>
    <m/>
    <m/>
    <m/>
    <m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3A15A-8B97-4CAA-AE27-B3833100228F}" name="Tabla 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2:U18" firstHeaderRow="1" firstDataRow="2" firstDataCol="2"/>
  <pivotFields count="13"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  <pivotField axis="axisRow" compact="0" outline="0" showAll="0" sortType="ascending">
      <items count="7">
        <item x="4"/>
        <item x="1"/>
        <item m="1" x="5"/>
        <item x="0"/>
        <item x="2"/>
        <item x="3"/>
        <item t="default"/>
      </items>
    </pivotField>
    <pivotField axis="axisCol" compact="0" outline="0" showAll="0">
      <items count="5">
        <item x="1"/>
        <item x="0"/>
        <item x="2"/>
        <item x="3"/>
        <item t="default"/>
      </items>
    </pivotField>
  </pivotFields>
  <rowFields count="2">
    <field x="11"/>
    <field x="1"/>
  </rowFields>
  <rowItems count="15">
    <i>
      <x/>
      <x/>
    </i>
    <i t="default">
      <x/>
    </i>
    <i>
      <x v="1"/>
      <x/>
    </i>
    <i r="1">
      <x v="1"/>
    </i>
    <i t="default">
      <x v="1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FECHA MAXIMA" fld="10" subtotal="count" baseField="0" baseItem="0"/>
  </dataFields>
  <formats count="4">
    <format dxfId="214">
      <pivotArea type="origin" dataOnly="0" labelOnly="1" outline="0" fieldPosition="0"/>
    </format>
    <format dxfId="213">
      <pivotArea field="11" type="button" dataOnly="0" labelOnly="1" outline="0" axis="axisRow" fieldPosition="0"/>
    </format>
    <format dxfId="212">
      <pivotArea dataOnly="0" labelOnly="1" outline="0" fieldPosition="0">
        <references count="1">
          <reference field="11" count="0"/>
        </references>
      </pivotArea>
    </format>
    <format dxfId="2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F889D-782C-43A1-850B-6063465DCBF9}" name="Tabla 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2:R6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  <pivotField axis="axisRow" compact="0" numFmtId="165" outline="0" showAll="0">
      <items count="4">
        <item x="0"/>
        <item x="1"/>
        <item m="1" x="2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uenta de FECHA MAXIMA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5D7F7-490A-4D4B-B69C-3C3F38A03E83}" name="Tabla 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2:Q5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  <pivotField axis="axisRow" compact="0" outline="0" showAll="0" sortType="ascending">
      <items count="3">
        <item x="0"/>
        <item m="1" x="1"/>
        <item t="default"/>
      </items>
    </pivotField>
    <pivotField axis="axisCol" compact="0" outline="0" showAll="0">
      <items count="3">
        <item x="0"/>
        <item m="1" x="1"/>
        <item t="default"/>
      </items>
    </pivotField>
  </pivotFields>
  <rowFields count="1">
    <field x="11"/>
  </rowFields>
  <rowItems count="2">
    <i>
      <x/>
    </i>
    <i t="grand">
      <x/>
    </i>
  </rowItems>
  <colFields count="1">
    <field x="12"/>
  </colFields>
  <colItems count="2">
    <i>
      <x/>
    </i>
    <i t="grand">
      <x/>
    </i>
  </colItems>
  <dataFields count="1">
    <dataField name="Cuenta de FECHA MAXIMA" fld="10" subtotal="count" baseField="0" baseItem="0"/>
  </dataFields>
  <formats count="4">
    <format dxfId="185">
      <pivotArea type="origin" dataOnly="0" labelOnly="1" outline="0" fieldPosition="0"/>
    </format>
    <format dxfId="184">
      <pivotArea field="11" type="button" dataOnly="0" labelOnly="1" outline="0" axis="axisRow" fieldPosition="0"/>
    </format>
    <format dxfId="183">
      <pivotArea dataOnly="0" labelOnly="1" outline="0" fieldPosition="0">
        <references count="1">
          <reference field="11" count="0"/>
        </references>
      </pivotArea>
    </format>
    <format dxfId="18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10708-322C-4590-8E42-FB827ACCE9A1}" name="Tabla 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2:R7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  <pivotField axis="axisRow" compact="0" outline="0" showAll="0" sortType="ascending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uenta de FECHA MAXIMA" fld="10" subtotal="count" baseField="0" baseItem="0"/>
  </dataFields>
  <formats count="4">
    <format dxfId="166">
      <pivotArea type="origin" dataOnly="0" labelOnly="1" outline="0" fieldPosition="0"/>
    </format>
    <format dxfId="165">
      <pivotArea field="11" type="button" dataOnly="0" labelOnly="1" outline="0" axis="axisRow" fieldPosition="0"/>
    </format>
    <format dxfId="164">
      <pivotArea dataOnly="0" labelOnly="1" outline="0" fieldPosition="0">
        <references count="1">
          <reference field="11" count="0"/>
        </references>
      </pivotArea>
    </format>
    <format dxfId="16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B5CA9-FD56-451D-BAAC-E38D96737138}" name="Tabla 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2:S7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  <pivotField axis="axisRow" compact="0" outline="0" showAll="0" sortType="ascending">
      <items count="4">
        <item x="0"/>
        <item x="1"/>
        <item x="2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uenta de FECHA MAXIMA" fld="10" subtotal="count" baseField="0" baseItem="0"/>
  </dataFields>
  <formats count="4">
    <format dxfId="134">
      <pivotArea type="origin" dataOnly="0" labelOnly="1" outline="0" fieldPosition="0"/>
    </format>
    <format dxfId="133">
      <pivotArea field="11" type="button" dataOnly="0" labelOnly="1" outline="0" axis="axisRow" fieldPosition="0"/>
    </format>
    <format dxfId="132">
      <pivotArea dataOnly="0" labelOnly="1" outline="0" fieldPosition="0">
        <references count="1">
          <reference field="11" count="0"/>
        </references>
      </pivotArea>
    </format>
    <format dxfId="13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A0E9B-C59B-4176-8C6E-47734EABC81A}" name="Tabla 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2:S7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  <pivotField axis="axisRow" compact="0" outline="0" showAll="0" sortType="ascending">
      <items count="5">
        <item x="1"/>
        <item x="0"/>
        <item x="2"/>
        <item m="1" x="3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uenta de FECHA MAXIMA" fld="10" subtotal="count" baseField="0" baseItem="0"/>
  </dataFields>
  <formats count="4">
    <format dxfId="115">
      <pivotArea type="origin" dataOnly="0" labelOnly="1" outline="0" fieldPosition="0"/>
    </format>
    <format dxfId="114">
      <pivotArea field="11" type="button" dataOnly="0" labelOnly="1" outline="0" axis="axisRow" fieldPosition="0"/>
    </format>
    <format dxfId="113">
      <pivotArea dataOnly="0" labelOnly="1" outline="0" fieldPosition="0">
        <references count="1">
          <reference field="11" count="0"/>
        </references>
      </pivotArea>
    </format>
    <format dxfId="1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78548-009C-4D72-AB82-9097B7959C78}" name="Tabla 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2:Q5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  <pivotField axis="axisRow" compact="0" outline="0" showAll="0" sortType="ascending">
      <items count="2">
        <item x="0"/>
        <item t="default"/>
      </items>
    </pivotField>
    <pivotField axis="axisCol" compact="0" outline="0" showAll="0">
      <items count="2">
        <item x="0"/>
        <item t="default"/>
      </items>
    </pivotField>
  </pivotFields>
  <rowFields count="1">
    <field x="11"/>
  </rowFields>
  <rowItems count="2">
    <i>
      <x/>
    </i>
    <i t="grand">
      <x/>
    </i>
  </rowItems>
  <colFields count="1">
    <field x="12"/>
  </colFields>
  <colItems count="2">
    <i>
      <x/>
    </i>
    <i t="grand">
      <x/>
    </i>
  </colItems>
  <dataFields count="1">
    <dataField name="Cuenta de FECHA MAXIMA" fld="10" subtotal="count" baseField="0" baseItem="0"/>
  </dataFields>
  <formats count="4">
    <format dxfId="96">
      <pivotArea type="origin" dataOnly="0" labelOnly="1" outline="0" fieldPosition="0"/>
    </format>
    <format dxfId="95">
      <pivotArea field="11" type="button" dataOnly="0" labelOnly="1" outline="0" axis="axisRow" fieldPosition="0"/>
    </format>
    <format dxfId="94">
      <pivotArea dataOnly="0" labelOnly="1" outline="0" fieldPosition="0">
        <references count="1">
          <reference field="11" count="0"/>
        </references>
      </pivotArea>
    </format>
    <format dxfId="9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A64FD-670D-4D74-A4DF-1EDD3DC28C7C}" name="Tabla diná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B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numFmtId="14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FECHA DE SOLICITUD 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62970-7E1E-48FD-9CE6-DAC3FDF34DD2}" name="Tabla2" displayName="Tabla2" ref="A2:B24" totalsRowShown="0" headerRowDxfId="195" headerRowBorderDxfId="194" tableBorderDxfId="193">
  <autoFilter ref="A2:B24" xr:uid="{FCDF5180-7BCE-4699-88DC-31F51D04A00D}"/>
  <sortState xmlns:xlrd2="http://schemas.microsoft.com/office/spreadsheetml/2017/richdata2" ref="A3:B24">
    <sortCondition ref="A2:A24"/>
  </sortState>
  <tableColumns count="2">
    <tableColumn id="1" xr3:uid="{BFE9C43E-C0A4-4E13-B237-3CE8BB089784}" name="(Columna C) Fechas" dataDxfId="192"/>
    <tableColumn id="2" xr3:uid="{286486BE-AD8E-4547-9B66-61CF6E14BC13}" name="(Columna D - Opcional) Nombre" dataDxfId="1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105534-BD4A-4771-9E7A-3EEF93C3ED13}" name="Tabla25" displayName="Tabla25" ref="D2:E24" totalsRowShown="0" headerRowDxfId="190" headerRowBorderDxfId="189" tableBorderDxfId="188">
  <autoFilter ref="D2:E24" xr:uid="{D6105534-BD4A-4771-9E7A-3EEF93C3ED13}"/>
  <sortState xmlns:xlrd2="http://schemas.microsoft.com/office/spreadsheetml/2017/richdata2" ref="D3:E24">
    <sortCondition ref="D2:D24"/>
  </sortState>
  <tableColumns count="2">
    <tableColumn id="1" xr3:uid="{A3333942-C7EB-4880-BFC9-6B47D6585526}" name="(Columna C) Fechas" dataDxfId="187"/>
    <tableColumn id="2" xr3:uid="{2B957A6D-20F2-47E1-A86B-9779C21A9910}" name="(Columna D - Opcional) Nombre" dataDxfId="1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B2A62-93A5-474A-B346-EE7226FC8B7D}" name="Tabla1" displayName="Tabla1" ref="A1:M305" totalsRowShown="0" headerRowDxfId="210" dataDxfId="209">
  <autoFilter ref="A1:M305" xr:uid="{42FB2A62-93A5-474A-B346-EE7226FC8B7D}"/>
  <sortState xmlns:xlrd2="http://schemas.microsoft.com/office/spreadsheetml/2017/richdata2" ref="A2:M64">
    <sortCondition ref="F1:F64"/>
  </sortState>
  <tableColumns count="13">
    <tableColumn id="1" xr3:uid="{7177E123-64BE-48B1-BF15-D94E8C29BA0E}" name="NOMBRE NUEVO INGRESO" dataDxfId="208"/>
    <tableColumn id="2" xr3:uid="{644B2839-4C36-44BF-94D7-E12554A19597}" name="CARGO" dataDxfId="207"/>
    <tableColumn id="3" xr3:uid="{04BAA0FC-16DD-441C-8C2B-501FD7665A3C}" name="ESTADO" dataDxfId="206"/>
    <tableColumn id="4" xr3:uid="{E3477288-6772-46B8-B506-E355AB681CCC}" name="FECHA DE INGRESO " dataDxfId="205"/>
    <tableColumn id="5" xr3:uid="{EEA6501B-171F-48B5-8FB1-C4AAEE55CC2D}" name="SOLICITA" dataDxfId="204"/>
    <tableColumn id="6" xr3:uid="{29F0C5AD-3B06-4FDA-A46F-93EA38074B27}" name="FECHA DE SOLICITUD " dataDxfId="203"/>
    <tableColumn id="7" xr3:uid="{D01BB902-7B8F-4C7F-B859-114DD1BCFE53}" name="PUNTO" dataDxfId="202"/>
    <tableColumn id="8" xr3:uid="{E80AFB78-C39A-4D5E-99D5-143604A05CC0}" name="PERSONA A QUIEN REEMPLAZARA" dataDxfId="201"/>
    <tableColumn id="9" xr3:uid="{291E92A6-17DD-4C27-975F-047353122A48}" name="POSICION CLAVES " dataDxfId="200"/>
    <tableColumn id="10" xr3:uid="{D516CDCB-E9FF-4BA8-AE57-10D802D11497}" name="MOTIVO " dataDxfId="199"/>
    <tableColumn id="11" xr3:uid="{D56514BB-F68C-49B7-96D3-4A974A80E93D}" name="FECHA MAXIMA" dataDxfId="198">
      <calculatedColumnFormula array="1">IF(OR($B2="",$F2=""),"",WORKDAY.INTL(IF(ISNUMBER($F2),$F2,FECHA.VALOR($F2)),IF(UPPER(TRIM($B2))="AUXILIAR DE COCINA",10,15),1,FESTIVOS!$A$3:$A$1000))</calculatedColumnFormula>
    </tableColumn>
    <tableColumn id="12" xr3:uid="{51554EFB-5BCA-43A5-932B-65F00291E9B8}" name="MES_INDICADOR_K" dataDxfId="197">
      <calculatedColumnFormula>IF($F3="","",DATE(
    YEAR(EDATE($F3,IF(DAY($F3)&gt;=IF(UPPER(TRIM($B3))="AUXILIAR DE COCINA",17,11),1,0))),
    MONTH(EDATE($F3,IF(DAY($F3)&gt;=IF(UPPER(TRIM($B3))="AUXILIAR DE COCINA",17,11),1,0))),
    1
))</calculatedColumnFormula>
    </tableColumn>
    <tableColumn id="13" xr3:uid="{97F766AA-DBA1-4C90-B5AF-9A21539652F4}" name="ESTADO DEL INGRESO" dataDxfId="196">
      <calculatedColumnFormula>IF($K2="","",IF(OR($D2="",$D2&lt;$F2),"PENDIENTE",IF($D2&lt;=$K2,"A TIEMPO","FUERA DE TIEMPO")))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D4A42E-66F6-4BD1-85A4-337A45A0A7E5}" name="Tabla17" displayName="Tabla17" ref="A1:M9" totalsRowShown="0" headerRowDxfId="181" dataDxfId="180">
  <autoFilter ref="A1:M9" xr:uid="{42FB2A62-93A5-474A-B346-EE7226FC8B7D}"/>
  <tableColumns count="13">
    <tableColumn id="1" xr3:uid="{5EDBC0F3-EB84-4811-94A5-360831C35C12}" name="NOMBRE NUEVO INGRESO" dataDxfId="179"/>
    <tableColumn id="2" xr3:uid="{7D57B659-112D-425F-B843-4001D8BF6A41}" name="CARGO" dataDxfId="178"/>
    <tableColumn id="3" xr3:uid="{046D1B26-05CE-42E6-9E43-1C183172018D}" name="ESTADO" dataDxfId="177"/>
    <tableColumn id="4" xr3:uid="{C337659E-CA7C-4F58-BE73-CB931C127C48}" name="FECHA DE INGRESO " dataDxfId="176"/>
    <tableColumn id="5" xr3:uid="{C371277C-4E6F-4FE6-9E3D-6F3C1FE49D2F}" name="SOLICITA" dataDxfId="175"/>
    <tableColumn id="6" xr3:uid="{A3C70FE8-582B-4A95-8960-D5332DE03584}" name="FECHA DE SOLICITUD " dataDxfId="174"/>
    <tableColumn id="7" xr3:uid="{A3444BE3-56E2-4CDA-8E13-BBEEF2539611}" name="PUNTO" dataDxfId="173"/>
    <tableColumn id="8" xr3:uid="{423FAAF5-3538-488B-9A62-C5FCFAB4E2DE}" name="PERSONA A QUIEN REEMPLAZARA" dataDxfId="172"/>
    <tableColumn id="9" xr3:uid="{1B9C235B-1778-4E12-820F-190FF306A194}" name="POSICION CLAVES " dataDxfId="171"/>
    <tableColumn id="10" xr3:uid="{0EE9D9B0-F18C-42C1-BB5E-F6ED90BE33D1}" name="MOTIVO " dataDxfId="170"/>
    <tableColumn id="11" xr3:uid="{6FCD8972-172C-4965-9BC6-7869A93FE70F}" name="FECHA MAXIMA" dataDxfId="169">
      <calculatedColumnFormula array="1">IF(OR($B2="",$F2=""),"",WORKDAY.INTL(IF(ISNUMBER($F2),$F2,FECHA.VALOR($F2)),IF(UPPER(TRIM($B2))="AUXILIAR DE COCINA",10,15),1,FESTIVOS!$A$3:$A$1000))</calculatedColumnFormula>
    </tableColumn>
    <tableColumn id="12" xr3:uid="{FA1BD227-B770-4988-B970-D130DFBA9324}" name="MES_INDICADOR_K" dataDxfId="168">
      <calculatedColumnFormula>IF($F2="","",DATE(YEAR(EDATE($F2,IF(DAY($F2)&gt;=17,1,0))),MONTH(EDATE($F2,IF(DAY($F2)&gt;=17,1,0))),1))</calculatedColumnFormula>
    </tableColumn>
    <tableColumn id="13" xr3:uid="{F7A23753-6DF5-4AF5-8082-39562D7F65BD}" name="ESTADO DEL INGRESO" dataDxfId="167">
      <calculatedColumnFormula>IF($K2="","",IF(OR($D2="",$D2&lt;$F2),"PENDIENTE",IF($D2&lt;=$K2,"A TIEMPO","FUERA DE TIEMPO")))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F973B9-4356-4C5C-9551-362317A4C549}" name="Tabla178" displayName="Tabla178" ref="A1:M63" totalsRowShown="0" headerRowDxfId="162" dataDxfId="161">
  <autoFilter ref="A1:M63" xr:uid="{42FB2A62-93A5-474A-B346-EE7226FC8B7D}">
    <filterColumn colId="4">
      <filters>
        <filter val="PAULA"/>
      </filters>
    </filterColumn>
  </autoFilter>
  <tableColumns count="13">
    <tableColumn id="1" xr3:uid="{81E0CFC0-5D93-4DF4-B246-D290B5D102F6}" name="NOMBRE NUEVO INGRESO" dataDxfId="160" totalsRowDxfId="159"/>
    <tableColumn id="2" xr3:uid="{1240C72C-8423-4102-BB2C-3F1ADF6C146B}" name="CARGO" dataDxfId="158" totalsRowDxfId="157"/>
    <tableColumn id="3" xr3:uid="{F65A81A0-3C42-46D4-9B32-F396C69DE3FE}" name="ESTADO" dataDxfId="156" totalsRowDxfId="155"/>
    <tableColumn id="4" xr3:uid="{60A4B551-84A1-464B-9491-C163E54A2134}" name="FECHA DE INGRESO " dataDxfId="154" totalsRowDxfId="153"/>
    <tableColumn id="5" xr3:uid="{9357748A-60A7-4F2F-AAE0-6A30E03C524A}" name="SOLICITA" dataDxfId="152" totalsRowDxfId="151"/>
    <tableColumn id="6" xr3:uid="{7E3F70E0-E6C3-4792-9A54-CCBD14CFE7D8}" name="FECHA DE SOLICITUD " dataDxfId="150" totalsRowDxfId="149"/>
    <tableColumn id="7" xr3:uid="{5F369F30-ED82-41CF-9E69-2AC0E180A0F9}" name="PUNTO" dataDxfId="148" totalsRowDxfId="147"/>
    <tableColumn id="8" xr3:uid="{8FE23375-091F-4598-BFB4-4A6F65783674}" name="PERSONA A QUIEN REEMPLAZARA" dataDxfId="146" totalsRowDxfId="145"/>
    <tableColumn id="9" xr3:uid="{9950B901-C351-418E-AD59-4921039260B1}" name="POSICION CLAVES " dataDxfId="144" totalsRowDxfId="143"/>
    <tableColumn id="10" xr3:uid="{DF911A7C-5A0E-4654-8E87-0FF61BAFC204}" name="MOTIVO " dataDxfId="142" totalsRowDxfId="141"/>
    <tableColumn id="11" xr3:uid="{11FBA3B4-FAB4-42F7-B09A-C4FD02CF6924}" name="FECHA MAXIMA" dataDxfId="140" totalsRowDxfId="139">
      <calculatedColumnFormula array="1">IF(OR($B2="",$F2=""),"",WORKDAY.INTL(IF(ISNUMBER($F2),$F2,FECHA.VALOR($F2)),IF(UPPER(TRIM($B2))="AUXILIAR DE COCINA",10,15),1,FESTIVOS!$A$3:$A$1000))</calculatedColumnFormula>
    </tableColumn>
    <tableColumn id="12" xr3:uid="{3E13EC6A-5B6F-44FF-8256-7A52DA95AD8F}" name="MES_INDICADOR_K" dataDxfId="138" totalsRowDxfId="137">
      <calculatedColumnFormula>IF($F2="","",DATE(YEAR(EDATE($F2,IF(DAY($F2)&gt;=17,1,0))),MONTH(EDATE($F2,IF(DAY($F2)&gt;=17,1,0))),1))</calculatedColumnFormula>
    </tableColumn>
    <tableColumn id="13" xr3:uid="{116AE52F-9348-4FE2-B3CA-1A298CBF67A7}" name="ESTADO DEL INGRESO" dataDxfId="136" totalsRowDxfId="135">
      <calculatedColumnFormula>IF($K2="","",IF(OR($D2="",$D2&lt;$F2),"PENDIENTE",IF($D2&lt;=$K2,"A TIEMPO","FUERA DE TIEMPO")))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4C70A2-6316-400C-AC3C-AF8C2C53DCCD}" name="Tabla1784" displayName="Tabla1784" ref="A1:M52" totalsRowShown="0" headerRowDxfId="130" dataDxfId="129">
  <autoFilter ref="A1:M52" xr:uid="{42FB2A62-93A5-474A-B346-EE7226FC8B7D}"/>
  <tableColumns count="13">
    <tableColumn id="1" xr3:uid="{E15FA58C-EADF-40D0-B875-2262E1664FE2}" name="NOMBRE NUEVO INGRESO" dataDxfId="128"/>
    <tableColumn id="2" xr3:uid="{DFAE594E-8D1B-4573-B455-09C595F140A0}" name="CARGO" dataDxfId="127"/>
    <tableColumn id="3" xr3:uid="{4CD82ADA-F442-4CF0-978C-E9DFE3890384}" name="ESTADO" dataDxfId="126"/>
    <tableColumn id="4" xr3:uid="{96704560-C1A7-4B7E-BDAC-AD70A14BA9A2}" name="FECHA DE INGRESO " dataDxfId="125"/>
    <tableColumn id="5" xr3:uid="{23B4238D-E757-4611-BF67-F1261FFD14BE}" name="SOLICITA" dataDxfId="124"/>
    <tableColumn id="6" xr3:uid="{D507773A-3A43-4546-AF1F-1F1AA9C17BA5}" name="FECHA DE SOLICITUD " dataDxfId="123"/>
    <tableColumn id="7" xr3:uid="{3804AD9C-D2AA-4ED8-BC75-60F9ABBD0EF1}" name="PUNTO" dataDxfId="122"/>
    <tableColumn id="8" xr3:uid="{790B144C-B589-4090-9A49-CA836A98BC58}" name="PERSONA A QUIEN REEMPLAZARA" dataDxfId="121"/>
    <tableColumn id="9" xr3:uid="{D5961FA8-EF04-4010-A5C2-DD3C130FA743}" name="POSICION CLAVES " dataDxfId="120"/>
    <tableColumn id="10" xr3:uid="{F0798AA2-8645-4274-9E31-93BC16B52218}" name="MOTIVO " dataDxfId="119"/>
    <tableColumn id="11" xr3:uid="{D163116B-6A7D-46B5-9104-52B080775195}" name="FECHA MAXIMA" dataDxfId="118">
      <calculatedColumnFormula array="1">IF(OR($B2="",$F2=""),"",WORKDAY.INTL(IF(ISNUMBER($F2),$F2,FECHA.VALOR($F2)),IF(UPPER(TRIM($B2))="AUXILIAR DE COCINA",10,15),1,FESTIVOS!$A$3:$A$1000))</calculatedColumnFormula>
    </tableColumn>
    <tableColumn id="12" xr3:uid="{E576E1B7-6F46-49BA-ACE2-BA5E0FA07BA5}" name="MES_INDICADOR_K" dataDxfId="117">
      <calculatedColumnFormula>IF($F2="","",DATE(YEAR(EDATE($F2,IF(DAY($F2)&gt;=17,1,0))),MONTH(EDATE($F2,IF(DAY($F2)&gt;=17,1,0))),1))</calculatedColumnFormula>
    </tableColumn>
    <tableColumn id="13" xr3:uid="{23449792-6A71-4C77-A56E-8ED5EBD89D9A}" name="ESTADO DEL INGRESO" dataDxfId="116">
      <calculatedColumnFormula>IF($K2="","",IF(OR($D2="",$D2&lt;$F2),"PENDIENTE",IF($D2&lt;=$K2,"A TIEMPO","FUERA DE TIEMPO")))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AEC078-57E1-4F1D-A6AB-38F424272C3E}" name="Tabla17849" displayName="Tabla17849" ref="A1:M51" totalsRowShown="0" headerRowDxfId="111" dataDxfId="110">
  <autoFilter ref="A1:M51" xr:uid="{42FB2A62-93A5-474A-B346-EE7226FC8B7D}"/>
  <tableColumns count="13">
    <tableColumn id="1" xr3:uid="{07F01277-F54D-4A7E-9F55-333F47855FAF}" name="NOMBRE NUEVO INGRESO" dataDxfId="109"/>
    <tableColumn id="2" xr3:uid="{4BFCC297-4609-4EB3-9148-D7E350F602C9}" name="CARGO" dataDxfId="108"/>
    <tableColumn id="3" xr3:uid="{731A4C3F-C5A4-4D02-86E4-ABD01A2AA7CD}" name="ESTADO" dataDxfId="107"/>
    <tableColumn id="4" xr3:uid="{1F0BECE6-5C55-4094-A4E4-3A1FA4DB35B4}" name="FECHA DE INGRESO " dataDxfId="106"/>
    <tableColumn id="5" xr3:uid="{B68AF897-EFB0-439E-9729-FF5A7A91F916}" name="SOLICITA" dataDxfId="105"/>
    <tableColumn id="6" xr3:uid="{51AF2301-F55C-4292-A395-26FA6A90E642}" name="FECHA DE SOLICITUD " dataDxfId="104"/>
    <tableColumn id="7" xr3:uid="{DF8B0B71-E606-4071-B67C-17CAFCDC6C82}" name="PUNTO" dataDxfId="103"/>
    <tableColumn id="8" xr3:uid="{38613DC3-CC0D-4ADB-A57D-306B0FD981FA}" name="PERSONA A QUIEN REEMPLAZARA" dataDxfId="102"/>
    <tableColumn id="9" xr3:uid="{30E9DF1E-6590-4B20-B2C2-D796186DB3BB}" name="POSICION CLAVES " dataDxfId="101"/>
    <tableColumn id="10" xr3:uid="{F71703C8-9759-429A-81EF-55ADCD4BA0FB}" name="MOTIVO " dataDxfId="100"/>
    <tableColumn id="11" xr3:uid="{40584CDB-2C21-46E5-9D6A-84468C83E277}" name="FECHA MAXIMA" dataDxfId="99">
      <calculatedColumnFormula array="1">IF(OR($B2="",$F2=""),"",WORKDAY.INTL(IF(ISNUMBER($F2),$F2,FECHA.VALOR($F2)),IF(UPPER(TRIM($B2))="AUXILIAR DE COCINA",10,15),1,FESTIVOS!$A$3:$A$1000))</calculatedColumnFormula>
    </tableColumn>
    <tableColumn id="12" xr3:uid="{B8AD06DE-DACD-4D45-9870-110E7ED517E1}" name="MES_INDICADOR_K" dataDxfId="98">
      <calculatedColumnFormula>IF($F2="","",DATE(YEAR(EDATE($F2,IF(DAY($F2)&gt;=17,1,0))),MONTH(EDATE($F2,IF(DAY($F2)&gt;=17,1,0))),1))</calculatedColumnFormula>
    </tableColumn>
    <tableColumn id="13" xr3:uid="{CA2F53D5-DC6F-4657-B6AE-0906A310CCD5}" name="ESTADO DEL INGRESO" dataDxfId="97">
      <calculatedColumnFormula>IF($K2="","",IF(OR($D2="",$D2&lt;$F2),"PENDIENTE",IF($D2&lt;=$K2,"A TIEMPO","FUERA DE TIEMPO")))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BA706E-2FB0-4768-B7BA-067180C8EA12}" name="Tabla1784910" displayName="Tabla1784910" ref="A1:M2" totalsRowShown="0" headerRowDxfId="92" dataDxfId="91">
  <autoFilter ref="A1:M2" xr:uid="{42FB2A62-93A5-474A-B346-EE7226FC8B7D}"/>
  <tableColumns count="13">
    <tableColumn id="1" xr3:uid="{20858BAF-3231-4A14-8CEB-F3D8C83F5D8A}" name="NOMBRE NUEVO INGRESO" dataDxfId="90"/>
    <tableColumn id="2" xr3:uid="{605BA2E3-D552-4018-9BB9-55551F1DA966}" name="CARGO" dataDxfId="89"/>
    <tableColumn id="3" xr3:uid="{67654E78-8EF4-4421-96AD-EC1355315D18}" name="ESTADO" dataDxfId="88"/>
    <tableColumn id="4" xr3:uid="{D8BCCA54-9AAC-459F-BE8C-B0A642B1ECD2}" name="FECHA DE INGRESO " dataDxfId="87"/>
    <tableColumn id="5" xr3:uid="{EEFD7310-38FB-44DA-8C85-EF89A4DC7F27}" name="SOLICITA" dataDxfId="86"/>
    <tableColumn id="6" xr3:uid="{B107A8EF-DDA6-4892-9F0A-812A0211EDFE}" name="FECHA DE SOLICITUD " dataDxfId="85"/>
    <tableColumn id="7" xr3:uid="{BB2F2314-FB88-41F6-98CF-0E1A9726D40B}" name="PUNTO" dataDxfId="84"/>
    <tableColumn id="8" xr3:uid="{03B7FFA6-731E-4727-9433-8DD94350C5E4}" name="PERSONA A QUIEN REEMPLAZARA" dataDxfId="83"/>
    <tableColumn id="9" xr3:uid="{7BEB0D9D-5177-4DA0-8C78-784187412932}" name="POSICION CLAVES " dataDxfId="82"/>
    <tableColumn id="10" xr3:uid="{E1D062A4-659D-4D76-AB28-05FFD07D2044}" name="MOTIVO " dataDxfId="81"/>
    <tableColumn id="11" xr3:uid="{A6609AA4-E6CF-4B5D-8309-935A683D4344}" name="FECHA MAXIMA" dataDxfId="80">
      <calculatedColumnFormula array="1">IF(OR($B2="",$F2=""),"",WORKDAY.INTL(IF(ISNUMBER($F2),$F2,FECHA.VALOR($F2)),IF(UPPER(TRIM($B2))="AUXILIAR DE COCINA",10,15),1,FESTIVOS!$A$3:$A$1000))</calculatedColumnFormula>
    </tableColumn>
    <tableColumn id="12" xr3:uid="{A9C8E142-DF5F-4E9B-8F22-EF3CB60FDBF4}" name="MES_INDICADOR_K" dataDxfId="79">
      <calculatedColumnFormula>IF($F2="","",DATE(YEAR(EDATE($F2,IF(DAY($F2)&gt;=17,1,0))),MONTH(EDATE($F2,IF(DAY($F2)&gt;=17,1,0))),1))</calculatedColumnFormula>
    </tableColumn>
    <tableColumn id="13" xr3:uid="{BF039F12-9EA6-44EC-A349-5FA5D957041F}" name="ESTADO DEL INGRESO" dataDxfId="78">
      <calculatedColumnFormula>IF($K2="","",IF(OR($D2="",$D2&lt;$F2),"PENDIENTE",IF($D2&lt;=$K2,"A TIEMPO","FUERA DE TIEMPO")))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5180-7BCE-4699-88DC-31F51D04A00D}">
  <dimension ref="A1:E24"/>
  <sheetViews>
    <sheetView workbookViewId="0">
      <selection activeCell="I9" sqref="I9"/>
    </sheetView>
  </sheetViews>
  <sheetFormatPr baseColWidth="10" defaultColWidth="11.42578125" defaultRowHeight="12.75"/>
  <cols>
    <col min="1" max="1" width="23.42578125" customWidth="1"/>
    <col min="2" max="2" width="36.7109375" bestFit="1" customWidth="1"/>
    <col min="4" max="4" width="23.42578125" bestFit="1" customWidth="1"/>
    <col min="5" max="5" width="36.7109375" bestFit="1" customWidth="1"/>
  </cols>
  <sheetData>
    <row r="1" spans="1:5">
      <c r="A1" s="357" t="s">
        <v>0</v>
      </c>
      <c r="B1" s="357"/>
      <c r="D1" s="357" t="s">
        <v>1</v>
      </c>
      <c r="E1" s="357"/>
    </row>
    <row r="2" spans="1:5" ht="15">
      <c r="A2" s="57" t="s">
        <v>2</v>
      </c>
      <c r="B2" s="57" t="s">
        <v>3</v>
      </c>
      <c r="D2" s="57" t="s">
        <v>2</v>
      </c>
      <c r="E2" s="57" t="s">
        <v>3</v>
      </c>
    </row>
    <row r="3" spans="1:5">
      <c r="A3" s="53">
        <v>45964</v>
      </c>
      <c r="B3" s="55" t="s">
        <v>4</v>
      </c>
      <c r="D3" s="53">
        <v>45964</v>
      </c>
      <c r="E3" s="55" t="s">
        <v>4</v>
      </c>
    </row>
    <row r="4" spans="1:5">
      <c r="A4" s="53">
        <v>45978</v>
      </c>
      <c r="B4" s="55" t="s">
        <v>5</v>
      </c>
      <c r="D4" s="53">
        <v>45978</v>
      </c>
      <c r="E4" s="55" t="s">
        <v>5</v>
      </c>
    </row>
    <row r="5" spans="1:5" ht="15">
      <c r="A5" s="51">
        <v>45999</v>
      </c>
      <c r="B5" s="52" t="s">
        <v>6</v>
      </c>
      <c r="D5" s="51">
        <v>45999</v>
      </c>
      <c r="E5" s="52" t="s">
        <v>6</v>
      </c>
    </row>
    <row r="6" spans="1:5" ht="15">
      <c r="A6" s="51">
        <v>46016</v>
      </c>
      <c r="B6" s="52" t="s">
        <v>7</v>
      </c>
      <c r="D6" s="51">
        <v>46016</v>
      </c>
      <c r="E6" s="52" t="s">
        <v>7</v>
      </c>
    </row>
    <row r="7" spans="1:5" ht="15">
      <c r="A7" s="51">
        <v>46023</v>
      </c>
      <c r="B7" s="52" t="s">
        <v>8</v>
      </c>
      <c r="D7" s="51">
        <v>46023</v>
      </c>
      <c r="E7" s="52" t="s">
        <v>8</v>
      </c>
    </row>
    <row r="8" spans="1:5" ht="15">
      <c r="A8" s="51">
        <v>46034</v>
      </c>
      <c r="B8" s="52" t="s">
        <v>9</v>
      </c>
      <c r="D8" s="51">
        <v>46034</v>
      </c>
      <c r="E8" s="52" t="s">
        <v>9</v>
      </c>
    </row>
    <row r="9" spans="1:5" ht="15">
      <c r="A9" s="51">
        <v>46104</v>
      </c>
      <c r="B9" s="52" t="s">
        <v>10</v>
      </c>
      <c r="D9" s="51">
        <v>46104</v>
      </c>
      <c r="E9" s="52" t="s">
        <v>10</v>
      </c>
    </row>
    <row r="10" spans="1:5" ht="15">
      <c r="A10" s="51">
        <v>46114</v>
      </c>
      <c r="B10" s="52" t="s">
        <v>11</v>
      </c>
      <c r="D10" s="51">
        <v>46114</v>
      </c>
      <c r="E10" s="52" t="s">
        <v>11</v>
      </c>
    </row>
    <row r="11" spans="1:5" ht="15">
      <c r="A11" s="51">
        <v>46115</v>
      </c>
      <c r="B11" s="52" t="s">
        <v>12</v>
      </c>
      <c r="D11" s="51">
        <v>46115</v>
      </c>
      <c r="E11" s="52" t="s">
        <v>12</v>
      </c>
    </row>
    <row r="12" spans="1:5" ht="15">
      <c r="A12" s="51">
        <v>46143</v>
      </c>
      <c r="B12" s="52" t="s">
        <v>13</v>
      </c>
      <c r="D12" s="51">
        <v>46143</v>
      </c>
      <c r="E12" s="52" t="s">
        <v>13</v>
      </c>
    </row>
    <row r="13" spans="1:5" ht="15">
      <c r="A13" s="51">
        <v>46160</v>
      </c>
      <c r="B13" s="52" t="s">
        <v>14</v>
      </c>
      <c r="D13" s="51">
        <v>46160</v>
      </c>
      <c r="E13" s="52" t="s">
        <v>14</v>
      </c>
    </row>
    <row r="14" spans="1:5" ht="15">
      <c r="A14" s="51">
        <v>46181</v>
      </c>
      <c r="B14" s="52" t="s">
        <v>15</v>
      </c>
      <c r="D14" s="51">
        <v>46181</v>
      </c>
      <c r="E14" s="52" t="s">
        <v>15</v>
      </c>
    </row>
    <row r="15" spans="1:5" ht="15">
      <c r="A15" s="51">
        <v>46188</v>
      </c>
      <c r="B15" s="52" t="s">
        <v>16</v>
      </c>
      <c r="D15" s="51">
        <v>46188</v>
      </c>
      <c r="E15" s="52" t="s">
        <v>16</v>
      </c>
    </row>
    <row r="16" spans="1:5" ht="15">
      <c r="A16" s="51">
        <v>46202</v>
      </c>
      <c r="B16" s="52" t="s">
        <v>17</v>
      </c>
      <c r="D16" s="51">
        <v>46202</v>
      </c>
      <c r="E16" s="52" t="s">
        <v>17</v>
      </c>
    </row>
    <row r="17" spans="1:5" ht="15">
      <c r="A17" s="51">
        <v>46223</v>
      </c>
      <c r="B17" s="52" t="s">
        <v>18</v>
      </c>
      <c r="D17" s="51">
        <v>46223</v>
      </c>
      <c r="E17" s="52" t="s">
        <v>18</v>
      </c>
    </row>
    <row r="18" spans="1:5" ht="15">
      <c r="A18" s="51">
        <v>46241</v>
      </c>
      <c r="B18" s="52" t="s">
        <v>19</v>
      </c>
      <c r="D18" s="51">
        <v>46241</v>
      </c>
      <c r="E18" s="52" t="s">
        <v>19</v>
      </c>
    </row>
    <row r="19" spans="1:5" ht="15">
      <c r="A19" s="51">
        <v>46251</v>
      </c>
      <c r="B19" s="52" t="s">
        <v>20</v>
      </c>
      <c r="D19" s="54">
        <v>46251</v>
      </c>
      <c r="E19" s="56" t="s">
        <v>20</v>
      </c>
    </row>
    <row r="20" spans="1:5" ht="15">
      <c r="A20" s="51">
        <v>46307</v>
      </c>
      <c r="B20" s="52" t="s">
        <v>21</v>
      </c>
      <c r="D20" s="54">
        <v>46307</v>
      </c>
      <c r="E20" s="56" t="s">
        <v>21</v>
      </c>
    </row>
    <row r="21" spans="1:5" ht="15">
      <c r="A21" s="51">
        <v>46328</v>
      </c>
      <c r="B21" s="52" t="s">
        <v>22</v>
      </c>
      <c r="D21" s="144">
        <v>46328</v>
      </c>
      <c r="E21" s="79" t="s">
        <v>22</v>
      </c>
    </row>
    <row r="22" spans="1:5" ht="15">
      <c r="A22" s="51">
        <v>46342</v>
      </c>
      <c r="B22" s="52" t="s">
        <v>23</v>
      </c>
      <c r="D22" s="144">
        <v>46342</v>
      </c>
      <c r="E22" s="79" t="s">
        <v>23</v>
      </c>
    </row>
    <row r="23" spans="1:5" ht="15">
      <c r="A23" s="54">
        <v>46364</v>
      </c>
      <c r="B23" s="56" t="s">
        <v>6</v>
      </c>
      <c r="D23" s="144">
        <v>46364</v>
      </c>
      <c r="E23" s="79" t="s">
        <v>6</v>
      </c>
    </row>
    <row r="24" spans="1:5" ht="15">
      <c r="A24" s="54">
        <v>46381</v>
      </c>
      <c r="B24" s="56" t="s">
        <v>7</v>
      </c>
      <c r="D24" s="144">
        <v>46381</v>
      </c>
      <c r="E24" s="79" t="s">
        <v>7</v>
      </c>
    </row>
  </sheetData>
  <mergeCells count="2">
    <mergeCell ref="A1:B1"/>
    <mergeCell ref="D1:E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DB6B-09A6-4CE0-A251-00582651D51A}">
  <dimension ref="A1:U1159"/>
  <sheetViews>
    <sheetView workbookViewId="0">
      <selection activeCell="A2" sqref="A2"/>
    </sheetView>
  </sheetViews>
  <sheetFormatPr baseColWidth="10" defaultColWidth="11.42578125" defaultRowHeight="12.75"/>
  <cols>
    <col min="1" max="1" width="41" style="73" customWidth="1"/>
    <col min="2" max="2" width="22.5703125" style="13" bestFit="1" customWidth="1"/>
    <col min="3" max="3" width="18.28515625" style="74" customWidth="1"/>
    <col min="4" max="4" width="21.85546875" style="70" customWidth="1"/>
    <col min="5" max="5" width="21.140625" style="74" customWidth="1"/>
    <col min="6" max="6" width="23.42578125" style="25" customWidth="1"/>
    <col min="7" max="7" width="21.7109375" style="74" customWidth="1"/>
    <col min="8" max="8" width="46.28515625" style="74" customWidth="1"/>
    <col min="9" max="9" width="23.140625" style="13" customWidth="1"/>
    <col min="10" max="10" width="24" style="74" customWidth="1"/>
    <col min="11" max="11" width="17.42578125" style="25" customWidth="1"/>
    <col min="12" max="12" width="21.7109375" style="77" bestFit="1" customWidth="1"/>
    <col min="13" max="13" width="22.85546875" style="25" bestFit="1" customWidth="1"/>
    <col min="14" max="14" width="12.85546875" style="13" bestFit="1" customWidth="1"/>
    <col min="15" max="15" width="27.140625" style="77" customWidth="1"/>
    <col min="16" max="16" width="22.5703125" style="13" bestFit="1" customWidth="1"/>
    <col min="17" max="17" width="25.28515625" style="13" bestFit="1" customWidth="1"/>
    <col min="18" max="18" width="18.5703125" style="13" bestFit="1" customWidth="1"/>
    <col min="19" max="19" width="3.140625" style="13" bestFit="1" customWidth="1"/>
    <col min="20" max="20" width="2.140625" style="13" bestFit="1" customWidth="1"/>
    <col min="21" max="21" width="3.140625" style="13" bestFit="1" customWidth="1"/>
    <col min="22" max="16384" width="11.42578125" style="13"/>
  </cols>
  <sheetData>
    <row r="1" spans="1:21" customFormat="1">
      <c r="A1" s="59" t="s">
        <v>24</v>
      </c>
      <c r="B1" s="60" t="s">
        <v>25</v>
      </c>
      <c r="C1" s="61" t="s">
        <v>26</v>
      </c>
      <c r="D1" s="65" t="s">
        <v>27</v>
      </c>
      <c r="E1" s="59" t="s">
        <v>28</v>
      </c>
      <c r="F1" s="62" t="s">
        <v>29</v>
      </c>
      <c r="G1" s="58" t="s">
        <v>30</v>
      </c>
      <c r="H1" s="59" t="s">
        <v>31</v>
      </c>
      <c r="I1" s="214" t="s">
        <v>32</v>
      </c>
      <c r="J1" s="214" t="s">
        <v>33</v>
      </c>
      <c r="K1" s="215" t="s">
        <v>34</v>
      </c>
      <c r="L1" s="76" t="s">
        <v>35</v>
      </c>
      <c r="M1" t="s">
        <v>36</v>
      </c>
      <c r="O1" s="76"/>
    </row>
    <row r="2" spans="1:21" customFormat="1" ht="15">
      <c r="A2" s="145" t="s">
        <v>37</v>
      </c>
      <c r="B2" s="30" t="s">
        <v>38</v>
      </c>
      <c r="C2" s="32" t="s">
        <v>39</v>
      </c>
      <c r="D2" s="43">
        <v>46015</v>
      </c>
      <c r="E2" s="35" t="s">
        <v>40</v>
      </c>
      <c r="F2" s="157">
        <v>45971</v>
      </c>
      <c r="G2" s="42" t="s">
        <v>41</v>
      </c>
      <c r="H2" s="198" t="s">
        <v>42</v>
      </c>
      <c r="I2" s="11"/>
      <c r="J2" s="197"/>
      <c r="K2" s="15" cm="1">
        <f t="array" ref="K2">IF(OR($B2="",$F2=""),"",WORKDAY.INTL(IF(ISNUMBER($F2),$F2,FECHA.VALOR($F2)),IF(UPPER(TRIM($B2))="AUXILIAR DE COCINA",10,15),1,FESTIVOS!$A$3:$A$1000))</f>
        <v>45993</v>
      </c>
      <c r="L2" s="77">
        <f t="shared" ref="L2:L31" si="0">IF($F3="","",DATE(
    YEAR(EDATE($F3,IF(DAY($F3)&gt;=IF(UPPER(TRIM($B3))="AUXILIAR DE COCINA",17,11),1,0))),
    MONTH(EDATE($F3,IF(DAY($F3)&gt;=IF(UPPER(TRIM($B3))="AUXILIAR DE COCINA",17,11),1,0))),
    1
))</f>
        <v>45992</v>
      </c>
      <c r="M2" s="10" t="str">
        <f t="shared" ref="M2:M33" si="1">IF($K2="","",IF(OR($D2="",$D2&lt;$F2),"PENDIENTE",IF($D2&lt;=$K2,"A TIEMPO","FUERA DE TIEMPO")))</f>
        <v>FUERA DE TIEMPO</v>
      </c>
      <c r="O2" s="78" t="s">
        <v>43</v>
      </c>
      <c r="P2" s="76"/>
      <c r="Q2" s="75" t="s">
        <v>36</v>
      </c>
    </row>
    <row r="3" spans="1:21" customFormat="1" ht="15">
      <c r="A3" s="170" t="s">
        <v>44</v>
      </c>
      <c r="B3" s="1" t="s">
        <v>38</v>
      </c>
      <c r="C3" s="32" t="s">
        <v>39</v>
      </c>
      <c r="D3" s="162">
        <v>45975</v>
      </c>
      <c r="E3" s="165" t="s">
        <v>40</v>
      </c>
      <c r="F3" s="183">
        <v>45972</v>
      </c>
      <c r="G3" s="192" t="s">
        <v>45</v>
      </c>
      <c r="H3" s="199" t="s">
        <v>46</v>
      </c>
      <c r="I3" s="11"/>
      <c r="J3" s="197"/>
      <c r="K3" s="15" cm="1">
        <f t="array" ref="K3">IF(OR($B3="",$F3=""),"",WORKDAY.INTL(IF(ISNUMBER($F3),$F3,FECHA.VALOR($F3)),IF(UPPER(TRIM($B3))="AUXILIAR DE COCINA",10,15),1,FESTIVOS!$A$3:$A$1000))</f>
        <v>45994</v>
      </c>
      <c r="L3" s="77">
        <f t="shared" si="0"/>
        <v>45992</v>
      </c>
      <c r="M3" s="25" t="str">
        <f t="shared" si="1"/>
        <v>A TIEMPO</v>
      </c>
      <c r="O3" s="78" t="s">
        <v>35</v>
      </c>
      <c r="P3" s="75" t="s">
        <v>25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</row>
    <row r="4" spans="1:21" customFormat="1" ht="15">
      <c r="A4" s="145" t="s">
        <v>52</v>
      </c>
      <c r="B4" s="30" t="s">
        <v>53</v>
      </c>
      <c r="C4" s="30" t="s">
        <v>39</v>
      </c>
      <c r="D4" s="43">
        <v>45972</v>
      </c>
      <c r="E4" s="35" t="s">
        <v>40</v>
      </c>
      <c r="F4" s="153">
        <v>45979</v>
      </c>
      <c r="G4" s="39" t="s">
        <v>54</v>
      </c>
      <c r="H4" s="200" t="s">
        <v>55</v>
      </c>
      <c r="I4" s="11"/>
      <c r="J4" s="197"/>
      <c r="K4" s="15" cm="1">
        <f t="array" ref="K4">IF(OR($B4="",$F4=""),"",WORKDAY.INTL(IF(ISNUMBER($F4),$F4,FECHA.VALOR($F4)),IF(UPPER(TRIM($B4))="AUXILIAR DE COCINA",10,15),1,FESTIVOS!$A$3:$A$1000))</f>
        <v>45993</v>
      </c>
      <c r="L4" s="77">
        <f t="shared" si="0"/>
        <v>45992</v>
      </c>
      <c r="M4" s="10" t="str">
        <f t="shared" si="1"/>
        <v>PENDIENTE</v>
      </c>
      <c r="O4" s="76" t="s">
        <v>56</v>
      </c>
      <c r="P4" t="s">
        <v>53</v>
      </c>
      <c r="S4">
        <v>1</v>
      </c>
      <c r="U4">
        <v>1</v>
      </c>
    </row>
    <row r="5" spans="1:21" customFormat="1" ht="15">
      <c r="A5" s="177" t="s">
        <v>57</v>
      </c>
      <c r="B5" s="30" t="s">
        <v>53</v>
      </c>
      <c r="C5" s="36" t="s">
        <v>39</v>
      </c>
      <c r="D5" s="43">
        <v>45983</v>
      </c>
      <c r="E5" s="35" t="s">
        <v>40</v>
      </c>
      <c r="F5" s="153">
        <v>45979</v>
      </c>
      <c r="G5" s="39" t="s">
        <v>58</v>
      </c>
      <c r="H5" s="200" t="s">
        <v>59</v>
      </c>
      <c r="I5" s="11"/>
      <c r="J5" s="197"/>
      <c r="K5" s="15" cm="1">
        <f t="array" ref="K5">IF(OR($B5="",$F5=""),"",WORKDAY.INTL(IF(ISNUMBER($F5),$F5,FECHA.VALOR($F5)),IF(UPPER(TRIM($B5))="AUXILIAR DE COCINA",10,15),1,FESTIVOS!$A$3:$A$1000))</f>
        <v>45993</v>
      </c>
      <c r="L5" s="77">
        <f t="shared" si="0"/>
        <v>45992</v>
      </c>
      <c r="M5" s="10" t="str">
        <f t="shared" si="1"/>
        <v>A TIEMPO</v>
      </c>
      <c r="O5" t="s">
        <v>60</v>
      </c>
      <c r="S5">
        <v>1</v>
      </c>
      <c r="U5">
        <v>1</v>
      </c>
    </row>
    <row r="6" spans="1:21" customFormat="1" ht="15">
      <c r="A6" s="31" t="s">
        <v>61</v>
      </c>
      <c r="B6" s="30" t="s">
        <v>53</v>
      </c>
      <c r="C6" s="36" t="s">
        <v>39</v>
      </c>
      <c r="D6" s="43">
        <v>45983</v>
      </c>
      <c r="E6" s="35" t="s">
        <v>40</v>
      </c>
      <c r="F6" s="153">
        <v>45979</v>
      </c>
      <c r="G6" s="39" t="s">
        <v>62</v>
      </c>
      <c r="H6" s="200" t="s">
        <v>63</v>
      </c>
      <c r="I6" s="11"/>
      <c r="J6" s="197"/>
      <c r="K6" s="15" cm="1">
        <f t="array" ref="K6">IF(OR($B6="",$F6=""),"",WORKDAY.INTL(IF(ISNUMBER($F6),$F6,FECHA.VALOR($F6)),IF(UPPER(TRIM($B6))="AUXILIAR DE COCINA",10,15),1,FESTIVOS!$A$3:$A$1000))</f>
        <v>45993</v>
      </c>
      <c r="L6" s="77">
        <f t="shared" si="0"/>
        <v>45992</v>
      </c>
      <c r="M6" s="10" t="str">
        <f t="shared" si="1"/>
        <v>A TIEMPO</v>
      </c>
      <c r="O6" s="76" t="s">
        <v>50</v>
      </c>
      <c r="P6" t="s">
        <v>53</v>
      </c>
      <c r="Q6">
        <v>1</v>
      </c>
      <c r="U6">
        <v>1</v>
      </c>
    </row>
    <row r="7" spans="1:21" customFormat="1" ht="15">
      <c r="A7" s="31" t="s">
        <v>64</v>
      </c>
      <c r="B7" s="34" t="s">
        <v>53</v>
      </c>
      <c r="C7" s="32" t="s">
        <v>39</v>
      </c>
      <c r="D7" s="43">
        <v>45983</v>
      </c>
      <c r="E7" s="35" t="s">
        <v>40</v>
      </c>
      <c r="F7" s="153">
        <v>45979</v>
      </c>
      <c r="G7" s="39" t="s">
        <v>65</v>
      </c>
      <c r="H7" s="200" t="s">
        <v>66</v>
      </c>
      <c r="I7" s="11"/>
      <c r="J7" s="197"/>
      <c r="K7" s="15" cm="1">
        <f t="array" ref="K7">IF(OR($B7="",$F7=""),"",WORKDAY.INTL(IF(ISNUMBER($F7),$F7,FECHA.VALOR($F7)),IF(UPPER(TRIM($B7))="AUXILIAR DE COCINA",10,15),1,FESTIVOS!$A$3:$A$1000))</f>
        <v>45993</v>
      </c>
      <c r="L7" s="77">
        <f t="shared" si="0"/>
        <v>45992</v>
      </c>
      <c r="M7" s="10" t="str">
        <f t="shared" si="1"/>
        <v>A TIEMPO</v>
      </c>
      <c r="O7" s="76"/>
      <c r="P7" t="s">
        <v>38</v>
      </c>
      <c r="R7">
        <v>1</v>
      </c>
      <c r="U7">
        <v>1</v>
      </c>
    </row>
    <row r="8" spans="1:21" customFormat="1" ht="15">
      <c r="A8" s="29" t="s">
        <v>67</v>
      </c>
      <c r="B8" s="34" t="s">
        <v>53</v>
      </c>
      <c r="C8" s="32" t="s">
        <v>39</v>
      </c>
      <c r="D8" s="43">
        <v>45983</v>
      </c>
      <c r="E8" s="35" t="s">
        <v>40</v>
      </c>
      <c r="F8" s="153">
        <v>45979</v>
      </c>
      <c r="G8" s="39" t="s">
        <v>68</v>
      </c>
      <c r="H8" s="200" t="s">
        <v>69</v>
      </c>
      <c r="I8" s="11"/>
      <c r="J8" s="197"/>
      <c r="K8" s="15" cm="1">
        <f t="array" ref="K8">IF(OR($B8="",$F8=""),"",WORKDAY.INTL(IF(ISNUMBER($F8),$F8,FECHA.VALOR($F8)),IF(UPPER(TRIM($B8))="AUXILIAR DE COCINA",10,15),1,FESTIVOS!$A$3:$A$1000))</f>
        <v>45993</v>
      </c>
      <c r="L8" s="77">
        <f t="shared" si="0"/>
        <v>45992</v>
      </c>
      <c r="M8" s="10" t="str">
        <f t="shared" si="1"/>
        <v>A TIEMPO</v>
      </c>
      <c r="O8" t="s">
        <v>70</v>
      </c>
      <c r="Q8">
        <v>1</v>
      </c>
      <c r="R8">
        <v>1</v>
      </c>
      <c r="U8">
        <v>2</v>
      </c>
    </row>
    <row r="9" spans="1:21" customFormat="1" ht="15">
      <c r="A9" s="33" t="s">
        <v>71</v>
      </c>
      <c r="B9" s="34" t="s">
        <v>53</v>
      </c>
      <c r="C9" s="37" t="s">
        <v>39</v>
      </c>
      <c r="D9" s="43">
        <v>45987</v>
      </c>
      <c r="E9" s="35" t="s">
        <v>40</v>
      </c>
      <c r="F9" s="153">
        <v>45979</v>
      </c>
      <c r="G9" s="39" t="s">
        <v>65</v>
      </c>
      <c r="H9" s="200" t="s">
        <v>72</v>
      </c>
      <c r="I9" s="11"/>
      <c r="J9" s="197"/>
      <c r="K9" s="15" cm="1">
        <f t="array" ref="K9">IF(OR($B9="",$F9=""),"",WORKDAY.INTL(IF(ISNUMBER($F9),$F9,FECHA.VALOR($F9)),IF(UPPER(TRIM($B9))="AUXILIAR DE COCINA",10,15),1,FESTIVOS!$A$3:$A$1000))</f>
        <v>45993</v>
      </c>
      <c r="L9" s="77">
        <f t="shared" si="0"/>
        <v>45992</v>
      </c>
      <c r="M9" s="10" t="str">
        <f t="shared" si="1"/>
        <v>A TIEMPO</v>
      </c>
      <c r="O9" s="76">
        <v>45992</v>
      </c>
      <c r="P9" t="s">
        <v>53</v>
      </c>
      <c r="Q9">
        <v>24</v>
      </c>
      <c r="R9">
        <v>5</v>
      </c>
      <c r="S9">
        <v>1</v>
      </c>
      <c r="U9">
        <v>30</v>
      </c>
    </row>
    <row r="10" spans="1:21" customFormat="1" ht="15">
      <c r="A10" s="177" t="s">
        <v>73</v>
      </c>
      <c r="B10" s="34" t="s">
        <v>53</v>
      </c>
      <c r="C10" s="37" t="s">
        <v>39</v>
      </c>
      <c r="D10" s="43">
        <v>45989</v>
      </c>
      <c r="E10" s="35" t="s">
        <v>40</v>
      </c>
      <c r="F10" s="153">
        <v>45979</v>
      </c>
      <c r="G10" s="39" t="s">
        <v>62</v>
      </c>
      <c r="H10" s="200" t="s">
        <v>74</v>
      </c>
      <c r="I10" s="11"/>
      <c r="J10" s="197"/>
      <c r="K10" s="15" cm="1">
        <f t="array" ref="K10">IF(OR($B10="",$F10=""),"",WORKDAY.INTL(IF(ISNUMBER($F10),$F10,FECHA.VALOR($F10)),IF(UPPER(TRIM($B10))="AUXILIAR DE COCINA",10,15),1,FESTIVOS!$A$3:$A$1000))</f>
        <v>45993</v>
      </c>
      <c r="L10" s="77">
        <f t="shared" si="0"/>
        <v>45992</v>
      </c>
      <c r="M10" s="10" t="str">
        <f t="shared" si="1"/>
        <v>A TIEMPO</v>
      </c>
      <c r="O10" s="76"/>
      <c r="P10" t="s">
        <v>38</v>
      </c>
      <c r="Q10">
        <v>6</v>
      </c>
      <c r="R10">
        <v>2</v>
      </c>
      <c r="U10">
        <v>8</v>
      </c>
    </row>
    <row r="11" spans="1:21" customFormat="1" ht="15">
      <c r="A11" s="31" t="s">
        <v>75</v>
      </c>
      <c r="B11" s="34" t="s">
        <v>53</v>
      </c>
      <c r="C11" s="30" t="s">
        <v>39</v>
      </c>
      <c r="D11" s="43">
        <v>45989</v>
      </c>
      <c r="E11" s="35" t="s">
        <v>40</v>
      </c>
      <c r="F11" s="153">
        <v>45979</v>
      </c>
      <c r="G11" s="39" t="s">
        <v>68</v>
      </c>
      <c r="H11" s="200" t="s">
        <v>76</v>
      </c>
      <c r="I11" s="11"/>
      <c r="J11" s="197"/>
      <c r="K11" s="15" cm="1">
        <f t="array" ref="K11">IF(OR($B11="",$F11=""),"",WORKDAY.INTL(IF(ISNUMBER($F11),$F11,FECHA.VALOR($F11)),IF(UPPER(TRIM($B11))="AUXILIAR DE COCINA",10,15),1,FESTIVOS!$A$3:$A$1000))</f>
        <v>45993</v>
      </c>
      <c r="L11" s="77">
        <f t="shared" si="0"/>
        <v>45992</v>
      </c>
      <c r="M11" s="10" t="str">
        <f t="shared" si="1"/>
        <v>A TIEMPO</v>
      </c>
      <c r="O11" t="s">
        <v>77</v>
      </c>
      <c r="Q11">
        <v>30</v>
      </c>
      <c r="R11">
        <v>7</v>
      </c>
      <c r="S11">
        <v>1</v>
      </c>
      <c r="U11">
        <v>38</v>
      </c>
    </row>
    <row r="12" spans="1:21" customFormat="1" ht="15">
      <c r="A12" s="176" t="s">
        <v>78</v>
      </c>
      <c r="B12" s="30" t="s">
        <v>53</v>
      </c>
      <c r="C12" s="30" t="s">
        <v>39</v>
      </c>
      <c r="D12" s="43">
        <v>45993</v>
      </c>
      <c r="E12" s="35" t="s">
        <v>40</v>
      </c>
      <c r="F12" s="153">
        <v>45979</v>
      </c>
      <c r="G12" s="39" t="s">
        <v>79</v>
      </c>
      <c r="H12" s="200" t="s">
        <v>80</v>
      </c>
      <c r="I12" s="11"/>
      <c r="J12" s="197"/>
      <c r="K12" s="15" cm="1">
        <f t="array" ref="K12">IF(OR($B12="",$F12=""),"",WORKDAY.INTL(IF(ISNUMBER($F12),$F12,FECHA.VALOR($F12)),IF(UPPER(TRIM($B12))="AUXILIAR DE COCINA",10,15),1,FESTIVOS!$A$3:$A$1000))</f>
        <v>45993</v>
      </c>
      <c r="L12" s="77">
        <f t="shared" si="0"/>
        <v>45992</v>
      </c>
      <c r="M12" s="10" t="str">
        <f t="shared" si="1"/>
        <v>A TIEMPO</v>
      </c>
      <c r="O12" s="76">
        <v>46023</v>
      </c>
      <c r="P12" t="s">
        <v>53</v>
      </c>
      <c r="Q12">
        <v>16</v>
      </c>
      <c r="R12">
        <v>2</v>
      </c>
      <c r="T12">
        <v>2</v>
      </c>
      <c r="U12">
        <v>20</v>
      </c>
    </row>
    <row r="13" spans="1:21" customFormat="1" ht="15">
      <c r="A13" s="173" t="s">
        <v>81</v>
      </c>
      <c r="B13" s="1" t="s">
        <v>38</v>
      </c>
      <c r="C13" s="30" t="s">
        <v>39</v>
      </c>
      <c r="D13" s="162">
        <v>45987</v>
      </c>
      <c r="E13" s="17" t="s">
        <v>40</v>
      </c>
      <c r="F13" s="18">
        <v>45979</v>
      </c>
      <c r="G13" s="40"/>
      <c r="H13" s="201" t="s">
        <v>82</v>
      </c>
      <c r="I13" s="11"/>
      <c r="J13" s="197"/>
      <c r="K13" s="15" cm="1">
        <f t="array" ref="K13">IF(OR($B13="",$F13=""),"",WORKDAY.INTL(IF(ISNUMBER($F13),$F13,FECHA.VALOR($F13)),IF(UPPER(TRIM($B13))="AUXILIAR DE COCINA",10,15),1,FESTIVOS!$A$3:$A$1000))</f>
        <v>46001</v>
      </c>
      <c r="L13" s="77">
        <f t="shared" si="0"/>
        <v>45992</v>
      </c>
      <c r="M13" s="25" t="str">
        <f t="shared" si="1"/>
        <v>A TIEMPO</v>
      </c>
      <c r="O13" s="76"/>
      <c r="P13" t="s">
        <v>38</v>
      </c>
      <c r="Q13">
        <v>3</v>
      </c>
      <c r="S13">
        <v>1</v>
      </c>
      <c r="U13">
        <v>4</v>
      </c>
    </row>
    <row r="14" spans="1:21" customFormat="1" ht="15">
      <c r="A14" s="216" t="s">
        <v>83</v>
      </c>
      <c r="B14" s="30" t="s">
        <v>53</v>
      </c>
      <c r="C14" s="30" t="s">
        <v>39</v>
      </c>
      <c r="D14" s="43">
        <v>45995</v>
      </c>
      <c r="E14" s="35" t="s">
        <v>40</v>
      </c>
      <c r="F14" s="153">
        <v>45981</v>
      </c>
      <c r="G14" s="39" t="s">
        <v>84</v>
      </c>
      <c r="H14" s="200" t="s">
        <v>85</v>
      </c>
      <c r="I14" s="11"/>
      <c r="J14" s="197"/>
      <c r="K14" s="15" cm="1">
        <f t="array" ref="K14">IF(OR($B14="",$F14=""),"",WORKDAY.INTL(IF(ISNUMBER($F14),$F14,FECHA.VALOR($F14)),IF(UPPER(TRIM($B14))="AUXILIAR DE COCINA",10,15),1,FESTIVOS!$A$3:$A$1000))</f>
        <v>45995</v>
      </c>
      <c r="L14" s="77">
        <f t="shared" si="0"/>
        <v>45992</v>
      </c>
      <c r="M14" s="25" t="str">
        <f t="shared" si="1"/>
        <v>A TIEMPO</v>
      </c>
      <c r="O14" t="s">
        <v>86</v>
      </c>
      <c r="Q14">
        <v>19</v>
      </c>
      <c r="R14">
        <v>2</v>
      </c>
      <c r="S14">
        <v>1</v>
      </c>
      <c r="T14">
        <v>2</v>
      </c>
      <c r="U14">
        <v>24</v>
      </c>
    </row>
    <row r="15" spans="1:21" customFormat="1" ht="15">
      <c r="A15" s="38" t="s">
        <v>87</v>
      </c>
      <c r="B15" s="37" t="s">
        <v>53</v>
      </c>
      <c r="C15" s="181" t="s">
        <v>39</v>
      </c>
      <c r="D15" s="43">
        <v>45995</v>
      </c>
      <c r="E15" s="35" t="s">
        <v>40</v>
      </c>
      <c r="F15" s="221">
        <v>45981</v>
      </c>
      <c r="G15" s="39" t="s">
        <v>88</v>
      </c>
      <c r="H15" s="203" t="s">
        <v>89</v>
      </c>
      <c r="I15" s="11"/>
      <c r="J15" s="197"/>
      <c r="K15" s="15" cm="1">
        <f t="array" ref="K15">IF(OR($B15="",$F15=""),"",WORKDAY.INTL(IF(ISNUMBER($F15),$F15,FECHA.VALOR($F15)),IF(UPPER(TRIM($B15))="AUXILIAR DE COCINA",10,15),1,FESTIVOS!$A$3:$A$1000))</f>
        <v>45995</v>
      </c>
      <c r="L15" s="77">
        <f t="shared" si="0"/>
        <v>45992</v>
      </c>
      <c r="M15" s="25" t="str">
        <f t="shared" si="1"/>
        <v>A TIEMPO</v>
      </c>
      <c r="O15" s="76">
        <v>46054</v>
      </c>
      <c r="P15" t="s">
        <v>53</v>
      </c>
      <c r="Q15">
        <v>2</v>
      </c>
      <c r="S15">
        <v>11</v>
      </c>
      <c r="U15">
        <v>13</v>
      </c>
    </row>
    <row r="16" spans="1:21" customFormat="1" ht="15">
      <c r="A16" s="33" t="s">
        <v>90</v>
      </c>
      <c r="B16" s="37" t="s">
        <v>53</v>
      </c>
      <c r="C16" s="30" t="s">
        <v>39</v>
      </c>
      <c r="D16" s="43">
        <v>45994</v>
      </c>
      <c r="E16" s="35" t="s">
        <v>40</v>
      </c>
      <c r="F16" s="160">
        <v>45982</v>
      </c>
      <c r="G16" s="39" t="s">
        <v>91</v>
      </c>
      <c r="H16" s="204" t="s">
        <v>92</v>
      </c>
      <c r="I16" s="11"/>
      <c r="J16" s="197"/>
      <c r="K16" s="15" cm="1">
        <f t="array" ref="K16">IF(OR($B16="",$F16=""),"",WORKDAY.INTL(IF(ISNUMBER($F16),$F16,FECHA.VALOR($F16)),IF(UPPER(TRIM($B16))="AUXILIAR DE COCINA",10,15),1,FESTIVOS!$A$3:$A$1000))</f>
        <v>45996</v>
      </c>
      <c r="L16" s="77">
        <f t="shared" si="0"/>
        <v>45992</v>
      </c>
      <c r="M16" s="25" t="str">
        <f t="shared" si="1"/>
        <v>A TIEMPO</v>
      </c>
      <c r="O16" s="76"/>
      <c r="P16" t="s">
        <v>38</v>
      </c>
      <c r="Q16">
        <v>1</v>
      </c>
      <c r="U16">
        <v>1</v>
      </c>
    </row>
    <row r="17" spans="1:21" customFormat="1" ht="15">
      <c r="A17" s="33" t="s">
        <v>93</v>
      </c>
      <c r="B17" s="37" t="s">
        <v>53</v>
      </c>
      <c r="C17" s="32" t="s">
        <v>39</v>
      </c>
      <c r="D17" s="43">
        <v>45994</v>
      </c>
      <c r="E17" s="35" t="s">
        <v>40</v>
      </c>
      <c r="F17" s="160">
        <v>45982</v>
      </c>
      <c r="G17" s="42" t="s">
        <v>79</v>
      </c>
      <c r="H17" s="203" t="s">
        <v>94</v>
      </c>
      <c r="I17" s="11"/>
      <c r="J17" s="197"/>
      <c r="K17" s="15" cm="1">
        <f t="array" ref="K17">IF(OR($B17="",$F17=""),"",WORKDAY.INTL(IF(ISNUMBER($F17),$F17,FECHA.VALOR($F17)),IF(UPPER(TRIM($B17))="AUXILIAR DE COCINA",10,15),1,FESTIVOS!$A$3:$A$1000))</f>
        <v>45996</v>
      </c>
      <c r="L17" s="77">
        <f t="shared" si="0"/>
        <v>45992</v>
      </c>
      <c r="M17" s="10" t="str">
        <f t="shared" si="1"/>
        <v>A TIEMPO</v>
      </c>
      <c r="O17" t="s">
        <v>95</v>
      </c>
      <c r="Q17">
        <v>3</v>
      </c>
      <c r="S17">
        <v>11</v>
      </c>
      <c r="U17">
        <v>14</v>
      </c>
    </row>
    <row r="18" spans="1:21" customFormat="1" ht="15">
      <c r="A18" s="179" t="s">
        <v>96</v>
      </c>
      <c r="B18" s="37" t="s">
        <v>53</v>
      </c>
      <c r="C18" s="32" t="s">
        <v>39</v>
      </c>
      <c r="D18" s="43">
        <v>46007</v>
      </c>
      <c r="E18" s="35" t="s">
        <v>40</v>
      </c>
      <c r="F18" s="160">
        <v>45982</v>
      </c>
      <c r="G18" s="42" t="s">
        <v>97</v>
      </c>
      <c r="H18" s="203" t="s">
        <v>98</v>
      </c>
      <c r="I18" s="11"/>
      <c r="J18" s="197"/>
      <c r="K18" s="15" cm="1">
        <f t="array" ref="K18">IF(OR($B18="",$F18=""),"",WORKDAY.INTL(IF(ISNUMBER($F18),$F18,FECHA.VALOR($F18)),IF(UPPER(TRIM($B18))="AUXILIAR DE COCINA",10,15),1,FESTIVOS!$A$3:$A$1000))</f>
        <v>45996</v>
      </c>
      <c r="L18" s="77">
        <f t="shared" si="0"/>
        <v>45992</v>
      </c>
      <c r="M18" s="10" t="str">
        <f t="shared" si="1"/>
        <v>FUERA DE TIEMPO</v>
      </c>
      <c r="O18" s="76" t="s">
        <v>51</v>
      </c>
      <c r="P18" s="76"/>
      <c r="Q18">
        <v>53</v>
      </c>
      <c r="R18">
        <v>10</v>
      </c>
      <c r="S18">
        <v>14</v>
      </c>
      <c r="T18">
        <v>2</v>
      </c>
      <c r="U18">
        <v>79</v>
      </c>
    </row>
    <row r="19" spans="1:21" customFormat="1" ht="15">
      <c r="A19" s="175" t="s">
        <v>81</v>
      </c>
      <c r="B19" s="37" t="s">
        <v>38</v>
      </c>
      <c r="C19" s="32" t="s">
        <v>39</v>
      </c>
      <c r="D19" s="220">
        <v>45987</v>
      </c>
      <c r="E19" s="35" t="s">
        <v>40</v>
      </c>
      <c r="F19" s="160">
        <v>45985</v>
      </c>
      <c r="G19" s="39"/>
      <c r="H19" s="203" t="s">
        <v>82</v>
      </c>
      <c r="I19" s="11"/>
      <c r="J19" s="197"/>
      <c r="K19" s="15" cm="1">
        <f t="array" ref="K19">IF(OR($B19="",$F19=""),"",WORKDAY.INTL(IF(ISNUMBER($F19),$F19,FECHA.VALOR($F19)),IF(UPPER(TRIM($B19))="AUXILIAR DE COCINA",10,15),1,FESTIVOS!$A$3:$A$1000))</f>
        <v>46007</v>
      </c>
      <c r="L19" s="77">
        <f t="shared" si="0"/>
        <v>45992</v>
      </c>
      <c r="M19" s="10" t="str">
        <f t="shared" si="1"/>
        <v>A TIEMPO</v>
      </c>
      <c r="O19" s="76"/>
    </row>
    <row r="20" spans="1:21" customFormat="1" ht="15">
      <c r="A20" s="26" t="s">
        <v>99</v>
      </c>
      <c r="B20" s="16" t="s">
        <v>38</v>
      </c>
      <c r="C20" s="1" t="s">
        <v>39</v>
      </c>
      <c r="D20" s="182">
        <v>46007</v>
      </c>
      <c r="E20" s="17" t="s">
        <v>40</v>
      </c>
      <c r="F20" s="41">
        <v>45985</v>
      </c>
      <c r="G20" s="186" t="s">
        <v>68</v>
      </c>
      <c r="H20" s="205" t="s">
        <v>100</v>
      </c>
      <c r="I20" s="11"/>
      <c r="J20" s="197"/>
      <c r="K20" s="15" cm="1">
        <f t="array" ref="K20">IF(OR($B20="",$F20=""),"",WORKDAY.INTL(IF(ISNUMBER($F20),$F20,FECHA.VALOR($F20)),IF(UPPER(TRIM($B20))="AUXILIAR DE COCINA",10,15),1,FESTIVOS!$A$3:$A$1000))</f>
        <v>46007</v>
      </c>
      <c r="L20" s="77">
        <f t="shared" si="0"/>
        <v>45992</v>
      </c>
      <c r="M20" s="25" t="str">
        <f t="shared" si="1"/>
        <v>A TIEMPO</v>
      </c>
      <c r="O20" s="76"/>
    </row>
    <row r="21" spans="1:21" customFormat="1" ht="15">
      <c r="A21" s="26" t="s">
        <v>101</v>
      </c>
      <c r="B21" s="16" t="s">
        <v>38</v>
      </c>
      <c r="C21" s="1" t="s">
        <v>39</v>
      </c>
      <c r="D21" s="182">
        <v>46007</v>
      </c>
      <c r="E21" s="17" t="s">
        <v>40</v>
      </c>
      <c r="F21" s="222">
        <v>45986</v>
      </c>
      <c r="G21" s="188" t="s">
        <v>102</v>
      </c>
      <c r="H21" s="202" t="s">
        <v>103</v>
      </c>
      <c r="I21" s="11"/>
      <c r="J21" s="197"/>
      <c r="K21" s="15" cm="1">
        <f t="array" ref="K21">IF(OR($B21="",$F21=""),"",WORKDAY.INTL(IF(ISNUMBER($F21),$F21,FECHA.VALOR($F21)),IF(UPPER(TRIM($B21))="AUXILIAR DE COCINA",10,15),1,FESTIVOS!$A$3:$A$1000))</f>
        <v>46008</v>
      </c>
      <c r="L21" s="77">
        <f t="shared" si="0"/>
        <v>45992</v>
      </c>
      <c r="M21" s="25" t="str">
        <f t="shared" si="1"/>
        <v>A TIEMPO</v>
      </c>
      <c r="O21" s="76"/>
    </row>
    <row r="22" spans="1:21" customFormat="1" ht="15">
      <c r="A22" s="68" t="s">
        <v>104</v>
      </c>
      <c r="B22" s="1" t="s">
        <v>38</v>
      </c>
      <c r="C22" s="1" t="s">
        <v>39</v>
      </c>
      <c r="D22" s="182">
        <v>46007</v>
      </c>
      <c r="E22" s="165" t="s">
        <v>40</v>
      </c>
      <c r="F22" s="184">
        <v>45986</v>
      </c>
      <c r="G22" s="188" t="s">
        <v>91</v>
      </c>
      <c r="H22" s="206" t="s">
        <v>105</v>
      </c>
      <c r="I22" s="11"/>
      <c r="J22" s="197"/>
      <c r="K22" s="15" cm="1">
        <f t="array" ref="K22">IF(OR($B22="",$F22=""),"",WORKDAY.INTL(IF(ISNUMBER($F22),$F22,FECHA.VALOR($F22)),IF(UPPER(TRIM($B22))="AUXILIAR DE COCINA",10,15),1,FESTIVOS!$A$3:$A$1000))</f>
        <v>46008</v>
      </c>
      <c r="L22" s="77">
        <f t="shared" si="0"/>
        <v>45992</v>
      </c>
      <c r="M22" s="25" t="str">
        <f t="shared" si="1"/>
        <v>A TIEMPO</v>
      </c>
      <c r="O22" s="76"/>
    </row>
    <row r="23" spans="1:21" customFormat="1" ht="15">
      <c r="A23" s="68" t="s">
        <v>106</v>
      </c>
      <c r="B23" s="16" t="s">
        <v>38</v>
      </c>
      <c r="C23" s="19" t="s">
        <v>39</v>
      </c>
      <c r="D23" s="162">
        <v>46041</v>
      </c>
      <c r="E23" s="17" t="s">
        <v>40</v>
      </c>
      <c r="F23" s="18">
        <v>45986</v>
      </c>
      <c r="G23" s="188" t="s">
        <v>88</v>
      </c>
      <c r="H23" s="225" t="s">
        <v>107</v>
      </c>
      <c r="I23" s="11"/>
      <c r="J23" s="197"/>
      <c r="K23" s="15" cm="1">
        <f t="array" ref="K23">IF(OR($B23="",$F23=""),"",WORKDAY.INTL(IF(ISNUMBER($F23),$F23,FECHA.VALOR($F23)),IF(UPPER(TRIM($B23))="AUXILIAR DE COCINA",10,15),1,FESTIVOS!$A$3:$A$1000))</f>
        <v>46008</v>
      </c>
      <c r="L23" s="77">
        <f t="shared" si="0"/>
        <v>45992</v>
      </c>
      <c r="M23" s="25" t="str">
        <f t="shared" si="1"/>
        <v>FUERA DE TIEMPO</v>
      </c>
      <c r="O23" s="76"/>
    </row>
    <row r="24" spans="1:21" customFormat="1" ht="15">
      <c r="A24" s="38" t="s">
        <v>108</v>
      </c>
      <c r="B24" s="218" t="s">
        <v>53</v>
      </c>
      <c r="C24" s="32" t="s">
        <v>39</v>
      </c>
      <c r="D24" s="43">
        <v>46008</v>
      </c>
      <c r="E24" s="35" t="s">
        <v>40</v>
      </c>
      <c r="F24" s="155">
        <v>45993</v>
      </c>
      <c r="G24" s="42" t="s">
        <v>68</v>
      </c>
      <c r="H24" s="204" t="s">
        <v>109</v>
      </c>
      <c r="I24" s="11"/>
      <c r="J24" s="197"/>
      <c r="K24" s="15" cm="1">
        <f t="array" ref="K24">IF(OR($B24="",$F24=""),"",WORKDAY.INTL(IF(ISNUMBER($F24),$F24,FECHA.VALOR($F24)),IF(UPPER(TRIM($B24))="AUXILIAR DE COCINA",10,15),1,FESTIVOS!$A$3:$A$1000))</f>
        <v>46008</v>
      </c>
      <c r="L24" s="77">
        <f t="shared" si="0"/>
        <v>45992</v>
      </c>
      <c r="M24" s="25" t="str">
        <f t="shared" si="1"/>
        <v>A TIEMPO</v>
      </c>
      <c r="O24" s="76"/>
    </row>
    <row r="25" spans="1:21" customFormat="1" ht="15">
      <c r="A25" s="26" t="s">
        <v>110</v>
      </c>
      <c r="B25" s="1" t="s">
        <v>53</v>
      </c>
      <c r="C25" s="1" t="s">
        <v>39</v>
      </c>
      <c r="D25" s="168">
        <v>46007</v>
      </c>
      <c r="E25" s="17" t="s">
        <v>40</v>
      </c>
      <c r="F25" s="41">
        <v>45994</v>
      </c>
      <c r="G25" s="40" t="s">
        <v>111</v>
      </c>
      <c r="H25" s="207" t="s">
        <v>112</v>
      </c>
      <c r="I25" s="11"/>
      <c r="J25" s="197"/>
      <c r="K25" s="15" cm="1">
        <f t="array" ref="K25">IF(OR($B25="",$F25=""),"",WORKDAY.INTL(IF(ISNUMBER($F25),$F25,FECHA.VALOR($F25)),IF(UPPER(TRIM($B25))="AUXILIAR DE COCINA",10,15),1,FESTIVOS!$A$3:$A$1000))</f>
        <v>46009</v>
      </c>
      <c r="L25" s="77">
        <f t="shared" si="0"/>
        <v>45992</v>
      </c>
      <c r="M25" s="25" t="str">
        <f t="shared" si="1"/>
        <v>A TIEMPO</v>
      </c>
      <c r="O25" s="76"/>
    </row>
    <row r="26" spans="1:21" customFormat="1" ht="15">
      <c r="A26" s="171" t="s">
        <v>113</v>
      </c>
      <c r="B26" s="1" t="s">
        <v>53</v>
      </c>
      <c r="C26" s="1" t="s">
        <v>39</v>
      </c>
      <c r="D26" s="168">
        <v>46008</v>
      </c>
      <c r="E26" s="17" t="s">
        <v>40</v>
      </c>
      <c r="F26" s="41">
        <v>45994</v>
      </c>
      <c r="G26" s="40" t="s">
        <v>114</v>
      </c>
      <c r="H26" s="207" t="s">
        <v>115</v>
      </c>
      <c r="I26" s="11"/>
      <c r="J26" s="197"/>
      <c r="K26" s="15" cm="1">
        <f t="array" ref="K26">IF(OR($B26="",$F26=""),"",WORKDAY.INTL(IF(ISNUMBER($F26),$F26,FECHA.VALOR($F26)),IF(UPPER(TRIM($B26))="AUXILIAR DE COCINA",10,15),1,FESTIVOS!$A$3:$A$1000))</f>
        <v>46009</v>
      </c>
      <c r="L26" s="77">
        <f t="shared" si="0"/>
        <v>45992</v>
      </c>
      <c r="M26" s="10" t="str">
        <f t="shared" si="1"/>
        <v>A TIEMPO</v>
      </c>
      <c r="O26" s="76"/>
    </row>
    <row r="27" spans="1:21" customFormat="1" ht="15">
      <c r="A27" s="12" t="s">
        <v>116</v>
      </c>
      <c r="B27" s="1" t="s">
        <v>53</v>
      </c>
      <c r="C27" s="1" t="s">
        <v>39</v>
      </c>
      <c r="D27" s="168">
        <v>46008</v>
      </c>
      <c r="E27" s="17" t="s">
        <v>40</v>
      </c>
      <c r="F27" s="41">
        <v>45994</v>
      </c>
      <c r="G27" s="40" t="s">
        <v>117</v>
      </c>
      <c r="H27" s="207" t="s">
        <v>118</v>
      </c>
      <c r="I27" s="11">
        <v>0</v>
      </c>
      <c r="J27" s="197"/>
      <c r="K27" s="15" cm="1">
        <f t="array" ref="K27">IF(OR($B27="",$F27=""),"",WORKDAY.INTL(IF(ISNUMBER($F27),$F27,FECHA.VALOR($F27)),IF(UPPER(TRIM($B27))="AUXILIAR DE COCINA",10,15),1,FESTIVOS!$A$3:$A$1000))</f>
        <v>46009</v>
      </c>
      <c r="L27" s="77">
        <f t="shared" si="0"/>
        <v>45992</v>
      </c>
      <c r="M27" s="10" t="str">
        <f t="shared" si="1"/>
        <v>A TIEMPO</v>
      </c>
      <c r="O27" s="76"/>
    </row>
    <row r="28" spans="1:21" customFormat="1" ht="15">
      <c r="A28" s="217" t="s">
        <v>119</v>
      </c>
      <c r="B28" s="148" t="s">
        <v>53</v>
      </c>
      <c r="C28" s="148" t="s">
        <v>39</v>
      </c>
      <c r="D28" s="169">
        <v>46008</v>
      </c>
      <c r="E28" s="17" t="s">
        <v>40</v>
      </c>
      <c r="F28" s="41">
        <v>45994</v>
      </c>
      <c r="G28" s="40" t="s">
        <v>111</v>
      </c>
      <c r="H28" s="207" t="s">
        <v>120</v>
      </c>
      <c r="I28" s="11"/>
      <c r="J28" s="197"/>
      <c r="K28" s="15" cm="1">
        <f t="array" ref="K28">IF(OR($B28="",$F28=""),"",WORKDAY.INTL(IF(ISNUMBER($F28),$F28,FECHA.VALOR($F28)),IF(UPPER(TRIM($B28))="AUXILIAR DE COCINA",10,15),1,FESTIVOS!$A$3:$A$1000))</f>
        <v>46009</v>
      </c>
      <c r="L28" s="77">
        <f t="shared" si="0"/>
        <v>45992</v>
      </c>
      <c r="M28" s="10" t="str">
        <f t="shared" si="1"/>
        <v>A TIEMPO</v>
      </c>
      <c r="O28" s="76"/>
    </row>
    <row r="29" spans="1:21" customFormat="1" ht="15">
      <c r="A29" s="178" t="s">
        <v>121</v>
      </c>
      <c r="B29" s="1" t="s">
        <v>53</v>
      </c>
      <c r="C29" s="180" t="s">
        <v>39</v>
      </c>
      <c r="D29" s="168">
        <v>46010</v>
      </c>
      <c r="E29" s="17" t="s">
        <v>40</v>
      </c>
      <c r="F29" s="154">
        <v>45994</v>
      </c>
      <c r="G29" s="9" t="s">
        <v>122</v>
      </c>
      <c r="H29" s="201" t="s">
        <v>123</v>
      </c>
      <c r="I29" s="11"/>
      <c r="J29" s="197"/>
      <c r="K29" s="15">
        <v>46015</v>
      </c>
      <c r="L29" s="77">
        <f t="shared" si="0"/>
        <v>45992</v>
      </c>
      <c r="M29" s="10" t="str">
        <f t="shared" si="1"/>
        <v>A TIEMPO</v>
      </c>
      <c r="O29" s="76"/>
    </row>
    <row r="30" spans="1:21" customFormat="1" ht="15">
      <c r="A30" s="178" t="s">
        <v>124</v>
      </c>
      <c r="B30" s="1" t="s">
        <v>53</v>
      </c>
      <c r="C30" s="180" t="s">
        <v>39</v>
      </c>
      <c r="D30" s="168">
        <v>46010</v>
      </c>
      <c r="E30" s="17" t="s">
        <v>40</v>
      </c>
      <c r="F30" s="154">
        <v>45994</v>
      </c>
      <c r="G30" s="40" t="s">
        <v>79</v>
      </c>
      <c r="H30" s="208" t="s">
        <v>125</v>
      </c>
      <c r="I30" s="11"/>
      <c r="J30" s="197"/>
      <c r="K30" s="15">
        <v>46015</v>
      </c>
      <c r="L30" s="77">
        <f t="shared" si="0"/>
        <v>45992</v>
      </c>
      <c r="M30" s="10" t="str">
        <f t="shared" si="1"/>
        <v>A TIEMPO</v>
      </c>
      <c r="O30" s="76"/>
    </row>
    <row r="31" spans="1:21" customFormat="1" ht="15">
      <c r="A31" s="146" t="s">
        <v>126</v>
      </c>
      <c r="B31" s="1" t="s">
        <v>53</v>
      </c>
      <c r="C31" s="148" t="s">
        <v>39</v>
      </c>
      <c r="D31" s="168">
        <v>46010</v>
      </c>
      <c r="E31" s="152" t="s">
        <v>40</v>
      </c>
      <c r="F31" s="154">
        <v>45994</v>
      </c>
      <c r="G31" s="158" t="s">
        <v>79</v>
      </c>
      <c r="H31" s="84" t="s">
        <v>127</v>
      </c>
      <c r="I31" s="11"/>
      <c r="J31" s="197"/>
      <c r="K31" s="15">
        <v>46015</v>
      </c>
      <c r="L31" s="77">
        <f t="shared" si="0"/>
        <v>45992</v>
      </c>
      <c r="M31" s="10" t="str">
        <f t="shared" si="1"/>
        <v>A TIEMPO</v>
      </c>
      <c r="O31" s="76"/>
    </row>
    <row r="32" spans="1:21" customFormat="1" ht="15">
      <c r="A32" s="159" t="s">
        <v>128</v>
      </c>
      <c r="B32" s="1" t="s">
        <v>38</v>
      </c>
      <c r="C32" s="219" t="s">
        <v>39</v>
      </c>
      <c r="D32" s="162">
        <v>46024</v>
      </c>
      <c r="E32" s="165" t="s">
        <v>40</v>
      </c>
      <c r="F32" s="154">
        <v>45995</v>
      </c>
      <c r="G32" s="223" t="s">
        <v>129</v>
      </c>
      <c r="H32" s="226" t="s">
        <v>130</v>
      </c>
      <c r="I32" s="11"/>
      <c r="J32" s="197"/>
      <c r="K32" s="15" cm="1">
        <f t="array" ref="K32">IF(OR($B32="",$F32=""),"",WORKDAY.INTL(IF(ISNUMBER($F32),$F32,FECHA.VALOR($F32)),IF(UPPER(TRIM($B32))="AUXILIAR DE COCINA",10,15),1,FESTIVOS!$A$3:$A$1000))</f>
        <v>46020</v>
      </c>
      <c r="L32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32" s="25" t="str">
        <f t="shared" si="1"/>
        <v>FUERA DE TIEMPO</v>
      </c>
      <c r="O32" s="76"/>
    </row>
    <row r="33" spans="1:15" customFormat="1" ht="15">
      <c r="A33" s="174" t="s">
        <v>131</v>
      </c>
      <c r="B33" s="16" t="s">
        <v>53</v>
      </c>
      <c r="C33" s="148" t="s">
        <v>39</v>
      </c>
      <c r="D33" s="169">
        <v>46010</v>
      </c>
      <c r="E33" s="17" t="s">
        <v>40</v>
      </c>
      <c r="F33" s="154">
        <v>45996</v>
      </c>
      <c r="G33" s="161" t="s">
        <v>132</v>
      </c>
      <c r="H33" s="209" t="s">
        <v>133</v>
      </c>
      <c r="I33" s="11"/>
      <c r="J33" s="197"/>
      <c r="K33" s="15" cm="1">
        <f t="array" ref="K33">IF(OR($B33="",$F33=""),"",WORKDAY.INTL(IF(ISNUMBER($F33),$F33,FECHA.VALOR($F33)),IF(UPPER(TRIM($B33))="AUXILIAR DE COCINA",10,15),1,FESTIVOS!$A$3:$A$1000))</f>
        <v>46013</v>
      </c>
      <c r="L33" s="77">
        <f t="shared" ref="L33:L39" si="2">IF($F34="","",DATE(
    YEAR(EDATE($F34,IF(DAY($F34)&gt;=IF(UPPER(TRIM($B34))="AUXILIAR DE COCINA",17,11),1,0))),
    MONTH(EDATE($F34,IF(DAY($F34)&gt;=IF(UPPER(TRIM($B34))="AUXILIAR DE COCINA",17,11),1,0))),
    1
))</f>
        <v>45992</v>
      </c>
      <c r="M33" s="10" t="str">
        <f t="shared" si="1"/>
        <v>A TIEMPO</v>
      </c>
      <c r="O33" s="76"/>
    </row>
    <row r="34" spans="1:15" customFormat="1" ht="15">
      <c r="A34" s="146" t="s">
        <v>134</v>
      </c>
      <c r="B34" s="16" t="s">
        <v>53</v>
      </c>
      <c r="C34" s="148" t="s">
        <v>39</v>
      </c>
      <c r="D34" s="168">
        <v>46010</v>
      </c>
      <c r="E34" s="17" t="s">
        <v>40</v>
      </c>
      <c r="F34" s="154">
        <v>45996</v>
      </c>
      <c r="G34" s="9" t="s">
        <v>111</v>
      </c>
      <c r="H34" s="209" t="s">
        <v>135</v>
      </c>
      <c r="I34" s="11"/>
      <c r="J34" s="197"/>
      <c r="K34" s="15" cm="1">
        <f t="array" ref="K34">IF(OR($B34="",$F34=""),"",WORKDAY.INTL(IF(ISNUMBER($F34),$F34,FECHA.VALOR($F34)),IF(UPPER(TRIM($B34))="AUXILIAR DE COCINA",10,15),1,FESTIVOS!$A$3:$A$1000))</f>
        <v>46013</v>
      </c>
      <c r="L34" s="77">
        <f t="shared" si="2"/>
        <v>45992</v>
      </c>
      <c r="M34" s="10" t="str">
        <f t="shared" ref="M34:M59" si="3">IF($K34="","",IF(OR($D34="",$D34&lt;$F34),"PENDIENTE",IF($D34&lt;=$K34,"A TIEMPO","FUERA DE TIEMPO")))</f>
        <v>A TIEMPO</v>
      </c>
      <c r="O34" s="76"/>
    </row>
    <row r="35" spans="1:15" customFormat="1" ht="15">
      <c r="A35" s="12" t="s">
        <v>136</v>
      </c>
      <c r="B35" s="16" t="s">
        <v>53</v>
      </c>
      <c r="C35" s="148" t="s">
        <v>39</v>
      </c>
      <c r="D35" s="169">
        <v>46010</v>
      </c>
      <c r="E35" s="17" t="s">
        <v>40</v>
      </c>
      <c r="F35" s="154">
        <v>45996</v>
      </c>
      <c r="G35" s="9" t="s">
        <v>88</v>
      </c>
      <c r="H35" s="201" t="s">
        <v>137</v>
      </c>
      <c r="I35" s="11"/>
      <c r="J35" s="197"/>
      <c r="K35" s="15" cm="1">
        <f t="array" ref="K35">IF(OR($B35="",$F35=""),"",WORKDAY.INTL(IF(ISNUMBER($F35),$F35,FECHA.VALOR($F35)),IF(UPPER(TRIM($B35))="AUXILIAR DE COCINA",10,15),1,FESTIVOS!$A$3:$A$1000))</f>
        <v>46013</v>
      </c>
      <c r="L35" s="77">
        <f t="shared" si="2"/>
        <v>45992</v>
      </c>
      <c r="M35" s="10" t="str">
        <f t="shared" si="3"/>
        <v>A TIEMPO</v>
      </c>
      <c r="O35" s="76"/>
    </row>
    <row r="36" spans="1:15" customFormat="1" ht="15">
      <c r="A36" s="12" t="s">
        <v>138</v>
      </c>
      <c r="B36" s="16" t="s">
        <v>53</v>
      </c>
      <c r="C36" s="180" t="s">
        <v>39</v>
      </c>
      <c r="D36" s="169">
        <v>46010</v>
      </c>
      <c r="E36" s="17" t="s">
        <v>40</v>
      </c>
      <c r="F36" s="154">
        <v>45999</v>
      </c>
      <c r="G36" s="40" t="s">
        <v>132</v>
      </c>
      <c r="H36" s="208" t="s">
        <v>139</v>
      </c>
      <c r="I36" s="11"/>
      <c r="J36" s="197"/>
      <c r="K36" s="15" cm="1">
        <f t="array" ref="K36">IF(OR($B36="",$F36=""),"",WORKDAY.INTL(IF(ISNUMBER($F36),$F36,FECHA.VALOR($F36)),IF(UPPER(TRIM($B36))="AUXILIAR DE COCINA",10,15),1,FESTIVOS!$A$3:$A$1000))</f>
        <v>46013</v>
      </c>
      <c r="L36" s="77">
        <f t="shared" si="2"/>
        <v>45992</v>
      </c>
      <c r="M36" s="10" t="str">
        <f t="shared" si="3"/>
        <v>A TIEMPO</v>
      </c>
      <c r="O36" s="76"/>
    </row>
    <row r="37" spans="1:15" customFormat="1" ht="15">
      <c r="A37" s="12" t="s">
        <v>140</v>
      </c>
      <c r="B37" s="16" t="s">
        <v>53</v>
      </c>
      <c r="C37" s="148" t="s">
        <v>39</v>
      </c>
      <c r="D37" s="150">
        <v>46031</v>
      </c>
      <c r="E37" s="17" t="s">
        <v>40</v>
      </c>
      <c r="F37" s="154">
        <v>46003</v>
      </c>
      <c r="G37" s="193"/>
      <c r="H37" s="208" t="s">
        <v>141</v>
      </c>
      <c r="I37" s="11"/>
      <c r="J37" s="197"/>
      <c r="K37" s="15" cm="1">
        <f t="array" ref="K37">IF(OR($B37="",$F37=""),"",WORKDAY.INTL(IF(ISNUMBER($F37),$F37,FECHA.VALOR($F37)),IF(UPPER(TRIM($B37))="AUXILIAR DE COCINA",10,15),1,FESTIVOS!$A$3:$A$1000))</f>
        <v>46020</v>
      </c>
      <c r="L37" s="77">
        <f t="shared" si="2"/>
        <v>45992</v>
      </c>
      <c r="M37" s="10" t="str">
        <f t="shared" si="3"/>
        <v>FUERA DE TIEMPO</v>
      </c>
      <c r="O37" s="76"/>
    </row>
    <row r="38" spans="1:15" ht="15">
      <c r="A38" s="172" t="s">
        <v>142</v>
      </c>
      <c r="B38" s="149" t="s">
        <v>53</v>
      </c>
      <c r="C38" s="148" t="s">
        <v>39</v>
      </c>
      <c r="D38" s="150">
        <v>46029</v>
      </c>
      <c r="E38" s="17" t="s">
        <v>40</v>
      </c>
      <c r="F38" s="156">
        <v>46003</v>
      </c>
      <c r="G38" s="158"/>
      <c r="H38" s="84" t="s">
        <v>143</v>
      </c>
      <c r="I38" s="11"/>
      <c r="J38" s="197"/>
      <c r="K38" s="15" cm="1">
        <f t="array" ref="K38">IF(OR($B38="",$F38=""),"",WORKDAY.INTL(IF(ISNUMBER($F38),$F38,FECHA.VALOR($F38)),IF(UPPER(TRIM($B38))="AUXILIAR DE COCINA",10,15),1,FESTIVOS!$A$3:$A$1000))</f>
        <v>46020</v>
      </c>
      <c r="L38" s="77">
        <f t="shared" si="2"/>
        <v>45992</v>
      </c>
      <c r="M38" s="25" t="str">
        <f t="shared" si="3"/>
        <v>FUERA DE TIEMPO</v>
      </c>
    </row>
    <row r="39" spans="1:15" ht="15">
      <c r="A39" s="26" t="s">
        <v>144</v>
      </c>
      <c r="B39" s="149" t="s">
        <v>53</v>
      </c>
      <c r="C39" s="148" t="s">
        <v>39</v>
      </c>
      <c r="D39" s="14">
        <v>46031</v>
      </c>
      <c r="E39" s="17" t="s">
        <v>40</v>
      </c>
      <c r="F39" s="41">
        <v>46003</v>
      </c>
      <c r="G39" s="161"/>
      <c r="H39" s="210" t="s">
        <v>145</v>
      </c>
      <c r="I39" s="11"/>
      <c r="J39" s="197"/>
      <c r="K39" s="15" cm="1">
        <f t="array" ref="K39">IF(OR($B39="",$F39=""),"",WORKDAY.INTL(IF(ISNUMBER($F39),$F39,FECHA.VALOR($F39)),IF(UPPER(TRIM($B39))="AUXILIAR DE COCINA",10,15),1,FESTIVOS!$A$3:$A$1000))</f>
        <v>46020</v>
      </c>
      <c r="L39" s="77">
        <f t="shared" si="2"/>
        <v>45992</v>
      </c>
      <c r="M39" s="25" t="str">
        <f t="shared" si="3"/>
        <v>FUERA DE TIEMPO</v>
      </c>
    </row>
    <row r="40" spans="1:15" ht="15">
      <c r="A40" s="147" t="s">
        <v>146</v>
      </c>
      <c r="B40" s="149" t="s">
        <v>53</v>
      </c>
      <c r="C40" s="1" t="s">
        <v>39</v>
      </c>
      <c r="D40" s="14">
        <v>46031</v>
      </c>
      <c r="E40" s="17" t="s">
        <v>40</v>
      </c>
      <c r="F40" s="41">
        <v>46003</v>
      </c>
      <c r="G40" s="161"/>
      <c r="H40" s="210" t="s">
        <v>147</v>
      </c>
      <c r="I40" s="11"/>
      <c r="J40" s="197"/>
      <c r="K40" s="15" cm="1">
        <f t="array" ref="K40">IF(OR($B40="",$F40=""),"",WORKDAY.INTL(IF(ISNUMBER($F40),$F40,FECHA.VALOR($F40)),IF(UPPER(TRIM($B40))="AUXILIAR DE COCINA",10,15),1,FESTIVOS!$A$3:$A$1000))</f>
        <v>46020</v>
      </c>
      <c r="L40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40" s="25" t="str">
        <f t="shared" si="3"/>
        <v>FUERA DE TIEMPO</v>
      </c>
    </row>
    <row r="41" spans="1:15" ht="15">
      <c r="A41" s="171" t="s">
        <v>148</v>
      </c>
      <c r="B41" s="149" t="s">
        <v>53</v>
      </c>
      <c r="C41" s="1" t="s">
        <v>39</v>
      </c>
      <c r="D41" s="166">
        <v>46024</v>
      </c>
      <c r="E41" s="17" t="s">
        <v>40</v>
      </c>
      <c r="F41" s="154">
        <v>46009</v>
      </c>
      <c r="G41" s="161" t="s">
        <v>149</v>
      </c>
      <c r="H41" s="210" t="s">
        <v>150</v>
      </c>
      <c r="I41" s="11"/>
      <c r="J41" s="197"/>
      <c r="K41" s="15" cm="1">
        <f t="array" ref="K41">IF(OR($B41="",$F41=""),"",WORKDAY.INTL(IF(ISNUMBER($F41),$F41,FECHA.VALOR($F41)),IF(UPPER(TRIM($B41))="AUXILIAR DE COCINA",10,15),1,FESTIVOS!$A$3:$A$1000))</f>
        <v>46027</v>
      </c>
      <c r="L41" s="77">
        <f>IF($F42="","",DATE(
    YEAR(EDATE($F42,IF(DAY($F42)&gt;=IF(UPPER(TRIM($B42))="AUXILIAR DE COCINA",17,11),1,0))),
    MONTH(EDATE($F42,IF(DAY($F42)&gt;=IF(UPPER(TRIM($B42))="AUXILIAR DE COCINA",17,11),1,0))),
    1
))</f>
        <v>46023</v>
      </c>
      <c r="M41" s="25" t="str">
        <f t="shared" si="3"/>
        <v>A TIEMPO</v>
      </c>
    </row>
    <row r="42" spans="1:15" ht="15">
      <c r="A42" s="26" t="s">
        <v>151</v>
      </c>
      <c r="B42" s="149" t="s">
        <v>38</v>
      </c>
      <c r="C42" s="1" t="s">
        <v>39</v>
      </c>
      <c r="D42" s="162">
        <v>46030</v>
      </c>
      <c r="E42" s="17" t="s">
        <v>40</v>
      </c>
      <c r="F42" s="154">
        <v>46009</v>
      </c>
      <c r="G42" s="163"/>
      <c r="H42" s="19" t="s">
        <v>152</v>
      </c>
      <c r="I42" s="11"/>
      <c r="J42" s="197"/>
      <c r="K42" s="15" cm="1">
        <f t="array" ref="K42">IF(OR($B42="",$F42=""),"",WORKDAY.INTL(IF(ISNUMBER($F42),$F42,FECHA.VALOR($F42)),IF(UPPER(TRIM($B42))="AUXILIAR DE COCINA",10,15),1,FESTIVOS!$A$3:$A$1000))</f>
        <v>46035</v>
      </c>
      <c r="L42" s="77">
        <f>IF($F43="","",DATE(
    YEAR(EDATE($F43,IF(DAY($F43)&gt;=IF(UPPER(TRIM($B43))="AUXILIAR DE COCINA",17,11),1,0))),
    MONTH(EDATE($F43,IF(DAY($F43)&gt;=IF(UPPER(TRIM($B43))="AUXILIAR DE COCINA",17,11),1,0))),
    1
))</f>
        <v>46023</v>
      </c>
      <c r="M42" s="25" t="str">
        <f t="shared" si="3"/>
        <v>A TIEMPO</v>
      </c>
    </row>
    <row r="43" spans="1:15" ht="15">
      <c r="A43" s="26" t="s">
        <v>153</v>
      </c>
      <c r="B43" s="149" t="s">
        <v>38</v>
      </c>
      <c r="C43" s="1" t="s">
        <v>39</v>
      </c>
      <c r="D43" s="162">
        <v>46030</v>
      </c>
      <c r="E43" s="17" t="s">
        <v>40</v>
      </c>
      <c r="F43" s="154">
        <v>46009</v>
      </c>
      <c r="G43" s="163"/>
      <c r="H43" s="19" t="s">
        <v>154</v>
      </c>
      <c r="I43" s="11"/>
      <c r="J43" s="197"/>
      <c r="K43" s="15" cm="1">
        <f t="array" ref="K43">IF(OR($B43="",$F43=""),"",WORKDAY.INTL(IF(ISNUMBER($F43),$F43,FECHA.VALOR($F43)),IF(UPPER(TRIM($B43))="AUXILIAR DE COCINA",10,15),1,FESTIVOS!$A$3:$A$1000))</f>
        <v>46035</v>
      </c>
      <c r="L43" s="77">
        <f>IF($F44="","",DATE(
    YEAR(EDATE($F44,IF(DAY($F44)&gt;=IF(UPPER(TRIM($B44))="AUXILIAR DE COCINA",17,11),1,0))),
    MONTH(EDATE($F44,IF(DAY($F44)&gt;=IF(UPPER(TRIM($B44))="AUXILIAR DE COCINA",17,11),1,0))),
    1
))</f>
        <v>46023</v>
      </c>
      <c r="M43" s="25" t="str">
        <f t="shared" si="3"/>
        <v>A TIEMPO</v>
      </c>
    </row>
    <row r="44" spans="1:15" ht="15">
      <c r="A44" s="26" t="s">
        <v>155</v>
      </c>
      <c r="B44" s="149" t="s">
        <v>38</v>
      </c>
      <c r="C44" s="1" t="s">
        <v>39</v>
      </c>
      <c r="D44" s="162">
        <v>46030</v>
      </c>
      <c r="E44" s="17" t="s">
        <v>40</v>
      </c>
      <c r="F44" s="154">
        <v>46010</v>
      </c>
      <c r="G44" s="163"/>
      <c r="H44" s="19" t="s">
        <v>156</v>
      </c>
      <c r="I44" s="11"/>
      <c r="J44" s="197"/>
      <c r="K44" s="15" cm="1">
        <f t="array" ref="K44">IF(OR($B44="",$F44=""),"",WORKDAY.INTL(IF(ISNUMBER($F44),$F44,FECHA.VALOR($F44)),IF(UPPER(TRIM($B44))="AUXILIAR DE COCINA",10,15),1,FESTIVOS!$A$3:$A$1000))</f>
        <v>46036</v>
      </c>
      <c r="L44" s="77">
        <f>IF($F45="","",DATE(
    YEAR(EDATE($F45,IF(DAY($F45)&gt;=IF(UPPER(TRIM($B45))="AUXILIAR DE COCINA",17,11),1,0))),
    MONTH(EDATE($F45,IF(DAY($F45)&gt;=IF(UPPER(TRIM($B45))="AUXILIAR DE COCINA",17,11),1,0))),
    1
))</f>
        <v>46023</v>
      </c>
      <c r="M44" s="25" t="str">
        <f t="shared" si="3"/>
        <v>A TIEMPO</v>
      </c>
    </row>
    <row r="45" spans="1:15" ht="15">
      <c r="A45" s="26" t="s">
        <v>157</v>
      </c>
      <c r="B45" s="149" t="s">
        <v>53</v>
      </c>
      <c r="C45" s="1" t="s">
        <v>39</v>
      </c>
      <c r="D45" s="167">
        <v>46029</v>
      </c>
      <c r="E45" s="17" t="s">
        <v>40</v>
      </c>
      <c r="F45" s="154">
        <v>46013</v>
      </c>
      <c r="G45" s="161" t="s">
        <v>91</v>
      </c>
      <c r="H45" s="210" t="s">
        <v>158</v>
      </c>
      <c r="I45" s="11"/>
      <c r="J45" s="197"/>
      <c r="K45" s="15" cm="1">
        <f t="array" ref="K45">IF(OR($B45="",$F45=""),"",WORKDAY.INTL(IF(ISNUMBER($F45),$F45,FECHA.VALOR($F45)),IF(UPPER(TRIM($B45))="AUXILIAR DE COCINA",10,15),1,FESTIVOS!$A$3:$A$1000))</f>
        <v>46029</v>
      </c>
      <c r="L45" s="77">
        <f>IF($F46="","",DATE(
    YEAR(EDATE($F46,IF(DAY($F46)&gt;=IF(UPPER(TRIM($B46))="AUXILIAR DE COCINA",17,11),1,0))),
    MONTH(EDATE($F46,IF(DAY($F46)&gt;=IF(UPPER(TRIM($B46))="AUXILIAR DE COCINA",17,11),1,0))),
    1
))</f>
        <v>46023</v>
      </c>
      <c r="M45" s="25" t="str">
        <f t="shared" si="3"/>
        <v>A TIEMPO</v>
      </c>
    </row>
    <row r="46" spans="1:15" ht="15">
      <c r="A46" s="26" t="s">
        <v>159</v>
      </c>
      <c r="B46" s="1" t="s">
        <v>53</v>
      </c>
      <c r="C46" s="1" t="s">
        <v>39</v>
      </c>
      <c r="D46" s="167">
        <v>46029</v>
      </c>
      <c r="E46" s="17" t="s">
        <v>40</v>
      </c>
      <c r="F46" s="154">
        <v>46013</v>
      </c>
      <c r="G46" s="9" t="s">
        <v>160</v>
      </c>
      <c r="H46" s="211" t="s">
        <v>161</v>
      </c>
      <c r="I46" s="11"/>
      <c r="J46" s="197"/>
      <c r="K46" s="15" cm="1">
        <f t="array" ref="K46">IF(OR($B46="",$F46=""),"",WORKDAY.INTL(IF(ISNUMBER($F46),$F46,FECHA.VALOR($F46)),IF(UPPER(TRIM($B46))="AUXILIAR DE COCINA",10,15),1,FESTIVOS!$A$3:$A$1000))</f>
        <v>46029</v>
      </c>
      <c r="L46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46" s="25" t="str">
        <f t="shared" si="3"/>
        <v>A TIEMPO</v>
      </c>
    </row>
    <row r="47" spans="1:15" ht="15">
      <c r="A47" s="26" t="s">
        <v>162</v>
      </c>
      <c r="B47" s="1" t="s">
        <v>53</v>
      </c>
      <c r="C47" s="1" t="s">
        <v>39</v>
      </c>
      <c r="D47" s="167">
        <v>46029</v>
      </c>
      <c r="E47" s="17" t="s">
        <v>40</v>
      </c>
      <c r="F47" s="154">
        <v>46014</v>
      </c>
      <c r="G47" s="164" t="s">
        <v>163</v>
      </c>
      <c r="H47" s="211" t="s">
        <v>164</v>
      </c>
      <c r="I47" s="11"/>
      <c r="J47" s="197"/>
      <c r="K47" s="15" cm="1">
        <f t="array" ref="K47">IF(OR($B47="",$F47=""),"",WORKDAY.INTL(IF(ISNUMBER($F47),$F47,FECHA.VALOR($F47)),IF(UPPER(TRIM($B47))="AUXILIAR DE COCINA",10,15),1,FESTIVOS!$A$3:$A$1000))</f>
        <v>46030</v>
      </c>
      <c r="L47" s="77">
        <f>IF($F48="","",DATE(
    YEAR(EDATE($F48,IF(DAY($F48)&gt;=IF(UPPER(TRIM($B48))="AUXILIAR DE COCINA",17,11),1,0))),
    MONTH(EDATE($F48,IF(DAY($F48)&gt;=IF(UPPER(TRIM($B48))="AUXILIAR DE COCINA",17,11),1,0))),
    1
))</f>
        <v>46023</v>
      </c>
      <c r="M47" s="25" t="str">
        <f t="shared" si="3"/>
        <v>A TIEMPO</v>
      </c>
    </row>
    <row r="48" spans="1:15" ht="15">
      <c r="A48" s="26" t="s">
        <v>165</v>
      </c>
      <c r="B48" s="1" t="s">
        <v>53</v>
      </c>
      <c r="C48" s="1" t="s">
        <v>39</v>
      </c>
      <c r="D48" s="162">
        <v>46031</v>
      </c>
      <c r="E48" s="17" t="s">
        <v>40</v>
      </c>
      <c r="F48" s="154">
        <v>46017</v>
      </c>
      <c r="G48" s="185"/>
      <c r="H48" s="212" t="s">
        <v>166</v>
      </c>
      <c r="I48" s="11"/>
      <c r="J48" s="197"/>
      <c r="K48" s="15" cm="1">
        <f t="array" ref="K48">IF(OR($B48="",$F48=""),"",WORKDAY.INTL(IF(ISNUMBER($F48),$F48,FECHA.VALOR($F48)),IF(UPPER(TRIM($B48))="AUXILIAR DE COCINA",10,15),1,FESTIVOS!$A$3:$A$1000))</f>
        <v>46035</v>
      </c>
      <c r="L48" s="77">
        <f>IF($F49="","",DATE(
    YEAR(EDATE($F49,IF(DAY($F49)&gt;=IF(UPPER(TRIM($B49))="AUXILIAR DE COCINA",17,11),1,0))),
    MONTH(EDATE($F49,IF(DAY($F49)&gt;=IF(UPPER(TRIM($B49))="AUXILIAR DE COCINA",17,11),1,0))),
    1
))</f>
        <v>46023</v>
      </c>
      <c r="M48" s="25" t="str">
        <f t="shared" si="3"/>
        <v>A TIEMPO</v>
      </c>
    </row>
    <row r="49" spans="1:13" ht="15">
      <c r="A49" s="26" t="s">
        <v>167</v>
      </c>
      <c r="B49" s="1" t="s">
        <v>53</v>
      </c>
      <c r="C49" s="1" t="s">
        <v>39</v>
      </c>
      <c r="D49" s="167">
        <v>46038</v>
      </c>
      <c r="E49" s="17" t="s">
        <v>40</v>
      </c>
      <c r="F49" s="154">
        <v>46028</v>
      </c>
      <c r="G49" s="187" t="s">
        <v>168</v>
      </c>
      <c r="H49" s="212" t="s">
        <v>169</v>
      </c>
      <c r="I49" s="26" t="s">
        <v>170</v>
      </c>
      <c r="J49" s="1" t="s">
        <v>171</v>
      </c>
      <c r="K49" s="15" cm="1">
        <f t="array" ref="K49">IF(OR($B49="",$F49=""),"",WORKDAY.INTL(IF(ISNUMBER($F49),$F49,FECHA.VALOR($F49)),IF(UPPER(TRIM($B49))="AUXILIAR DE COCINA",10,15),1,FESTIVOS!$A$3:$A$1000))</f>
        <v>46043</v>
      </c>
      <c r="L49" s="77">
        <f>IF($F50="","",DATE(
    YEAR(EDATE($F50,IF(DAY($F50)&gt;=IF(UPPER(TRIM($B50))="AUXILIAR DE COCINA",17,11),1,0))),
    MONTH(EDATE($F50,IF(DAY($F50)&gt;=IF(UPPER(TRIM($B50))="AUXILIAR DE COCINA",17,11),1,0))),
    1
))</f>
        <v>46023</v>
      </c>
      <c r="M49" s="25" t="str">
        <f t="shared" si="3"/>
        <v>A TIEMPO</v>
      </c>
    </row>
    <row r="50" spans="1:13" ht="15">
      <c r="A50" s="26" t="s">
        <v>172</v>
      </c>
      <c r="B50" s="1" t="s">
        <v>53</v>
      </c>
      <c r="C50" s="1" t="s">
        <v>39</v>
      </c>
      <c r="D50" s="167">
        <v>46038</v>
      </c>
      <c r="E50" s="17" t="s">
        <v>40</v>
      </c>
      <c r="F50" s="154">
        <v>46028</v>
      </c>
      <c r="G50" s="224" t="s">
        <v>54</v>
      </c>
      <c r="H50" s="213" t="s">
        <v>173</v>
      </c>
      <c r="I50" s="26" t="s">
        <v>174</v>
      </c>
      <c r="J50" s="1" t="s">
        <v>171</v>
      </c>
      <c r="K50" s="15" cm="1">
        <f t="array" ref="K50">IF(OR($B50="",$F50=""),"",WORKDAY.INTL(IF(ISNUMBER($F50),$F50,FECHA.VALOR($F50)),IF(UPPER(TRIM($B50))="AUXILIAR DE COCINA",10,15),1,FESTIVOS!$A$3:$A$1000))</f>
        <v>46043</v>
      </c>
      <c r="L50" s="77">
        <f>IF($F51="","",DATE(
    YEAR(EDATE($F51,IF(DAY($F51)&gt;=IF(UPPER(TRIM($B51))="AUXILIAR DE COCINA",17,11),1,0))),
    MONTH(EDATE($F51,IF(DAY($F51)&gt;=IF(UPPER(TRIM($B51))="AUXILIAR DE COCINA",17,11),1,0))),
    1
))</f>
        <v>46023</v>
      </c>
      <c r="M50" s="25" t="str">
        <f t="shared" si="3"/>
        <v>A TIEMPO</v>
      </c>
    </row>
    <row r="51" spans="1:13" ht="15">
      <c r="A51" s="26" t="s">
        <v>175</v>
      </c>
      <c r="B51" s="148" t="s">
        <v>53</v>
      </c>
      <c r="C51" s="1" t="s">
        <v>39</v>
      </c>
      <c r="D51" s="167">
        <v>46038</v>
      </c>
      <c r="E51" s="17" t="s">
        <v>40</v>
      </c>
      <c r="F51" s="154">
        <v>46028</v>
      </c>
      <c r="G51" s="1" t="s">
        <v>111</v>
      </c>
      <c r="H51" s="19" t="s">
        <v>176</v>
      </c>
      <c r="I51" s="26" t="s">
        <v>177</v>
      </c>
      <c r="J51" s="1" t="s">
        <v>171</v>
      </c>
      <c r="K51" s="15" cm="1">
        <f t="array" ref="K51">IF(OR($B51="",$F51=""),"",WORKDAY.INTL(IF(ISNUMBER($F51),$F51,FECHA.VALOR($F51)),IF(UPPER(TRIM($B51))="AUXILIAR DE COCINA",10,15),1,FESTIVOS!$A$3:$A$1000))</f>
        <v>46043</v>
      </c>
      <c r="L51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51" s="25" t="str">
        <f t="shared" si="3"/>
        <v>A TIEMPO</v>
      </c>
    </row>
    <row r="52" spans="1:13" ht="15">
      <c r="A52" s="26" t="s">
        <v>178</v>
      </c>
      <c r="B52" s="148" t="s">
        <v>53</v>
      </c>
      <c r="C52" s="1" t="s">
        <v>39</v>
      </c>
      <c r="D52" s="167">
        <v>46038</v>
      </c>
      <c r="E52" s="17" t="s">
        <v>40</v>
      </c>
      <c r="F52" s="154">
        <v>46029</v>
      </c>
      <c r="G52" s="1" t="s">
        <v>149</v>
      </c>
      <c r="H52" s="1" t="s">
        <v>179</v>
      </c>
      <c r="I52" s="26" t="s">
        <v>180</v>
      </c>
      <c r="J52" s="1" t="s">
        <v>171</v>
      </c>
      <c r="K52" s="27" cm="1">
        <f t="array" ref="K52">IF(OR($B52="",$F52=""),"",WORKDAY.INTL(IF(ISNUMBER($F52),$F52,FECHA.VALOR($F52)),IF(UPPER(TRIM($B52))="AUXILIAR DE COCINA",10,15),1,FESTIVOS!$A$3:$A$1000))</f>
        <v>46044</v>
      </c>
      <c r="L52" s="77">
        <f>IF($F53="","",DATE(
    YEAR(EDATE($F53,IF(DAY($F53)&gt;=IF(UPPER(TRIM($B53))="AUXILIAR DE COCINA",17,11),1,0))),
    MONTH(EDATE($F53,IF(DAY($F53)&gt;=IF(UPPER(TRIM($B53))="AUXILIAR DE COCINA",17,11),1,0))),
    1
))</f>
        <v>46023</v>
      </c>
      <c r="M52" s="25" t="str">
        <f t="shared" si="3"/>
        <v>A TIEMPO</v>
      </c>
    </row>
    <row r="53" spans="1:13" ht="15">
      <c r="A53" s="26" t="s">
        <v>181</v>
      </c>
      <c r="B53" s="148" t="s">
        <v>53</v>
      </c>
      <c r="C53" s="1" t="s">
        <v>39</v>
      </c>
      <c r="D53" s="167">
        <v>46038</v>
      </c>
      <c r="E53" s="17" t="s">
        <v>40</v>
      </c>
      <c r="F53" s="154">
        <v>46029</v>
      </c>
      <c r="G53" s="1" t="s">
        <v>54</v>
      </c>
      <c r="H53" s="1" t="s">
        <v>182</v>
      </c>
      <c r="I53" s="26" t="s">
        <v>180</v>
      </c>
      <c r="J53" s="1" t="s">
        <v>171</v>
      </c>
      <c r="K53" s="27" cm="1">
        <f t="array" ref="K53">IF(OR($B53="",$F53=""),"",WORKDAY.INTL(IF(ISNUMBER($F53),$F53,FECHA.VALOR($F53)),IF(UPPER(TRIM($B53))="AUXILIAR DE COCINA",10,15),1,FESTIVOS!$A$3:$A$1000))</f>
        <v>46044</v>
      </c>
      <c r="L53" s="77">
        <f>IF($F54="","",DATE(
    YEAR(EDATE($F54,IF(DAY($F54)&gt;=IF(UPPER(TRIM($B54))="AUXILIAR DE COCINA",17,11),1,0))),
    MONTH(EDATE($F54,IF(DAY($F54)&gt;=IF(UPPER(TRIM($B54))="AUXILIAR DE COCINA",17,11),1,0))),
    1
))</f>
        <v>46023</v>
      </c>
      <c r="M53" s="25" t="str">
        <f t="shared" si="3"/>
        <v>A TIEMPO</v>
      </c>
    </row>
    <row r="54" spans="1:13" ht="15">
      <c r="A54" s="26" t="s">
        <v>183</v>
      </c>
      <c r="B54" s="148" t="s">
        <v>53</v>
      </c>
      <c r="C54" s="1" t="s">
        <v>39</v>
      </c>
      <c r="D54" s="167">
        <v>46043</v>
      </c>
      <c r="E54" s="17" t="s">
        <v>40</v>
      </c>
      <c r="F54" s="154">
        <v>46029</v>
      </c>
      <c r="G54" s="1" t="s">
        <v>184</v>
      </c>
      <c r="H54" s="1" t="s">
        <v>185</v>
      </c>
      <c r="I54" s="26" t="s">
        <v>170</v>
      </c>
      <c r="J54" s="1" t="s">
        <v>171</v>
      </c>
      <c r="K54" s="27" cm="1">
        <f t="array" ref="K54">IF(OR($B54="",$F54=""),"",WORKDAY.INTL(IF(ISNUMBER($F54),$F54,FECHA.VALOR($F54)),IF(UPPER(TRIM($B54))="AUXILIAR DE COCINA",10,15),1,FESTIVOS!$A$3:$A$1000))</f>
        <v>46044</v>
      </c>
      <c r="L54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54" s="25" t="str">
        <f t="shared" si="3"/>
        <v>A TIEMPO</v>
      </c>
    </row>
    <row r="55" spans="1:13" ht="15">
      <c r="A55" s="26" t="s">
        <v>186</v>
      </c>
      <c r="B55" s="148" t="s">
        <v>53</v>
      </c>
      <c r="C55" s="1" t="s">
        <v>39</v>
      </c>
      <c r="D55" s="167">
        <v>46042</v>
      </c>
      <c r="E55" s="17" t="s">
        <v>40</v>
      </c>
      <c r="F55" s="189">
        <v>46031</v>
      </c>
      <c r="G55" s="1" t="s">
        <v>79</v>
      </c>
      <c r="H55" s="1" t="s">
        <v>187</v>
      </c>
      <c r="I55" s="227" t="s">
        <v>180</v>
      </c>
      <c r="J55" s="229" t="s">
        <v>171</v>
      </c>
      <c r="K55" s="27" cm="1">
        <f t="array" ref="K55">IF(OR($B55="",$F55=""),"",WORKDAY.INTL(IF(ISNUMBER($F55),$F55,FECHA.VALOR($F55)),IF(UPPER(TRIM($B55))="AUXILIAR DE COCINA",10,15),1,FESTIVOS!$A$3:$A$1000))</f>
        <v>46048</v>
      </c>
      <c r="L55" s="77">
        <f>IF($F56="","",DATE(
    YEAR(EDATE($F56,IF(DAY($F56)&gt;=IF(UPPER(TRIM($B56))="AUXILIAR DE COCINA",17,11),1,0))),
    MONTH(EDATE($F56,IF(DAY($F56)&gt;=IF(UPPER(TRIM($B56))="AUXILIAR DE COCINA",17,11),1,0))),
    1
))</f>
        <v>46023</v>
      </c>
      <c r="M55" s="25" t="str">
        <f t="shared" si="3"/>
        <v>A TIEMPO</v>
      </c>
    </row>
    <row r="56" spans="1:13" ht="15">
      <c r="A56" s="26" t="s">
        <v>188</v>
      </c>
      <c r="B56" s="148" t="s">
        <v>53</v>
      </c>
      <c r="C56" s="1" t="s">
        <v>39</v>
      </c>
      <c r="D56" s="167">
        <v>46043</v>
      </c>
      <c r="E56" s="17" t="s">
        <v>40</v>
      </c>
      <c r="F56" s="189">
        <v>46031</v>
      </c>
      <c r="G56" s="1" t="s">
        <v>68</v>
      </c>
      <c r="H56" s="1" t="s">
        <v>189</v>
      </c>
      <c r="I56" s="191" t="s">
        <v>180</v>
      </c>
      <c r="J56" s="194" t="s">
        <v>171</v>
      </c>
      <c r="K56" s="27" cm="1">
        <f t="array" ref="K56">IF(OR($B56="",$F56=""),"",WORKDAY.INTL(IF(ISNUMBER($F56),$F56,FECHA.VALOR($F56)),IF(UPPER(TRIM($B56))="AUXILIAR DE COCINA",10,15),1,FESTIVOS!$A$3:$A$1000))</f>
        <v>46048</v>
      </c>
      <c r="L56" s="77">
        <f>IF($F57="","",DATE(
    YEAR(EDATE($F57,IF(DAY($F57)&gt;=IF(UPPER(TRIM($B57))="AUXILIAR DE COCINA",17,11),1,0))),
    MONTH(EDATE($F57,IF(DAY($F57)&gt;=IF(UPPER(TRIM($B57))="AUXILIAR DE COCINA",17,11),1,0))),
    1
))</f>
        <v>46023</v>
      </c>
      <c r="M56" s="25" t="str">
        <f t="shared" si="3"/>
        <v>A TIEMPO</v>
      </c>
    </row>
    <row r="57" spans="1:13" ht="15">
      <c r="A57" s="26" t="s">
        <v>190</v>
      </c>
      <c r="B57" s="148" t="s">
        <v>53</v>
      </c>
      <c r="C57" s="1" t="s">
        <v>39</v>
      </c>
      <c r="D57" s="167">
        <v>46042</v>
      </c>
      <c r="E57" s="17" t="s">
        <v>40</v>
      </c>
      <c r="F57" s="189">
        <v>46031</v>
      </c>
      <c r="G57" s="1" t="s">
        <v>191</v>
      </c>
      <c r="H57" s="1" t="s">
        <v>192</v>
      </c>
      <c r="I57" s="190" t="s">
        <v>180</v>
      </c>
      <c r="J57" s="195" t="s">
        <v>171</v>
      </c>
      <c r="K57" s="27" cm="1">
        <f t="array" ref="K57">IF(OR($B57="",$F57=""),"",WORKDAY.INTL(IF(ISNUMBER($F57),$F57,FECHA.VALOR($F57)),IF(UPPER(TRIM($B57))="AUXILIAR DE COCINA",10,15),1,FESTIVOS!$A$3:$A$1000))</f>
        <v>46048</v>
      </c>
      <c r="L57" s="77">
        <f>IF($F58="","",DATE(
    YEAR(EDATE($F58,IF(DAY($F58)&gt;=IF(UPPER(TRIM($B58))="AUXILIAR DE COCINA",17,11),1,0))),
    MONTH(EDATE($F58,IF(DAY($F58)&gt;=IF(UPPER(TRIM($B58))="AUXILIAR DE COCINA",17,11),1,0))),
    1
))</f>
        <v>46023</v>
      </c>
      <c r="M57" s="25" t="str">
        <f t="shared" si="3"/>
        <v>A TIEMPO</v>
      </c>
    </row>
    <row r="58" spans="1:13" ht="14.25" customHeight="1">
      <c r="A58" s="26" t="s">
        <v>193</v>
      </c>
      <c r="B58" s="148" t="s">
        <v>53</v>
      </c>
      <c r="C58" s="1" t="s">
        <v>39</v>
      </c>
      <c r="D58" s="167">
        <v>46045</v>
      </c>
      <c r="E58" s="17" t="s">
        <v>40</v>
      </c>
      <c r="F58" s="189">
        <v>46031</v>
      </c>
      <c r="G58" s="1" t="s">
        <v>41</v>
      </c>
      <c r="H58" s="1" t="s">
        <v>194</v>
      </c>
      <c r="I58" s="190" t="s">
        <v>180</v>
      </c>
      <c r="J58" s="195" t="s">
        <v>171</v>
      </c>
      <c r="K58" s="27" cm="1">
        <f t="array" ref="K58">IF(OR($B58="",$F58=""),"",WORKDAY.INTL(IF(ISNUMBER($F58),$F58,FECHA.VALOR($F58)),IF(UPPER(TRIM($B58))="AUXILIAR DE COCINA",10,15),1,FESTIVOS!$A$3:$A$1000))</f>
        <v>46048</v>
      </c>
      <c r="L58" s="77">
        <f t="shared" ref="L58:L73" si="4">IF($F59="","",DATE(
    YEAR(EDATE($F59,IF(DAY($F59)&gt;=IF(UPPER(TRIM($B59))="AUXILIAR DE COCINA",17,11),1,0))),
    MONTH(EDATE($F59,IF(DAY($F59)&gt;=IF(UPPER(TRIM($B59))="AUXILIAR DE COCINA",17,11),1,0))),
    1
))</f>
        <v>46054</v>
      </c>
      <c r="M58" s="25" t="str">
        <f t="shared" si="3"/>
        <v>A TIEMPO</v>
      </c>
    </row>
    <row r="59" spans="1:13" ht="15">
      <c r="A59" s="26" t="s">
        <v>195</v>
      </c>
      <c r="B59" s="148" t="s">
        <v>38</v>
      </c>
      <c r="C59" s="1" t="s">
        <v>39</v>
      </c>
      <c r="D59" s="151">
        <v>46051</v>
      </c>
      <c r="E59" s="17" t="s">
        <v>40</v>
      </c>
      <c r="F59" s="154">
        <v>46042</v>
      </c>
      <c r="G59" s="1"/>
      <c r="H59" s="172" t="s">
        <v>196</v>
      </c>
      <c r="I59" s="228"/>
      <c r="J59" s="230"/>
      <c r="K59" s="28" cm="1">
        <f t="array" ref="K59">IF(OR($B59="",$F59=""),"",WORKDAY.INTL(IF(ISNUMBER($F59),$F59,FECHA.VALOR($F59)),IF(UPPER(TRIM($B59))="AUXILIAR DE COCINA",10,15),1,FESTIVOS!$A$3:$A$1000))</f>
        <v>46063</v>
      </c>
      <c r="L59" s="77">
        <f t="shared" si="4"/>
        <v>46023</v>
      </c>
      <c r="M59" s="25" t="str">
        <f t="shared" si="3"/>
        <v>A TIEMPO</v>
      </c>
    </row>
    <row r="60" spans="1:13" ht="15">
      <c r="A60" s="26" t="s">
        <v>197</v>
      </c>
      <c r="B60" s="148" t="s">
        <v>53</v>
      </c>
      <c r="C60" s="1" t="s">
        <v>39</v>
      </c>
      <c r="D60" s="167">
        <v>46045</v>
      </c>
      <c r="E60" s="17" t="s">
        <v>40</v>
      </c>
      <c r="F60" s="189">
        <v>46031</v>
      </c>
      <c r="G60" s="1" t="s">
        <v>111</v>
      </c>
      <c r="H60" s="172" t="s">
        <v>198</v>
      </c>
      <c r="I60" s="190" t="s">
        <v>180</v>
      </c>
      <c r="J60" s="196" t="s">
        <v>171</v>
      </c>
      <c r="K60" s="28" cm="1">
        <f t="array" ref="K60">IF(OR($B60="",$F60=""),"",WORKDAY.INTL(IF(ISNUMBER($F60),$F60,FECHA.VALOR($F60)),IF(UPPER(TRIM($B60))="AUXILIAR DE COCINA",10,15),1,FESTIVOS!$A$3:$A$1000))</f>
        <v>46048</v>
      </c>
      <c r="L60" s="77">
        <f t="shared" si="4"/>
        <v>46023</v>
      </c>
      <c r="M60" s="25" t="str">
        <f t="shared" ref="M60:M73" si="5">IF($K60="","",IF(OR($D60="",$D60&lt;$F60),"PENDIENTE",IF($D60&lt;=$K60,"A TIEMPO","FUERA DE TIEMPO")))</f>
        <v>A TIEMPO</v>
      </c>
    </row>
    <row r="61" spans="1:13" ht="15">
      <c r="A61" s="26" t="s">
        <v>199</v>
      </c>
      <c r="B61" s="148" t="s">
        <v>53</v>
      </c>
      <c r="C61" s="1" t="s">
        <v>39</v>
      </c>
      <c r="D61" s="167">
        <v>46043</v>
      </c>
      <c r="E61" s="17" t="s">
        <v>40</v>
      </c>
      <c r="F61" s="234">
        <v>46031</v>
      </c>
      <c r="G61" s="224" t="s">
        <v>111</v>
      </c>
      <c r="H61" s="246" t="s">
        <v>200</v>
      </c>
      <c r="I61" s="190" t="s">
        <v>180</v>
      </c>
      <c r="J61" s="194" t="s">
        <v>171</v>
      </c>
      <c r="K61" s="28" cm="1">
        <f t="array" ref="K61">IF(OR($B61="",$F61=""),"",WORKDAY.INTL(IF(ISNUMBER($F61),$F61,FECHA.VALOR($F61)),IF(UPPER(TRIM($B61))="AUXILIAR DE COCINA",10,15),1,FESTIVOS!$A$3:$A$1000))</f>
        <v>46048</v>
      </c>
      <c r="L61" s="77">
        <f t="shared" si="4"/>
        <v>46023</v>
      </c>
      <c r="M61" s="25" t="str">
        <f t="shared" si="5"/>
        <v>A TIEMPO</v>
      </c>
    </row>
    <row r="62" spans="1:13" ht="15">
      <c r="A62" s="26" t="s">
        <v>201</v>
      </c>
      <c r="B62" s="148" t="s">
        <v>53</v>
      </c>
      <c r="C62" s="1" t="s">
        <v>39</v>
      </c>
      <c r="D62" s="151">
        <v>46050</v>
      </c>
      <c r="E62" s="17" t="s">
        <v>40</v>
      </c>
      <c r="F62" s="234">
        <v>46035</v>
      </c>
      <c r="G62" s="236" t="s">
        <v>45</v>
      </c>
      <c r="H62" s="247" t="s">
        <v>202</v>
      </c>
      <c r="I62" s="190" t="s">
        <v>180</v>
      </c>
      <c r="J62" s="195" t="s">
        <v>171</v>
      </c>
      <c r="K62" s="28" cm="1">
        <f t="array" ref="K62">IF(OR($B62="",$F62=""),"",WORKDAY.INTL(IF(ISNUMBER($F62),$F62,FECHA.VALOR($F62)),IF(UPPER(TRIM($B62))="AUXILIAR DE COCINA",10,15),1,FESTIVOS!$A$3:$A$1000))</f>
        <v>46049</v>
      </c>
      <c r="L62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62" s="25" t="str">
        <f t="shared" si="5"/>
        <v>FUERA DE TIEMPO</v>
      </c>
    </row>
    <row r="63" spans="1:13" ht="15">
      <c r="A63" s="159" t="s">
        <v>203</v>
      </c>
      <c r="B63" s="148" t="s">
        <v>53</v>
      </c>
      <c r="C63" s="1" t="s">
        <v>39</v>
      </c>
      <c r="D63" s="162">
        <v>46050</v>
      </c>
      <c r="E63" s="17" t="s">
        <v>40</v>
      </c>
      <c r="F63" s="233">
        <v>46044</v>
      </c>
      <c r="G63" s="163" t="s">
        <v>54</v>
      </c>
      <c r="H63" s="235" t="s">
        <v>204</v>
      </c>
      <c r="I63" s="190" t="s">
        <v>180</v>
      </c>
      <c r="J63" s="244" t="s">
        <v>171</v>
      </c>
      <c r="K63" s="28" cm="1">
        <f t="array" ref="K63">IF(OR($B63="",$F63=""),"",WORKDAY.INTL(IF(ISNUMBER($F63),$F63,FECHA.VALOR($F63)),IF(UPPER(TRIM($B63))="AUXILIAR DE COCINA",10,15),1,FESTIVOS!$A$3:$A$1000))</f>
        <v>46058</v>
      </c>
      <c r="L63" s="77">
        <f t="shared" si="4"/>
        <v>46054</v>
      </c>
      <c r="M63" s="25" t="str">
        <f t="shared" si="5"/>
        <v>A TIEMPO</v>
      </c>
    </row>
    <row r="64" spans="1:13" ht="15">
      <c r="A64" s="159" t="s">
        <v>205</v>
      </c>
      <c r="B64" s="148" t="s">
        <v>53</v>
      </c>
      <c r="C64" s="1" t="s">
        <v>39</v>
      </c>
      <c r="D64" s="162">
        <v>46050</v>
      </c>
      <c r="E64" s="152" t="s">
        <v>40</v>
      </c>
      <c r="F64" s="233">
        <v>46044</v>
      </c>
      <c r="G64" s="163" t="s">
        <v>88</v>
      </c>
      <c r="H64" s="235" t="s">
        <v>206</v>
      </c>
      <c r="I64" s="237" t="s">
        <v>180</v>
      </c>
      <c r="J64" s="245" t="s">
        <v>171</v>
      </c>
      <c r="K64" s="28" cm="1">
        <f t="array" ref="K64">IF(OR($B64="",$F64=""),"",WORKDAY.INTL(IF(ISNUMBER($F64),$F64,FECHA.VALOR($F64)),IF(UPPER(TRIM($B64))="AUXILIAR DE COCINA",10,15),1,FESTIVOS!$A$3:$A$1000))</f>
        <v>46058</v>
      </c>
      <c r="L64" s="77">
        <f t="shared" si="4"/>
        <v>46054</v>
      </c>
      <c r="M64" s="25" t="str">
        <f t="shared" si="5"/>
        <v>A TIEMPO</v>
      </c>
    </row>
    <row r="65" spans="1:13" ht="15">
      <c r="A65" s="26" t="s">
        <v>207</v>
      </c>
      <c r="B65" s="148" t="s">
        <v>53</v>
      </c>
      <c r="C65" s="1" t="s">
        <v>39</v>
      </c>
      <c r="D65" s="162">
        <v>46050</v>
      </c>
      <c r="E65" s="152" t="s">
        <v>40</v>
      </c>
      <c r="F65" s="232">
        <v>46048</v>
      </c>
      <c r="G65" s="163" t="s">
        <v>208</v>
      </c>
      <c r="H65" s="248" t="s">
        <v>209</v>
      </c>
      <c r="I65" s="191" t="s">
        <v>180</v>
      </c>
      <c r="J65" s="194" t="s">
        <v>171</v>
      </c>
      <c r="K65" s="27" cm="1">
        <f t="array" ref="K65">IF(OR($B65="",$F65=""),"",WORKDAY.INTL(IF(ISNUMBER($F65),$F65,FECHA.VALOR($F65)),IF(UPPER(TRIM($B65))="AUXILIAR DE COCINA",10,15),1,FESTIVOS!$A$3:$A$1000))</f>
        <v>46062</v>
      </c>
      <c r="L65" s="77">
        <f t="shared" si="4"/>
        <v>46054</v>
      </c>
      <c r="M65" s="25" t="str">
        <f t="shared" si="5"/>
        <v>A TIEMPO</v>
      </c>
    </row>
    <row r="66" spans="1:13" ht="15">
      <c r="A66" s="26" t="s">
        <v>210</v>
      </c>
      <c r="B66" s="148" t="s">
        <v>53</v>
      </c>
      <c r="C66" s="1" t="s">
        <v>39</v>
      </c>
      <c r="D66" s="162">
        <v>46052</v>
      </c>
      <c r="E66" s="152" t="s">
        <v>40</v>
      </c>
      <c r="F66" s="232">
        <v>46048</v>
      </c>
      <c r="G66" s="163" t="s">
        <v>211</v>
      </c>
      <c r="H66" s="248" t="s">
        <v>212</v>
      </c>
      <c r="I66" s="190" t="s">
        <v>180</v>
      </c>
      <c r="J66" s="195" t="s">
        <v>171</v>
      </c>
      <c r="K66" s="27" cm="1">
        <f t="array" ref="K66">IF(OR($B66="",$F66=""),"",WORKDAY.INTL(IF(ISNUMBER($F66),$F66,FECHA.VALOR($F66)),IF(UPPER(TRIM($B66))="AUXILIAR DE COCINA",10,15),1,FESTIVOS!$A$3:$A$1000))</f>
        <v>46062</v>
      </c>
      <c r="L66" s="77">
        <f t="shared" si="4"/>
        <v>46054</v>
      </c>
      <c r="M66" s="25" t="e">
        <f>IF($K66="","",IF(OR(#REF!="",#REF!&lt;$F66),"PENDIENTE",IF(#REF!&lt;=$K66,"A TIEMPO","FUERA DE TIEMPO")))</f>
        <v>#REF!</v>
      </c>
    </row>
    <row r="67" spans="1:13" ht="15">
      <c r="A67" s="26" t="s">
        <v>213</v>
      </c>
      <c r="B67" s="148" t="s">
        <v>53</v>
      </c>
      <c r="C67" s="1" t="s">
        <v>39</v>
      </c>
      <c r="D67" s="162">
        <v>46052</v>
      </c>
      <c r="E67" s="152" t="s">
        <v>40</v>
      </c>
      <c r="F67" s="232">
        <v>46048</v>
      </c>
      <c r="G67" s="163" t="s">
        <v>54</v>
      </c>
      <c r="H67" s="248" t="s">
        <v>204</v>
      </c>
      <c r="I67" s="190" t="s">
        <v>180</v>
      </c>
      <c r="J67" s="195" t="s">
        <v>171</v>
      </c>
      <c r="K67" s="27" cm="1">
        <f t="array" ref="K67">IF(OR($B67="",$F67=""),"",WORKDAY.INTL(IF(ISNUMBER($F67),$F67,FECHA.VALOR($F67)),IF(UPPER(TRIM($B67))="AUXILIAR DE COCINA",10,15),1,FESTIVOS!$A$3:$A$1000))</f>
        <v>46062</v>
      </c>
      <c r="L67" s="77">
        <f t="shared" si="4"/>
        <v>46054</v>
      </c>
      <c r="M67" s="25" t="str">
        <f>IF($K67="","",IF(OR($D66="",$D66&lt;$F67),"PENDIENTE",IF($D66&lt;=$K67,"A TIEMPO","FUERA DE TIEMPO")))</f>
        <v>A TIEMPO</v>
      </c>
    </row>
    <row r="68" spans="1:13" ht="15">
      <c r="A68" s="26" t="s">
        <v>214</v>
      </c>
      <c r="B68" s="148" t="s">
        <v>53</v>
      </c>
      <c r="C68" s="1" t="s">
        <v>39</v>
      </c>
      <c r="D68" s="162">
        <v>46052</v>
      </c>
      <c r="E68" s="152" t="s">
        <v>40</v>
      </c>
      <c r="F68" s="232">
        <v>46048</v>
      </c>
      <c r="G68" s="163" t="s">
        <v>79</v>
      </c>
      <c r="H68" s="248" t="s">
        <v>206</v>
      </c>
      <c r="I68" s="190" t="s">
        <v>180</v>
      </c>
      <c r="J68" s="195" t="s">
        <v>171</v>
      </c>
      <c r="K68" s="27" cm="1">
        <f t="array" ref="K68">IF(OR($B68="",$F68=""),"",WORKDAY.INTL(IF(ISNUMBER($F68),$F68,FECHA.VALOR($F68)),IF(UPPER(TRIM($B68))="AUXILIAR DE COCINA",10,15),1,FESTIVOS!$A$3:$A$1000))</f>
        <v>46062</v>
      </c>
      <c r="L68" s="77">
        <f t="shared" si="4"/>
        <v>46054</v>
      </c>
      <c r="M68" s="25" t="str">
        <f>IF($K68="","",IF(OR($D67="",$D67&lt;$F68),"PENDIENTE",IF($D67&lt;=$K68,"A TIEMPO","FUERA DE TIEMPO")))</f>
        <v>A TIEMPO</v>
      </c>
    </row>
    <row r="69" spans="1:13" ht="15">
      <c r="A69" s="26" t="s">
        <v>215</v>
      </c>
      <c r="B69" s="148" t="s">
        <v>53</v>
      </c>
      <c r="C69" s="1" t="s">
        <v>39</v>
      </c>
      <c r="D69" s="162">
        <v>46057</v>
      </c>
      <c r="E69" s="152" t="s">
        <v>40</v>
      </c>
      <c r="F69" s="232">
        <v>46048</v>
      </c>
      <c r="G69" s="163" t="s">
        <v>168</v>
      </c>
      <c r="H69" s="248" t="s">
        <v>216</v>
      </c>
      <c r="I69" s="190" t="s">
        <v>180</v>
      </c>
      <c r="J69" s="195" t="s">
        <v>171</v>
      </c>
      <c r="K69" s="27" cm="1">
        <f t="array" ref="K69">IF(OR($B69="",$F69=""),"",WORKDAY.INTL(IF(ISNUMBER($F69),$F69,FECHA.VALOR($F69)),IF(UPPER(TRIM($B69))="AUXILIAR DE COCINA",10,15),1,FESTIVOS!$A$3:$A$1000))</f>
        <v>46062</v>
      </c>
      <c r="L69" s="77">
        <f t="shared" si="4"/>
        <v>46054</v>
      </c>
      <c r="M69" s="25" t="str">
        <f>IF($K69="","",IF(OR($D68="",$D68&lt;$F69),"PENDIENTE",IF($D68&lt;=$K69,"A TIEMPO","FUERA DE TIEMPO")))</f>
        <v>A TIEMPO</v>
      </c>
    </row>
    <row r="70" spans="1:13" ht="15">
      <c r="A70" s="26" t="str">
        <f>UPPER("Samuel Acevedo Vasquez")</f>
        <v>SAMUEL ACEVEDO VASQUEZ</v>
      </c>
      <c r="B70" s="148" t="s">
        <v>53</v>
      </c>
      <c r="C70" s="1" t="s">
        <v>39</v>
      </c>
      <c r="D70" s="162">
        <v>46057</v>
      </c>
      <c r="E70" s="152" t="s">
        <v>40</v>
      </c>
      <c r="F70" s="232">
        <v>46048</v>
      </c>
      <c r="G70" s="163" t="s">
        <v>217</v>
      </c>
      <c r="H70" s="248" t="s">
        <v>218</v>
      </c>
      <c r="I70" s="190" t="s">
        <v>180</v>
      </c>
      <c r="J70" s="195" t="s">
        <v>171</v>
      </c>
      <c r="K70" s="27" cm="1">
        <f t="array" ref="K70">IF(OR($B70="",$F70=""),"",WORKDAY.INTL(IF(ISNUMBER($F70),$F70,FECHA.VALOR($F70)),IF(UPPER(TRIM($B70))="AUXILIAR DE COCINA",10,15),1,FESTIVOS!$A$3:$A$1000))</f>
        <v>46062</v>
      </c>
      <c r="L70" s="77">
        <f t="shared" si="4"/>
        <v>46054</v>
      </c>
      <c r="M70" s="25" t="str">
        <f t="shared" si="5"/>
        <v>A TIEMPO</v>
      </c>
    </row>
    <row r="71" spans="1:13" ht="15">
      <c r="A71" s="26" t="s">
        <v>219</v>
      </c>
      <c r="B71" s="148" t="s">
        <v>53</v>
      </c>
      <c r="C71" s="1" t="s">
        <v>39</v>
      </c>
      <c r="D71" s="162" t="s">
        <v>220</v>
      </c>
      <c r="E71" s="152" t="s">
        <v>40</v>
      </c>
      <c r="F71" s="232">
        <v>46048</v>
      </c>
      <c r="G71" s="163" t="s">
        <v>221</v>
      </c>
      <c r="H71" s="248" t="s">
        <v>222</v>
      </c>
      <c r="I71" s="190" t="s">
        <v>180</v>
      </c>
      <c r="J71" s="195" t="s">
        <v>171</v>
      </c>
      <c r="K71" s="27" cm="1">
        <f t="array" ref="K71">IF(OR($B71="",$F71=""),"",WORKDAY.INTL(IF(ISNUMBER($F71),$F71,FECHA.VALOR($F71)),IF(UPPER(TRIM($B71))="AUXILIAR DE COCINA",10,15),1,FESTIVOS!$A$3:$A$1000))</f>
        <v>46062</v>
      </c>
      <c r="L71" s="77">
        <f t="shared" si="4"/>
        <v>46054</v>
      </c>
      <c r="M71" s="25" t="str">
        <f t="shared" si="5"/>
        <v>FUERA DE TIEMPO</v>
      </c>
    </row>
    <row r="72" spans="1:13" ht="15">
      <c r="A72" s="26" t="s">
        <v>223</v>
      </c>
      <c r="B72" s="148" t="s">
        <v>53</v>
      </c>
      <c r="C72" s="1" t="s">
        <v>39</v>
      </c>
      <c r="D72" s="162">
        <v>46059</v>
      </c>
      <c r="E72" s="152" t="s">
        <v>40</v>
      </c>
      <c r="F72" s="232">
        <v>46048</v>
      </c>
      <c r="G72" s="163" t="s">
        <v>45</v>
      </c>
      <c r="H72" s="248" t="s">
        <v>202</v>
      </c>
      <c r="I72" s="190" t="s">
        <v>180</v>
      </c>
      <c r="J72" s="195" t="s">
        <v>171</v>
      </c>
      <c r="K72" s="27" cm="1">
        <f t="array" ref="K72">IF(OR($B72="",$F72=""),"",WORKDAY.INTL(IF(ISNUMBER($F72),$F72,FECHA.VALOR($F72)),IF(UPPER(TRIM($B72))="AUXILIAR DE COCINA",10,15),1,FESTIVOS!$A$3:$A$1000))</f>
        <v>46062</v>
      </c>
      <c r="L72" s="77">
        <f t="shared" si="4"/>
        <v>46054</v>
      </c>
      <c r="M72" s="25" t="str">
        <f t="shared" si="5"/>
        <v>A TIEMPO</v>
      </c>
    </row>
    <row r="73" spans="1:13" ht="15">
      <c r="A73" s="26" t="s">
        <v>224</v>
      </c>
      <c r="B73" s="148" t="s">
        <v>53</v>
      </c>
      <c r="C73" s="1" t="s">
        <v>39</v>
      </c>
      <c r="D73" s="162">
        <v>46059</v>
      </c>
      <c r="E73" s="152" t="s">
        <v>40</v>
      </c>
      <c r="F73" s="232">
        <v>46048</v>
      </c>
      <c r="G73" s="240" t="s">
        <v>225</v>
      </c>
      <c r="H73" s="172" t="s">
        <v>226</v>
      </c>
      <c r="I73" s="190" t="s">
        <v>180</v>
      </c>
      <c r="J73" s="196" t="s">
        <v>171</v>
      </c>
      <c r="K73" s="28" cm="1">
        <f t="array" ref="K73">IF(OR($B73="",$F73=""),"",WORKDAY.INTL(IF(ISNUMBER($F73),$F73,FECHA.VALOR($F73)),IF(UPPER(TRIM($B73))="AUXILIAR DE COCINA",10,15),1,FESTIVOS!$A$3:$A$1000))</f>
        <v>46062</v>
      </c>
      <c r="L73" s="77">
        <f t="shared" si="4"/>
        <v>46054</v>
      </c>
      <c r="M73" s="25" t="str">
        <f t="shared" si="5"/>
        <v>A TIEMPO</v>
      </c>
    </row>
    <row r="74" spans="1:13" ht="15">
      <c r="A74" s="26" t="s">
        <v>227</v>
      </c>
      <c r="B74" s="148" t="s">
        <v>53</v>
      </c>
      <c r="C74" s="1" t="s">
        <v>39</v>
      </c>
      <c r="D74" s="162">
        <v>46059</v>
      </c>
      <c r="E74" s="152" t="s">
        <v>40</v>
      </c>
      <c r="F74" s="232">
        <v>46057</v>
      </c>
      <c r="G74" s="163" t="s">
        <v>40</v>
      </c>
      <c r="H74" s="172" t="s">
        <v>228</v>
      </c>
      <c r="I74" s="190" t="s">
        <v>180</v>
      </c>
      <c r="J74" s="196" t="s">
        <v>171</v>
      </c>
      <c r="K74" s="27" cm="1">
        <f t="array" ref="K74">IF(OR($B74="",$F74=""),"",WORKDAY.INTL(IF(ISNUMBER($F74),$F74,FECHA.VALOR($F74)),IF(UPPER(TRIM($B74))="AUXILIAR DE COCINA",10,15),1,FESTIVOS!$A$3:$A$1000))</f>
        <v>46071</v>
      </c>
      <c r="L74" s="77">
        <f t="shared" ref="L74" si="6">IF($F75="","",DATE(
    YEAR(EDATE($F75,IF(DAY($F75)&gt;=IF(UPPER(TRIM($B75))="AUXILIAR DE COCINA",17,11),1,0))),
    MONTH(EDATE($F75,IF(DAY($F75)&gt;=IF(UPPER(TRIM($B75))="AUXILIAR DE COCINA",17,11),1,0))),
    1
))</f>
        <v>46054</v>
      </c>
      <c r="M74" s="25" t="str">
        <f t="shared" ref="M74:M75" si="7">IF($K74="","",IF(OR($D74="",$D74&lt;$F74),"PENDIENTE",IF($D74&lt;=$K74,"A TIEMPO","FUERA DE TIEMPO")))</f>
        <v>A TIEMPO</v>
      </c>
    </row>
    <row r="75" spans="1:13" ht="15">
      <c r="A75" s="26" t="s">
        <v>229</v>
      </c>
      <c r="B75" s="148" t="s">
        <v>53</v>
      </c>
      <c r="C75" s="1" t="s">
        <v>39</v>
      </c>
      <c r="D75" s="162">
        <v>46059</v>
      </c>
      <c r="E75" s="152" t="s">
        <v>40</v>
      </c>
      <c r="F75" s="232">
        <v>46057</v>
      </c>
      <c r="G75" s="163" t="s">
        <v>40</v>
      </c>
      <c r="H75" s="172" t="s">
        <v>230</v>
      </c>
      <c r="I75" s="190" t="s">
        <v>170</v>
      </c>
      <c r="J75" s="196" t="s">
        <v>171</v>
      </c>
      <c r="K75" s="27" cm="1">
        <f t="array" ref="K75">IF(OR($B75="",$F75=""),"",WORKDAY.INTL(IF(ISNUMBER($F75),$F75,FECHA.VALOR($F75)),IF(UPPER(TRIM($B75))="AUXILIAR DE COCINA",10,15),1,FESTIVOS!$A$3:$A$1000))</f>
        <v>46071</v>
      </c>
      <c r="L75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75" s="25" t="str">
        <f t="shared" si="7"/>
        <v>A TIEMPO</v>
      </c>
    </row>
    <row r="76" spans="1:13" ht="15">
      <c r="A76" s="26" t="s">
        <v>231</v>
      </c>
      <c r="B76" s="148" t="s">
        <v>53</v>
      </c>
      <c r="C76" s="1" t="s">
        <v>39</v>
      </c>
      <c r="D76" s="162">
        <v>46058</v>
      </c>
      <c r="E76" s="1" t="s">
        <v>40</v>
      </c>
      <c r="F76" s="232">
        <v>46057</v>
      </c>
      <c r="G76" s="163" t="s">
        <v>232</v>
      </c>
      <c r="H76" s="172" t="s">
        <v>233</v>
      </c>
      <c r="I76" s="190" t="s">
        <v>180</v>
      </c>
      <c r="J76" s="196" t="s">
        <v>171</v>
      </c>
      <c r="K76" s="27" cm="1">
        <f t="array" ref="K76">IF(OR($B76="",$F76=""),"",WORKDAY.INTL(IF(ISNUMBER($F76),$F76,FECHA.VALOR($F76)),IF(UPPER(TRIM($B76))="AUXILIAR DE COCINA",10,15),1,FESTIVOS!$A$3:$A$1000))</f>
        <v>46071</v>
      </c>
      <c r="L76" s="77" t="e">
        <f>IF($F204="","",DATE(
    YEAR(EDATE($F204,IF(DAY($F204)&gt;=IF(UPPER(TRIM(#REF!))="AUXILIAR DE COCINA",17,11),1,0))),
    MONTH(EDATE($F204,IF(DAY($F204)&gt;=IF(UPPER(TRIM(#REF!))="AUXILIAR DE COCINA",17,11),1,0))),
    1
))</f>
        <v>#REF!</v>
      </c>
      <c r="M76" s="25" t="str">
        <f t="shared" ref="M76:M93" si="8">IF($K76="","",IF(OR($D76="",$D76&lt;$F76),"PENDIENTE",IF($D76&lt;=$K76,"A TIEMPO","FUERA DE TIEMPO")))</f>
        <v>A TIEMPO</v>
      </c>
    </row>
    <row r="77" spans="1:13" ht="15">
      <c r="A77" s="26" t="s">
        <v>234</v>
      </c>
      <c r="B77" s="148" t="s">
        <v>53</v>
      </c>
      <c r="C77" s="1" t="s">
        <v>39</v>
      </c>
      <c r="D77" s="162">
        <v>46060</v>
      </c>
      <c r="E77" s="1" t="s">
        <v>40</v>
      </c>
      <c r="F77" s="232">
        <v>46057</v>
      </c>
      <c r="G77" s="163" t="s">
        <v>235</v>
      </c>
      <c r="H77" s="172" t="s">
        <v>228</v>
      </c>
      <c r="I77" s="190" t="s">
        <v>180</v>
      </c>
      <c r="J77" s="196" t="s">
        <v>171</v>
      </c>
      <c r="K77" s="27" cm="1">
        <f t="array" ref="K77">IF(OR($B77="",$F77=""),"",WORKDAY.INTL(IF(ISNUMBER($F77),$F77,FECHA.VALOR($F77)),IF(UPPER(TRIM($B77))="AUXILIAR DE COCINA",10,15),1,FESTIVOS!$A$3:$A$1000))</f>
        <v>46071</v>
      </c>
      <c r="L77" s="77">
        <f>IF($F78="","",DATE(
    YEAR(EDATE($F78,IF(DAY($F78)&gt;=IF(UPPER(TRIM($B78))="AUXILIAR DE COCINA",17,11),1,0))),
    MONTH(EDATE($F78,IF(DAY($F78)&gt;=IF(UPPER(TRIM($B78))="AUXILIAR DE COCINA",17,11),1,0))),
    1
))</f>
        <v>46054</v>
      </c>
      <c r="M77" s="25" t="str">
        <f t="shared" si="8"/>
        <v>A TIEMPO</v>
      </c>
    </row>
    <row r="78" spans="1:13" ht="15">
      <c r="A78" s="26" t="s">
        <v>236</v>
      </c>
      <c r="B78" s="148" t="s">
        <v>53</v>
      </c>
      <c r="C78" s="1" t="s">
        <v>39</v>
      </c>
      <c r="D78" s="162">
        <v>46064</v>
      </c>
      <c r="E78" s="1" t="s">
        <v>40</v>
      </c>
      <c r="F78" s="232">
        <v>46062</v>
      </c>
      <c r="G78" s="163" t="s">
        <v>235</v>
      </c>
      <c r="H78" s="172" t="s">
        <v>228</v>
      </c>
      <c r="I78" s="190" t="s">
        <v>180</v>
      </c>
      <c r="J78" s="196" t="s">
        <v>171</v>
      </c>
      <c r="K78" s="27" cm="1">
        <f t="array" ref="K78">IF(OR($B78="",$F78=""),"",WORKDAY.INTL(IF(ISNUMBER($F78),$F78,FECHA.VALOR($F78)),IF(UPPER(TRIM($B78))="AUXILIAR DE COCINA",10,15),1,FESTIVOS!$A$3:$A$1000))</f>
        <v>46076</v>
      </c>
      <c r="L78" s="77">
        <f>IF($F79="","",DATE(
    YEAR(EDATE($F79,IF(DAY($F79)&gt;=IF(UPPER(TRIM($B79))="AUXILIAR DE COCINA",17,11),1,0))),
    MONTH(EDATE($F79,IF(DAY($F79)&gt;=IF(UPPER(TRIM($B79))="AUXILIAR DE COCINA",17,11),1,0))),
    1
))</f>
        <v>46054</v>
      </c>
      <c r="M78" s="25" t="str">
        <f t="shared" si="8"/>
        <v>A TIEMPO</v>
      </c>
    </row>
    <row r="79" spans="1:13" ht="15">
      <c r="A79" s="26" t="s">
        <v>237</v>
      </c>
      <c r="B79" s="148" t="s">
        <v>53</v>
      </c>
      <c r="C79" s="1" t="s">
        <v>39</v>
      </c>
      <c r="D79" s="162">
        <v>46064</v>
      </c>
      <c r="E79" s="1" t="s">
        <v>40</v>
      </c>
      <c r="F79" s="232">
        <v>46062</v>
      </c>
      <c r="G79" s="163" t="s">
        <v>238</v>
      </c>
      <c r="H79" s="172" t="s">
        <v>230</v>
      </c>
      <c r="I79" s="190" t="s">
        <v>180</v>
      </c>
      <c r="J79" s="196" t="s">
        <v>171</v>
      </c>
      <c r="K79" s="27" cm="1">
        <f t="array" ref="K79">IF(OR($B79="",$F79=""),"",WORKDAY.INTL(IF(ISNUMBER($F79),$F79,FECHA.VALOR($F79)),IF(UPPER(TRIM($B79))="AUXILIAR DE COCINA",10,15),1,FESTIVOS!$A$3:$A$1000))</f>
        <v>46076</v>
      </c>
      <c r="L79" s="77" t="e">
        <f>IF($F204="","",DATE(
    YEAR(EDATE($F204,IF(DAY($F204)&gt;=IF(UPPER(TRIM(#REF!))="AUXILIAR DE COCINA",17,11),1,0))),
    MONTH(EDATE($F204,IF(DAY($F204)&gt;=IF(UPPER(TRIM(#REF!))="AUXILIAR DE COCINA",17,11),1,0))),
    1
))</f>
        <v>#REF!</v>
      </c>
      <c r="M79" s="25" t="str">
        <f t="shared" si="8"/>
        <v>A TIEMPO</v>
      </c>
    </row>
    <row r="80" spans="1:13" ht="15">
      <c r="A80" s="26" t="s">
        <v>239</v>
      </c>
      <c r="B80" s="148" t="s">
        <v>53</v>
      </c>
      <c r="C80" s="1" t="s">
        <v>39</v>
      </c>
      <c r="D80" s="162">
        <v>46070</v>
      </c>
      <c r="E80" s="1" t="s">
        <v>240</v>
      </c>
      <c r="F80" s="232">
        <v>46062</v>
      </c>
      <c r="G80" s="163" t="s">
        <v>241</v>
      </c>
      <c r="H80" s="172" t="s">
        <v>242</v>
      </c>
      <c r="I80" s="190" t="s">
        <v>180</v>
      </c>
      <c r="J80" s="196" t="s">
        <v>171</v>
      </c>
      <c r="K80" s="27" cm="1">
        <f t="array" ref="K80">IF(OR($B80="",$F80=""),"",WORKDAY.INTL(IF(ISNUMBER($F80),$F80,FECHA.VALOR($F80)),IF(UPPER(TRIM($B80))="AUXILIAR DE COCINA",10,15),1,FESTIVOS!$A$3:$A$1000))</f>
        <v>46076</v>
      </c>
      <c r="L80" s="77">
        <f>IF($F81="","",DATE(
    YEAR(EDATE($F81,IF(DAY($F81)&gt;=IF(UPPER(TRIM($B81))="AUXILIAR DE COCINA",17,11),1,0))),
    MONTH(EDATE($F81,IF(DAY($F81)&gt;=IF(UPPER(TRIM($B81))="AUXILIAR DE COCINA",17,11),1,0))),
    1
))</f>
        <v>46054</v>
      </c>
      <c r="M80" s="25" t="str">
        <f t="shared" si="8"/>
        <v>A TIEMPO</v>
      </c>
    </row>
    <row r="81" spans="1:13" ht="15">
      <c r="A81" s="26" t="s">
        <v>243</v>
      </c>
      <c r="B81" s="148" t="s">
        <v>53</v>
      </c>
      <c r="C81" s="1" t="s">
        <v>39</v>
      </c>
      <c r="D81" s="162">
        <v>46064</v>
      </c>
      <c r="E81" s="1" t="s">
        <v>240</v>
      </c>
      <c r="F81" s="232">
        <v>46062</v>
      </c>
      <c r="G81" s="163" t="s">
        <v>244</v>
      </c>
      <c r="H81" s="172" t="s">
        <v>188</v>
      </c>
      <c r="I81" s="190" t="s">
        <v>180</v>
      </c>
      <c r="J81" s="196" t="s">
        <v>171</v>
      </c>
      <c r="K81" s="27" cm="1">
        <f t="array" ref="K81">IF(OR($B81="",$F81=""),"",WORKDAY.INTL(IF(ISNUMBER($F81),$F81,FECHA.VALOR($F81)),IF(UPPER(TRIM($B81))="AUXILIAR DE COCINA",10,15),1,FESTIVOS!$A$3:$A$1000))</f>
        <v>46076</v>
      </c>
      <c r="L81" s="77">
        <f>IF($F82="","",DATE(
    YEAR(EDATE($F82,IF(DAY($F82)&gt;=IF(UPPER(TRIM($B82))="AUXILIAR DE COCINA",17,11),1,0))),
    MONTH(EDATE($F82,IF(DAY($F82)&gt;=IF(UPPER(TRIM($B82))="AUXILIAR DE COCINA",17,11),1,0))),
    1
))</f>
        <v>46054</v>
      </c>
      <c r="M81" s="25" t="str">
        <f t="shared" si="8"/>
        <v>A TIEMPO</v>
      </c>
    </row>
    <row r="82" spans="1:13" ht="15">
      <c r="A82" s="26" t="s">
        <v>245</v>
      </c>
      <c r="B82" s="148" t="s">
        <v>53</v>
      </c>
      <c r="C82" s="1" t="s">
        <v>39</v>
      </c>
      <c r="D82" s="162">
        <v>46064</v>
      </c>
      <c r="E82" s="1" t="s">
        <v>238</v>
      </c>
      <c r="F82" s="232">
        <v>46062</v>
      </c>
      <c r="G82" s="163" t="s">
        <v>241</v>
      </c>
      <c r="H82" s="172" t="s">
        <v>246</v>
      </c>
      <c r="I82" s="190" t="s">
        <v>180</v>
      </c>
      <c r="J82" s="196" t="s">
        <v>171</v>
      </c>
      <c r="K82" s="27" cm="1">
        <f t="array" ref="K82">IF(OR($B82="",$F82=""),"",WORKDAY.INTL(IF(ISNUMBER($F82),$F82,FECHA.VALOR($F82)),IF(UPPER(TRIM($B82))="AUXILIAR DE COCINA",10,15),1,FESTIVOS!$A$3:$A$1000))</f>
        <v>46076</v>
      </c>
      <c r="L82" s="77">
        <f>IF($F83="","",DATE(
    YEAR(EDATE($F83,IF(DAY($F83)&gt;=IF(UPPER(TRIM($B83))="AUXILIAR DE COCINA",17,11),1,0))),
    MONTH(EDATE($F83,IF(DAY($F83)&gt;=IF(UPPER(TRIM($B83))="AUXILIAR DE COCINA",17,11),1,0))),
    1
))</f>
        <v>46054</v>
      </c>
      <c r="M82" s="25" t="str">
        <f t="shared" si="8"/>
        <v>A TIEMPO</v>
      </c>
    </row>
    <row r="83" spans="1:13" ht="15">
      <c r="A83" s="26" t="s">
        <v>247</v>
      </c>
      <c r="B83" s="148" t="s">
        <v>53</v>
      </c>
      <c r="C83" s="1" t="s">
        <v>39</v>
      </c>
      <c r="D83" s="162">
        <v>46064</v>
      </c>
      <c r="E83" s="1" t="s">
        <v>241</v>
      </c>
      <c r="F83" s="232">
        <v>46065</v>
      </c>
      <c r="G83" s="163" t="s">
        <v>235</v>
      </c>
      <c r="H83" s="172" t="s">
        <v>248</v>
      </c>
      <c r="I83" s="190" t="s">
        <v>170</v>
      </c>
      <c r="J83" s="196" t="s">
        <v>171</v>
      </c>
      <c r="K83" s="27" cm="1">
        <f t="array" ref="K83">IF(OR($B83="",$F83=""),"",WORKDAY.INTL(IF(ISNUMBER($F83),$F83,FECHA.VALOR($F83)),IF(UPPER(TRIM($B83))="AUXILIAR DE COCINA",10,15),1,FESTIVOS!$A$3:$A$1000))</f>
        <v>46079</v>
      </c>
      <c r="L83" s="77" t="e">
        <f>IF($F204="","",DATE(
    YEAR(EDATE($F204,IF(DAY($F204)&gt;=IF(UPPER(TRIM(#REF!))="AUXILIAR DE COCINA",17,11),1,0))),
    MONTH(EDATE($F204,IF(DAY($F204)&gt;=IF(UPPER(TRIM(#REF!))="AUXILIAR DE COCINA",17,11),1,0))),
    1
))</f>
        <v>#REF!</v>
      </c>
      <c r="M83" s="25" t="str">
        <f t="shared" si="8"/>
        <v>PENDIENTE</v>
      </c>
    </row>
    <row r="84" spans="1:13" ht="15">
      <c r="A84" s="26" t="s">
        <v>249</v>
      </c>
      <c r="B84" s="148" t="s">
        <v>53</v>
      </c>
      <c r="C84" s="1" t="s">
        <v>39</v>
      </c>
      <c r="D84" s="162">
        <v>46064</v>
      </c>
      <c r="E84" s="1" t="s">
        <v>250</v>
      </c>
      <c r="F84" s="232">
        <v>46065</v>
      </c>
      <c r="G84" s="163" t="s">
        <v>251</v>
      </c>
      <c r="H84" s="159" t="s">
        <v>252</v>
      </c>
      <c r="I84" s="190" t="s">
        <v>180</v>
      </c>
      <c r="J84" s="196" t="s">
        <v>253</v>
      </c>
      <c r="K84" s="27" cm="1">
        <f t="array" ref="K84">IF(OR($B84="",$F84=""),"",WORKDAY.INTL(IF(ISNUMBER($F84),$F84,FECHA.VALOR($F84)),IF(UPPER(TRIM($B84))="AUXILIAR DE COCINA",10,15),1,FESTIVOS!$A$3:$A$1000))</f>
        <v>46079</v>
      </c>
      <c r="L84" s="77">
        <f>IF($F94="","",DATE(
    YEAR(EDATE($F94,IF(DAY($F94)&gt;=IF(UPPER(TRIM($B95))="AUXILIAR DE COCINA",17,11),1,0))),
    MONTH(EDATE($F94,IF(DAY($F94)&gt;=IF(UPPER(TRIM($B95))="AUXILIAR DE COCINA",17,11),1,0))),
    1
))</f>
        <v>46082</v>
      </c>
      <c r="M84" s="25" t="str">
        <f t="shared" si="8"/>
        <v>PENDIENTE</v>
      </c>
    </row>
    <row r="85" spans="1:13" ht="15">
      <c r="A85" s="26" t="s">
        <v>254</v>
      </c>
      <c r="B85" s="148" t="s">
        <v>53</v>
      </c>
      <c r="C85" s="1" t="s">
        <v>39</v>
      </c>
      <c r="D85" s="162">
        <v>46066</v>
      </c>
      <c r="E85" s="1" t="s">
        <v>241</v>
      </c>
      <c r="F85" s="232">
        <v>46065</v>
      </c>
      <c r="G85" s="163"/>
      <c r="H85" s="26" t="s">
        <v>255</v>
      </c>
      <c r="I85" s="190" t="s">
        <v>256</v>
      </c>
      <c r="J85" s="196" t="s">
        <v>171</v>
      </c>
      <c r="K85" s="27" cm="1">
        <f t="array" ref="K85">IF(OR($B85="",$F85=""),"",WORKDAY.INTL(IF(ISNUMBER($F85),$F85,FECHA.VALOR($F85)),IF(UPPER(TRIM($B85))="AUXILIAR DE COCINA",10,15),1,FESTIVOS!$A$3:$A$1000))</f>
        <v>46079</v>
      </c>
      <c r="L85" s="77">
        <f>IF($F86="","",DATE(
    YEAR(EDATE($F86,IF(DAY($F86)&gt;=IF(UPPER(TRIM($B86))="AUXILIAR DE COCINA",17,11),1,0))),
    MONTH(EDATE($F86,IF(DAY($F86)&gt;=IF(UPPER(TRIM($B86))="AUXILIAR DE COCINA",17,11),1,0))),
    1
))</f>
        <v>46054</v>
      </c>
      <c r="M85" s="25" t="str">
        <f t="shared" si="8"/>
        <v>A TIEMPO</v>
      </c>
    </row>
    <row r="86" spans="1:13" ht="15">
      <c r="A86" s="26" t="s">
        <v>257</v>
      </c>
      <c r="B86" s="148" t="s">
        <v>53</v>
      </c>
      <c r="C86" s="1" t="s">
        <v>39</v>
      </c>
      <c r="D86" s="162">
        <v>46078</v>
      </c>
      <c r="E86" s="1" t="s">
        <v>250</v>
      </c>
      <c r="F86" s="232">
        <v>46069</v>
      </c>
      <c r="G86" s="163"/>
      <c r="H86" s="26" t="s">
        <v>258</v>
      </c>
      <c r="I86" s="190" t="s">
        <v>180</v>
      </c>
      <c r="J86" s="196" t="s">
        <v>171</v>
      </c>
      <c r="K86" s="27" cm="1">
        <f t="array" ref="K86">IF(OR($B86="",$F86=""),"",WORKDAY.INTL(IF(ISNUMBER($F86),$F86,FECHA.VALOR($F86)),IF(UPPER(TRIM($B86))="AUXILIAR DE COCINA",10,15),1,FESTIVOS!$A$3:$A$1000))</f>
        <v>46083</v>
      </c>
      <c r="L86" s="77">
        <f>IF($F87="","",DATE(
    YEAR(EDATE($F87,IF(DAY($F87)&gt;=IF(UPPER(TRIM($B87))="AUXILIAR DE COCINA",17,11),1,0))),
    MONTH(EDATE($F87,IF(DAY($F87)&gt;=IF(UPPER(TRIM($B87))="AUXILIAR DE COCINA",17,11),1,0))),
    1
))</f>
        <v>46054</v>
      </c>
      <c r="M86" s="25" t="str">
        <f t="shared" si="8"/>
        <v>A TIEMPO</v>
      </c>
    </row>
    <row r="87" spans="1:13" ht="15">
      <c r="A87" s="26" t="s">
        <v>259</v>
      </c>
      <c r="B87" s="148" t="s">
        <v>53</v>
      </c>
      <c r="C87" s="1" t="s">
        <v>39</v>
      </c>
      <c r="D87" s="162">
        <v>46078</v>
      </c>
      <c r="E87" s="1" t="s">
        <v>241</v>
      </c>
      <c r="F87" s="232">
        <v>46069</v>
      </c>
      <c r="G87" s="163"/>
      <c r="H87" s="26" t="s">
        <v>260</v>
      </c>
      <c r="I87" s="190" t="s">
        <v>180</v>
      </c>
      <c r="J87" s="196" t="s">
        <v>171</v>
      </c>
      <c r="K87" s="27" cm="1">
        <f t="array" ref="K87">IF(OR($B87="",$F87=""),"",WORKDAY.INTL(IF(ISNUMBER($F87),$F87,FECHA.VALOR($F87)),IF(UPPER(TRIM($B87))="AUXILIAR DE COCINA",10,15),1,FESTIVOS!$A$3:$A$1000))</f>
        <v>46083</v>
      </c>
      <c r="L87" s="77">
        <f>IF($F88="","",DATE(
    YEAR(EDATE($F88,IF(DAY($F88)&gt;=IF(UPPER(TRIM($B88))="AUXILIAR DE COCINA",17,11),1,0))),
    MONTH(EDATE($F88,IF(DAY($F88)&gt;=IF(UPPER(TRIM($B88))="AUXILIAR DE COCINA",17,11),1,0))),
    1
))</f>
        <v>46054</v>
      </c>
      <c r="M87" s="25" t="str">
        <f t="shared" si="8"/>
        <v>A TIEMPO</v>
      </c>
    </row>
    <row r="88" spans="1:13" ht="15">
      <c r="A88" s="26" t="s">
        <v>261</v>
      </c>
      <c r="B88" s="148" t="s">
        <v>53</v>
      </c>
      <c r="C88" s="1" t="s">
        <v>39</v>
      </c>
      <c r="D88" s="162">
        <v>46078</v>
      </c>
      <c r="E88" s="1" t="s">
        <v>262</v>
      </c>
      <c r="F88" s="232">
        <v>46069</v>
      </c>
      <c r="G88" s="163"/>
      <c r="H88" s="26" t="s">
        <v>263</v>
      </c>
      <c r="I88" s="190" t="s">
        <v>180</v>
      </c>
      <c r="J88" s="196" t="s">
        <v>171</v>
      </c>
      <c r="K88" s="27" cm="1">
        <f t="array" ref="K88">IF(OR($B88="",$F88=""),"",WORKDAY.INTL(IF(ISNUMBER($F88),$F88,FECHA.VALOR($F88)),IF(UPPER(TRIM($B88))="AUXILIAR DE COCINA",10,15),1,FESTIVOS!$A$3:$A$1000))</f>
        <v>46083</v>
      </c>
      <c r="L88" s="77">
        <f>IF($F94="","",DATE(
    YEAR(EDATE($F94,IF(DAY($F94)&gt;=IF(UPPER(TRIM($B95))="AUXILIAR DE COCINA",17,11),1,0))),
    MONTH(EDATE($F94,IF(DAY($F94)&gt;=IF(UPPER(TRIM($B95))="AUXILIAR DE COCINA",17,11),1,0))),
    1
))</f>
        <v>46082</v>
      </c>
      <c r="M88" s="25" t="str">
        <f t="shared" si="8"/>
        <v>A TIEMPO</v>
      </c>
    </row>
    <row r="89" spans="1:13" ht="15">
      <c r="A89" s="26" t="s">
        <v>264</v>
      </c>
      <c r="B89" s="148" t="s">
        <v>53</v>
      </c>
      <c r="C89" s="1" t="s">
        <v>39</v>
      </c>
      <c r="D89" s="162">
        <v>46078</v>
      </c>
      <c r="E89" s="1" t="s">
        <v>240</v>
      </c>
      <c r="F89" s="232">
        <v>46069</v>
      </c>
      <c r="G89" s="163"/>
      <c r="H89" s="26" t="s">
        <v>199</v>
      </c>
      <c r="I89" s="190" t="s">
        <v>180</v>
      </c>
      <c r="J89" s="196" t="s">
        <v>171</v>
      </c>
      <c r="K89" s="27" cm="1">
        <f t="array" ref="K89">IF(OR($B89="",$F89=""),"",WORKDAY.INTL(IF(ISNUMBER($F89),$F89,FECHA.VALOR($F89)),IF(UPPER(TRIM($B89))="AUXILIAR DE COCINA",10,15),1,FESTIVOS!$A$3:$A$1000))</f>
        <v>46083</v>
      </c>
      <c r="L89" s="77">
        <f>IF($F90="","",DATE(
    YEAR(EDATE($F90,IF(DAY($F90)&gt;=IF(UPPER(TRIM($B90))="AUXILIAR DE COCINA",17,11),1,0))),
    MONTH(EDATE($F90,IF(DAY($F90)&gt;=IF(UPPER(TRIM($B90))="AUXILIAR DE COCINA",17,11),1,0))),
    1
))</f>
        <v>46082</v>
      </c>
      <c r="M89" s="25" t="str">
        <f t="shared" si="8"/>
        <v>A TIEMPO</v>
      </c>
    </row>
    <row r="90" spans="1:13" ht="15">
      <c r="A90" s="26" t="s">
        <v>265</v>
      </c>
      <c r="B90" s="148" t="s">
        <v>53</v>
      </c>
      <c r="C90" s="1" t="s">
        <v>39</v>
      </c>
      <c r="D90" s="162">
        <v>46078</v>
      </c>
      <c r="E90" s="1" t="s">
        <v>238</v>
      </c>
      <c r="F90" s="232">
        <v>46070</v>
      </c>
      <c r="G90" s="163"/>
      <c r="H90" s="26" t="s">
        <v>266</v>
      </c>
      <c r="I90" s="190" t="s">
        <v>267</v>
      </c>
      <c r="J90" s="196" t="s">
        <v>171</v>
      </c>
      <c r="K90" s="27" cm="1">
        <f t="array" ref="K90">IF(OR($B90="",$F90=""),"",WORKDAY.INTL(IF(ISNUMBER($F90),$F90,FECHA.VALOR($F90)),IF(UPPER(TRIM($B90))="AUXILIAR DE COCINA",10,15),1,FESTIVOS!$A$3:$A$1000))</f>
        <v>46084</v>
      </c>
      <c r="L90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90" s="25" t="str">
        <f t="shared" si="8"/>
        <v>A TIEMPO</v>
      </c>
    </row>
    <row r="91" spans="1:13" ht="15">
      <c r="A91" s="26" t="s">
        <v>268</v>
      </c>
      <c r="B91" s="148" t="s">
        <v>53</v>
      </c>
      <c r="C91" s="1" t="s">
        <v>39</v>
      </c>
      <c r="D91" s="162">
        <v>46078</v>
      </c>
      <c r="E91" s="1" t="s">
        <v>262</v>
      </c>
      <c r="F91" s="232">
        <v>46070</v>
      </c>
      <c r="G91" s="163"/>
      <c r="H91" s="26" t="s">
        <v>269</v>
      </c>
      <c r="I91" s="190" t="s">
        <v>270</v>
      </c>
      <c r="J91" s="196" t="s">
        <v>253</v>
      </c>
      <c r="K91" s="27" cm="1">
        <f t="array" ref="K91">IF(OR($B91="",$F91=""),"",WORKDAY.INTL(IF(ISNUMBER($F91),$F91,FECHA.VALOR($F91)),IF(UPPER(TRIM($B91))="AUXILIAR DE COCINA",10,15),1,FESTIVOS!$A$3:$A$1000))</f>
        <v>46084</v>
      </c>
      <c r="L91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91" s="25" t="str">
        <f t="shared" si="8"/>
        <v>A TIEMPO</v>
      </c>
    </row>
    <row r="92" spans="1:13" ht="15">
      <c r="A92" s="26" t="s">
        <v>271</v>
      </c>
      <c r="B92" s="148" t="s">
        <v>53</v>
      </c>
      <c r="C92" s="1" t="s">
        <v>39</v>
      </c>
      <c r="D92" s="162">
        <v>46078</v>
      </c>
      <c r="E92" s="1" t="s">
        <v>240</v>
      </c>
      <c r="F92" s="232">
        <v>46072</v>
      </c>
      <c r="G92" s="163"/>
      <c r="H92" s="26" t="s">
        <v>272</v>
      </c>
      <c r="I92" s="190" t="s">
        <v>180</v>
      </c>
      <c r="J92" s="196" t="s">
        <v>253</v>
      </c>
      <c r="K92" s="27" cm="1">
        <f t="array" ref="K92">IF(OR($B92="",$F92=""),"",WORKDAY.INTL(IF(ISNUMBER($F92),$F92,FECHA.VALOR($F92)),IF(UPPER(TRIM($B92))="AUXILIAR DE COCINA",10,15),1,FESTIVOS!$A$3:$A$1000))</f>
        <v>46086</v>
      </c>
      <c r="L92" s="77">
        <f>IF($F93="","",DATE(
    YEAR(EDATE($F93,IF(DAY($F93)&gt;=IF(UPPER(TRIM($B93))="AUXILIAR DE COCINA",17,11),1,0))),
    MONTH(EDATE($F93,IF(DAY($F93)&gt;=IF(UPPER(TRIM($B93))="AUXILIAR DE COCINA",17,11),1,0))),
    1
))</f>
        <v>46082</v>
      </c>
      <c r="M92" s="25" t="str">
        <f t="shared" si="8"/>
        <v>A TIEMPO</v>
      </c>
    </row>
    <row r="93" spans="1:13" ht="15">
      <c r="A93" s="26" t="s">
        <v>273</v>
      </c>
      <c r="B93" s="148" t="s">
        <v>53</v>
      </c>
      <c r="C93" s="1" t="s">
        <v>39</v>
      </c>
      <c r="D93" s="162">
        <v>46073</v>
      </c>
      <c r="E93" s="1" t="s">
        <v>238</v>
      </c>
      <c r="F93" s="232">
        <v>46072</v>
      </c>
      <c r="G93" s="163"/>
      <c r="H93" s="26" t="s">
        <v>274</v>
      </c>
      <c r="I93" s="190" t="s">
        <v>170</v>
      </c>
      <c r="J93" s="196"/>
      <c r="K93" s="27" cm="1">
        <f t="array" ref="K93">IF(OR($B93="",$F93=""),"",WORKDAY.INTL(IF(ISNUMBER($F93),$F93,FECHA.VALOR($F93)),IF(UPPER(TRIM($B93))="AUXILIAR DE COCINA",10,15),1,FESTIVOS!$A$3:$A$1000))</f>
        <v>46086</v>
      </c>
      <c r="L93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93" s="25" t="str">
        <f t="shared" si="8"/>
        <v>A TIEMPO</v>
      </c>
    </row>
    <row r="94" spans="1:13" ht="15">
      <c r="A94" s="26" t="s">
        <v>275</v>
      </c>
      <c r="B94" s="1" t="s">
        <v>53</v>
      </c>
      <c r="C94" s="1" t="s">
        <v>39</v>
      </c>
      <c r="D94" s="162">
        <v>46073</v>
      </c>
      <c r="E94" s="1" t="s">
        <v>276</v>
      </c>
      <c r="F94" s="232">
        <v>46072</v>
      </c>
      <c r="G94" s="163"/>
      <c r="H94" s="172" t="s">
        <v>277</v>
      </c>
      <c r="I94" s="190" t="s">
        <v>180</v>
      </c>
      <c r="J94" s="196" t="s">
        <v>171</v>
      </c>
      <c r="K94" s="27" cm="1">
        <f t="array" ref="K94">IF(OR($B95="",$F94=""),"",WORKDAY.INTL(IF(ISNUMBER($F94),$F94,FECHA.VALOR($F94)),IF(UPPER(TRIM($B95))="AUXILIAR DE COCINA",10,15),1,FESTIVOS!$A$3:$A$1000))</f>
        <v>46086</v>
      </c>
      <c r="L94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94" s="25" t="str">
        <f>IF($K94="","",IF(OR($D95="",$D95&lt;$F94),"PENDIENTE",IF($D95&lt;=$K94,"A TIEMPO","FUERA DE TIEMPO")))</f>
        <v>A TIEMPO</v>
      </c>
    </row>
    <row r="95" spans="1:13">
      <c r="A95" s="26" t="s">
        <v>278</v>
      </c>
      <c r="B95" s="148" t="s">
        <v>53</v>
      </c>
      <c r="C95" s="1" t="s">
        <v>39</v>
      </c>
      <c r="D95" s="162">
        <v>46073</v>
      </c>
      <c r="E95" s="1" t="s">
        <v>240</v>
      </c>
      <c r="F95" s="232">
        <v>46078</v>
      </c>
      <c r="G95" s="163" t="s">
        <v>79</v>
      </c>
      <c r="H95" s="1" t="s">
        <v>279</v>
      </c>
      <c r="I95" s="13" t="s">
        <v>280</v>
      </c>
      <c r="J95" s="74" t="s">
        <v>171</v>
      </c>
      <c r="K95" s="27"/>
    </row>
    <row r="96" spans="1:13" ht="15">
      <c r="A96" s="26" t="s">
        <v>281</v>
      </c>
      <c r="B96" s="1" t="s">
        <v>53</v>
      </c>
      <c r="C96" s="1" t="s">
        <v>39</v>
      </c>
      <c r="D96" s="162">
        <v>46079</v>
      </c>
      <c r="E96" s="1" t="s">
        <v>238</v>
      </c>
      <c r="F96" s="232">
        <v>46079</v>
      </c>
      <c r="G96" s="163" t="s">
        <v>282</v>
      </c>
      <c r="H96" s="1" t="s">
        <v>75</v>
      </c>
      <c r="I96" s="190" t="s">
        <v>180</v>
      </c>
      <c r="J96" s="196" t="s">
        <v>171</v>
      </c>
      <c r="K96" s="27" cm="1">
        <f t="array" ref="K96">IF(OR($B96="",$F96=""),"",WORKDAY.INTL(IF(ISNUMBER($F96),$F96,FECHA.VALOR($F96)),IF(UPPER(TRIM($B96))="AUXILIAR DE COCINA",10,15),1,FESTIVOS!$A$3:$A$1000))</f>
        <v>46093</v>
      </c>
      <c r="L96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96" s="25" t="str">
        <f t="shared" ref="M96:M121" si="9">IF($K96="","",IF(OR($D96="",$D96&lt;$F96),"PENDIENTE",IF($D96&lt;=$K96,"A TIEMPO","FUERA DE TIEMPO")))</f>
        <v>A TIEMPO</v>
      </c>
    </row>
    <row r="97" spans="1:13" ht="15">
      <c r="A97" s="26" t="s">
        <v>283</v>
      </c>
      <c r="B97" s="1" t="s">
        <v>53</v>
      </c>
      <c r="C97" s="1" t="s">
        <v>39</v>
      </c>
      <c r="D97" s="162">
        <v>46080</v>
      </c>
      <c r="E97" s="1" t="s">
        <v>238</v>
      </c>
      <c r="F97" s="232">
        <v>46080</v>
      </c>
      <c r="G97" s="163" t="s">
        <v>211</v>
      </c>
      <c r="H97" s="1" t="s">
        <v>284</v>
      </c>
      <c r="I97" s="190" t="s">
        <v>180</v>
      </c>
      <c r="J97" s="196" t="s">
        <v>253</v>
      </c>
      <c r="K97" s="27" cm="1">
        <f t="array" ref="K97">IF(OR($B97="",$F97=""),"",WORKDAY.INTL(IF(ISNUMBER($F97),$F97,FECHA.VALOR($F97)),IF(UPPER(TRIM($B97))="AUXILIAR DE COCINA",10,15),1,FESTIVOS!$A$3:$A$1000))</f>
        <v>46094</v>
      </c>
      <c r="L97" s="77">
        <f>IF($F98="","",DATE(
    YEAR(EDATE($F98,IF(DAY($F98)&gt;=IF(UPPER(TRIM($B98))="AUXILIAR DE COCINA",17,11),1,0))),
    MONTH(EDATE($F98,IF(DAY($F98)&gt;=IF(UPPER(TRIM($B98))="AUXILIAR DE COCINA",17,11),1,0))),
    1
))</f>
        <v>46082</v>
      </c>
      <c r="M97" s="25" t="str">
        <f t="shared" si="9"/>
        <v>A TIEMPO</v>
      </c>
    </row>
    <row r="98" spans="1:13" ht="15">
      <c r="A98" s="26" t="s">
        <v>285</v>
      </c>
      <c r="B98" s="1" t="s">
        <v>53</v>
      </c>
      <c r="C98" s="1" t="s">
        <v>39</v>
      </c>
      <c r="D98" s="162">
        <v>46080</v>
      </c>
      <c r="E98" s="1" t="s">
        <v>262</v>
      </c>
      <c r="F98" s="232">
        <v>46083</v>
      </c>
      <c r="G98" s="163" t="s">
        <v>129</v>
      </c>
      <c r="H98" s="1" t="s">
        <v>286</v>
      </c>
      <c r="I98" s="190" t="s">
        <v>180</v>
      </c>
      <c r="J98" s="196" t="s">
        <v>287</v>
      </c>
      <c r="K98" s="27" cm="1">
        <f t="array" ref="K98">IF(OR($B98="",$F98=""),"",WORKDAY.INTL(IF(ISNUMBER($F98),$F98,FECHA.VALOR($F98)),IF(UPPER(TRIM($B98))="AUXILIAR DE COCINA",10,15),1,FESTIVOS!$A$3:$A$1000))</f>
        <v>46097</v>
      </c>
      <c r="L98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98" s="25" t="str">
        <f t="shared" si="9"/>
        <v>PENDIENTE</v>
      </c>
    </row>
    <row r="99" spans="1:13" ht="15">
      <c r="A99" s="26" t="s">
        <v>288</v>
      </c>
      <c r="B99" s="1" t="s">
        <v>53</v>
      </c>
      <c r="C99" s="1" t="s">
        <v>39</v>
      </c>
      <c r="D99" s="162">
        <v>46080</v>
      </c>
      <c r="E99" s="1" t="s">
        <v>250</v>
      </c>
      <c r="F99" s="232">
        <v>46083</v>
      </c>
      <c r="G99" s="163" t="s">
        <v>289</v>
      </c>
      <c r="H99" s="1" t="s">
        <v>290</v>
      </c>
      <c r="I99" s="190" t="s">
        <v>280</v>
      </c>
      <c r="J99" s="196" t="s">
        <v>287</v>
      </c>
      <c r="K99" s="27" cm="1">
        <f t="array" ref="K99">IF(OR($B99="",$F99=""),"",WORKDAY.INTL(IF(ISNUMBER($F99),$F99,FECHA.VALOR($F99)),IF(UPPER(TRIM($B99))="AUXILIAR DE COCINA",10,15),1,FESTIVOS!$A$3:$A$1000))</f>
        <v>46097</v>
      </c>
      <c r="L99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99" s="25" t="str">
        <f t="shared" si="9"/>
        <v>PENDIENTE</v>
      </c>
    </row>
    <row r="100" spans="1:13" ht="15">
      <c r="A100" s="26" t="s">
        <v>291</v>
      </c>
      <c r="B100" s="1" t="s">
        <v>53</v>
      </c>
      <c r="C100" s="1" t="s">
        <v>39</v>
      </c>
      <c r="D100" s="162">
        <v>46092</v>
      </c>
      <c r="E100" s="1" t="s">
        <v>241</v>
      </c>
      <c r="F100" s="232">
        <v>46083</v>
      </c>
      <c r="G100" s="163" t="s">
        <v>208</v>
      </c>
      <c r="H100" s="1" t="s">
        <v>292</v>
      </c>
      <c r="I100" s="190" t="s">
        <v>180</v>
      </c>
      <c r="J100" s="196" t="s">
        <v>253</v>
      </c>
      <c r="K100" s="27" cm="1">
        <f t="array" ref="K100">IF(OR($B100="",$F100=""),"",WORKDAY.INTL(IF(ISNUMBER($F100),$F100,FECHA.VALOR($F100)),IF(UPPER(TRIM($B100))="AUXILIAR DE COCINA",10,15),1,FESTIVOS!$A$3:$A$1000))</f>
        <v>46097</v>
      </c>
      <c r="L100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100" s="25" t="str">
        <f t="shared" si="9"/>
        <v>A TIEMPO</v>
      </c>
    </row>
    <row r="101" spans="1:13" ht="15">
      <c r="A101" s="26" t="s">
        <v>293</v>
      </c>
      <c r="B101" s="1" t="s">
        <v>53</v>
      </c>
      <c r="C101" s="1" t="s">
        <v>39</v>
      </c>
      <c r="D101" s="162">
        <v>46092</v>
      </c>
      <c r="E101" s="1" t="s">
        <v>240</v>
      </c>
      <c r="F101" s="232">
        <v>46083</v>
      </c>
      <c r="G101" s="163" t="s">
        <v>294</v>
      </c>
      <c r="H101" s="1" t="s">
        <v>295</v>
      </c>
      <c r="I101" s="190" t="s">
        <v>280</v>
      </c>
      <c r="J101" s="196" t="s">
        <v>171</v>
      </c>
      <c r="K101" s="27" cm="1">
        <f t="array" ref="K101">IF(OR($B101="",$F101=""),"",WORKDAY.INTL(IF(ISNUMBER($F101),$F101,FECHA.VALOR($F101)),IF(UPPER(TRIM($B101))="AUXILIAR DE COCINA",10,15),1,FESTIVOS!$A$3:$A$1000))</f>
        <v>46097</v>
      </c>
      <c r="L101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101" s="25" t="str">
        <f t="shared" si="9"/>
        <v>A TIEMPO</v>
      </c>
    </row>
    <row r="102" spans="1:13" ht="15">
      <c r="A102" s="26" t="s">
        <v>296</v>
      </c>
      <c r="B102" s="1" t="s">
        <v>53</v>
      </c>
      <c r="C102" s="1" t="s">
        <v>39</v>
      </c>
      <c r="D102" s="162">
        <v>46100</v>
      </c>
      <c r="E102" s="1" t="s">
        <v>238</v>
      </c>
      <c r="F102" s="232">
        <v>46084</v>
      </c>
      <c r="G102" s="163" t="s">
        <v>132</v>
      </c>
      <c r="H102" s="1" t="s">
        <v>297</v>
      </c>
      <c r="I102" s="190" t="s">
        <v>180</v>
      </c>
      <c r="J102" s="196" t="s">
        <v>171</v>
      </c>
      <c r="K102" s="27" cm="1">
        <f t="array" ref="K102">IF(OR($B102="",$F102=""),"",WORKDAY.INTL(IF(ISNUMBER($F102),$F102,FECHA.VALOR($F102)),IF(UPPER(TRIM($B102))="AUXILIAR DE COCINA",10,15),1,FESTIVOS!$A$3:$A$1000))</f>
        <v>46098</v>
      </c>
      <c r="L102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02" s="25" t="str">
        <f t="shared" si="9"/>
        <v>FUERA DE TIEMPO</v>
      </c>
    </row>
    <row r="103" spans="1:13" ht="15">
      <c r="A103" s="26" t="s">
        <v>298</v>
      </c>
      <c r="B103" s="1" t="s">
        <v>53</v>
      </c>
      <c r="C103" s="1" t="s">
        <v>39</v>
      </c>
      <c r="D103" s="162">
        <v>46100</v>
      </c>
      <c r="E103" s="1" t="s">
        <v>276</v>
      </c>
      <c r="F103" s="232">
        <v>46091</v>
      </c>
      <c r="G103" s="163" t="s">
        <v>299</v>
      </c>
      <c r="H103" s="1" t="s">
        <v>300</v>
      </c>
      <c r="I103" s="190" t="s">
        <v>256</v>
      </c>
      <c r="J103" s="196" t="s">
        <v>171</v>
      </c>
      <c r="K103" s="27" cm="1">
        <f t="array" ref="K103">IF(OR($B103="",$F103=""),"",WORKDAY.INTL(IF(ISNUMBER($F103),$F103,FECHA.VALOR($F103)),IF(UPPER(TRIM($B103))="AUXILIAR DE COCINA",10,15),1,FESTIVOS!$A$3:$A$1000))</f>
        <v>46106</v>
      </c>
      <c r="L103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03" s="25" t="str">
        <f t="shared" si="9"/>
        <v>A TIEMPO</v>
      </c>
    </row>
    <row r="104" spans="1:13" ht="15">
      <c r="A104" s="26" t="s">
        <v>301</v>
      </c>
      <c r="B104" s="1" t="s">
        <v>53</v>
      </c>
      <c r="C104" s="1" t="s">
        <v>39</v>
      </c>
      <c r="D104" s="162">
        <v>46100</v>
      </c>
      <c r="E104" s="1" t="s">
        <v>276</v>
      </c>
      <c r="F104" s="232">
        <v>46091</v>
      </c>
      <c r="G104" s="163" t="s">
        <v>299</v>
      </c>
      <c r="H104" s="1" t="s">
        <v>302</v>
      </c>
      <c r="I104" s="190" t="s">
        <v>256</v>
      </c>
      <c r="J104" s="196" t="s">
        <v>171</v>
      </c>
      <c r="K104" s="27" cm="1">
        <f t="array" ref="K104">IF(OR($B104="",$F104=""),"",WORKDAY.INTL(IF(ISNUMBER($F104),$F104,FECHA.VALOR($F104)),IF(UPPER(TRIM($B104))="AUXILIAR DE COCINA",10,15),1,FESTIVOS!$A$3:$A$1000))</f>
        <v>46106</v>
      </c>
      <c r="L104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04" s="25" t="str">
        <f t="shared" si="9"/>
        <v>A TIEMPO</v>
      </c>
    </row>
    <row r="105" spans="1:13" ht="15">
      <c r="A105" s="26" t="s">
        <v>303</v>
      </c>
      <c r="B105" s="1" t="s">
        <v>53</v>
      </c>
      <c r="C105" s="1" t="s">
        <v>39</v>
      </c>
      <c r="D105" s="162">
        <v>46100</v>
      </c>
      <c r="E105" s="1" t="s">
        <v>304</v>
      </c>
      <c r="F105" s="232">
        <v>46091</v>
      </c>
      <c r="G105" s="163" t="s">
        <v>305</v>
      </c>
      <c r="H105" s="1" t="s">
        <v>306</v>
      </c>
      <c r="I105" s="190" t="s">
        <v>256</v>
      </c>
      <c r="J105" s="196" t="s">
        <v>171</v>
      </c>
      <c r="K105" s="27" cm="1">
        <f t="array" ref="K105">IF(OR($B105="",$F105=""),"",WORKDAY.INTL(IF(ISNUMBER($F105),$F105,FECHA.VALOR($F105)),IF(UPPER(TRIM($B105))="AUXILIAR DE COCINA",10,15),1,FESTIVOS!$A$3:$A$1000))</f>
        <v>46106</v>
      </c>
      <c r="L105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05" s="25" t="str">
        <f t="shared" si="9"/>
        <v>A TIEMPO</v>
      </c>
    </row>
    <row r="106" spans="1:13" ht="15">
      <c r="A106" s="26" t="s">
        <v>307</v>
      </c>
      <c r="B106" s="1" t="s">
        <v>53</v>
      </c>
      <c r="C106" s="1" t="s">
        <v>39</v>
      </c>
      <c r="D106" s="162">
        <v>46101</v>
      </c>
      <c r="E106" s="1" t="s">
        <v>262</v>
      </c>
      <c r="F106" s="232">
        <v>46091</v>
      </c>
      <c r="G106" s="163" t="s">
        <v>149</v>
      </c>
      <c r="H106" s="1" t="s">
        <v>308</v>
      </c>
      <c r="I106" s="190" t="s">
        <v>256</v>
      </c>
      <c r="J106" s="196" t="s">
        <v>171</v>
      </c>
      <c r="K106" s="27" cm="1">
        <f t="array" ref="K106">IF(OR($B106="",$F106=""),"",WORKDAY.INTL(IF(ISNUMBER($F106),$F106,FECHA.VALOR($F106)),IF(UPPER(TRIM($B106))="AUXILIAR DE COCINA",10,15),1,FESTIVOS!$A$3:$A$1000))</f>
        <v>46106</v>
      </c>
      <c r="L106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06" s="25" t="str">
        <f t="shared" si="9"/>
        <v>A TIEMPO</v>
      </c>
    </row>
    <row r="107" spans="1:13" ht="15">
      <c r="A107" s="26" t="s">
        <v>309</v>
      </c>
      <c r="B107" s="1" t="s">
        <v>53</v>
      </c>
      <c r="C107" s="1" t="s">
        <v>39</v>
      </c>
      <c r="D107" s="162">
        <v>46101</v>
      </c>
      <c r="E107" s="1" t="s">
        <v>304</v>
      </c>
      <c r="F107" s="232">
        <v>46098</v>
      </c>
      <c r="G107" s="163" t="s">
        <v>129</v>
      </c>
      <c r="H107" s="1" t="s">
        <v>310</v>
      </c>
      <c r="I107" s="190" t="s">
        <v>256</v>
      </c>
      <c r="J107" s="196" t="s">
        <v>171</v>
      </c>
      <c r="K107" s="27" cm="1">
        <f t="array" ref="K107">IF(OR($B107="",$F107=""),"",WORKDAY.INTL(IF(ISNUMBER($F107),$F107,FECHA.VALOR($F107)),IF(UPPER(TRIM($B107))="AUXILIAR DE COCINA",10,15),1,FESTIVOS!$A$3:$A$1000))</f>
        <v>46113</v>
      </c>
      <c r="L107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07" s="25" t="str">
        <f t="shared" si="9"/>
        <v>A TIEMPO</v>
      </c>
    </row>
    <row r="108" spans="1:13" ht="15">
      <c r="A108" s="26" t="s">
        <v>311</v>
      </c>
      <c r="B108" s="1" t="s">
        <v>53</v>
      </c>
      <c r="C108" s="1" t="s">
        <v>39</v>
      </c>
      <c r="D108" s="162">
        <v>46101</v>
      </c>
      <c r="E108" s="1" t="s">
        <v>262</v>
      </c>
      <c r="F108" s="232">
        <v>46098</v>
      </c>
      <c r="G108" s="163" t="s">
        <v>312</v>
      </c>
      <c r="H108" s="1" t="s">
        <v>313</v>
      </c>
      <c r="I108" s="190" t="s">
        <v>180</v>
      </c>
      <c r="J108" s="196" t="s">
        <v>171</v>
      </c>
      <c r="K108" s="27" cm="1">
        <f t="array" ref="K108">IF(OR($B108="",$F108=""),"",WORKDAY.INTL(IF(ISNUMBER($F108),$F108,FECHA.VALOR($F108)),IF(UPPER(TRIM($B108))="AUXILIAR DE COCINA",10,15),1,FESTIVOS!$A$3:$A$1000))</f>
        <v>46113</v>
      </c>
      <c r="L108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08" s="25" t="str">
        <f t="shared" si="9"/>
        <v>A TIEMPO</v>
      </c>
    </row>
    <row r="109" spans="1:13" ht="15">
      <c r="A109" s="26" t="s">
        <v>314</v>
      </c>
      <c r="B109" s="1" t="s">
        <v>53</v>
      </c>
      <c r="C109" s="1" t="s">
        <v>39</v>
      </c>
      <c r="D109" s="162">
        <v>46101</v>
      </c>
      <c r="E109" s="1" t="s">
        <v>238</v>
      </c>
      <c r="F109" s="232">
        <v>46098</v>
      </c>
      <c r="G109" s="163" t="s">
        <v>282</v>
      </c>
      <c r="H109" s="1" t="s">
        <v>315</v>
      </c>
      <c r="I109" s="190" t="s">
        <v>180</v>
      </c>
      <c r="J109" s="196" t="s">
        <v>171</v>
      </c>
      <c r="K109" s="27" cm="1">
        <f t="array" ref="K109">IF(OR($B109="",$F109=""),"",WORKDAY.INTL(IF(ISNUMBER($F109),$F109,FECHA.VALOR($F109)),IF(UPPER(TRIM($B109))="AUXILIAR DE COCINA",10,15),1,FESTIVOS!$A$3:$A$1000))</f>
        <v>46113</v>
      </c>
      <c r="L109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09" s="25" t="str">
        <f t="shared" si="9"/>
        <v>A TIEMPO</v>
      </c>
    </row>
    <row r="110" spans="1:13" ht="15">
      <c r="A110" s="26" t="s">
        <v>316</v>
      </c>
      <c r="B110" s="1" t="s">
        <v>53</v>
      </c>
      <c r="C110" s="1" t="s">
        <v>39</v>
      </c>
      <c r="D110" s="162">
        <v>46101</v>
      </c>
      <c r="E110" s="1" t="s">
        <v>241</v>
      </c>
      <c r="F110" s="232">
        <v>46098</v>
      </c>
      <c r="G110" s="163" t="s">
        <v>168</v>
      </c>
      <c r="H110" s="1" t="s">
        <v>259</v>
      </c>
      <c r="I110" s="190" t="s">
        <v>256</v>
      </c>
      <c r="J110" s="196" t="s">
        <v>171</v>
      </c>
      <c r="K110" s="27" cm="1">
        <f t="array" ref="K110">IF(OR($B110="",$F110=""),"",WORKDAY.INTL(IF(ISNUMBER($F110),$F110,FECHA.VALOR($F110)),IF(UPPER(TRIM($B110))="AUXILIAR DE COCINA",10,15),1,FESTIVOS!$A$3:$A$1000))</f>
        <v>46113</v>
      </c>
      <c r="L110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0" s="25" t="str">
        <f t="shared" si="9"/>
        <v>A TIEMPO</v>
      </c>
    </row>
    <row r="111" spans="1:13" ht="15">
      <c r="A111" s="26" t="s">
        <v>317</v>
      </c>
      <c r="B111" s="1" t="s">
        <v>53</v>
      </c>
      <c r="C111" s="1" t="s">
        <v>39</v>
      </c>
      <c r="D111" s="162">
        <v>46107</v>
      </c>
      <c r="E111" s="1" t="s">
        <v>276</v>
      </c>
      <c r="F111" s="232">
        <v>46098</v>
      </c>
      <c r="G111" s="163" t="s">
        <v>318</v>
      </c>
      <c r="H111" s="1" t="s">
        <v>319</v>
      </c>
      <c r="I111" s="190" t="s">
        <v>177</v>
      </c>
      <c r="J111" s="196" t="s">
        <v>287</v>
      </c>
      <c r="K111" s="27" cm="1">
        <f t="array" ref="K111">IF(OR($B111="",$F111=""),"",WORKDAY.INTL(IF(ISNUMBER($F111),$F111,FECHA.VALOR($F111)),IF(UPPER(TRIM($B111))="AUXILIAR DE COCINA",10,15),1,FESTIVOS!$A$3:$A$1000))</f>
        <v>46113</v>
      </c>
      <c r="L111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1" s="25" t="str">
        <f t="shared" si="9"/>
        <v>A TIEMPO</v>
      </c>
    </row>
    <row r="112" spans="1:13" ht="15">
      <c r="A112" s="26" t="s">
        <v>320</v>
      </c>
      <c r="B112" s="1" t="s">
        <v>53</v>
      </c>
      <c r="C112" s="1" t="s">
        <v>39</v>
      </c>
      <c r="D112" s="162">
        <v>46111</v>
      </c>
      <c r="E112" s="1" t="s">
        <v>276</v>
      </c>
      <c r="F112" s="232">
        <v>46098</v>
      </c>
      <c r="G112" s="163" t="s">
        <v>111</v>
      </c>
      <c r="H112" s="1" t="s">
        <v>321</v>
      </c>
      <c r="I112" s="190" t="s">
        <v>177</v>
      </c>
      <c r="J112" s="196" t="s">
        <v>171</v>
      </c>
      <c r="K112" s="27" cm="1">
        <f t="array" ref="K112">IF(OR($B112="",$F112=""),"",WORKDAY.INTL(IF(ISNUMBER($F112),$F112,FECHA.VALOR($F112)),IF(UPPER(TRIM($B112))="AUXILIAR DE COCINA",10,15),1,FESTIVOS!$A$3:$A$1000))</f>
        <v>46113</v>
      </c>
      <c r="L112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2" s="25" t="str">
        <f t="shared" si="9"/>
        <v>A TIEMPO</v>
      </c>
    </row>
    <row r="113" spans="1:13" ht="15">
      <c r="A113" s="26" t="s">
        <v>322</v>
      </c>
      <c r="B113" s="1" t="s">
        <v>53</v>
      </c>
      <c r="C113" s="1" t="s">
        <v>39</v>
      </c>
      <c r="D113" s="162">
        <v>46111</v>
      </c>
      <c r="E113" s="1" t="s">
        <v>323</v>
      </c>
      <c r="F113" s="232">
        <v>46098</v>
      </c>
      <c r="G113" s="163" t="s">
        <v>68</v>
      </c>
      <c r="H113" s="1" t="s">
        <v>288</v>
      </c>
      <c r="I113" s="190" t="s">
        <v>180</v>
      </c>
      <c r="J113" s="196" t="s">
        <v>253</v>
      </c>
      <c r="K113" s="27" cm="1">
        <f t="array" ref="K113">IF(OR($B113="",$F113=""),"",WORKDAY.INTL(IF(ISNUMBER($F113),$F113,FECHA.VALOR($F113)),IF(UPPER(TRIM($B113))="AUXILIAR DE COCINA",10,15),1,FESTIVOS!$A$3:$A$1000))</f>
        <v>46113</v>
      </c>
      <c r="L113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3" s="25" t="str">
        <f t="shared" si="9"/>
        <v>A TIEMPO</v>
      </c>
    </row>
    <row r="114" spans="1:13" ht="15">
      <c r="A114" s="26" t="s">
        <v>324</v>
      </c>
      <c r="B114" s="1" t="s">
        <v>53</v>
      </c>
      <c r="C114" s="1" t="s">
        <v>39</v>
      </c>
      <c r="D114" s="162">
        <v>46122</v>
      </c>
      <c r="E114" s="1" t="s">
        <v>241</v>
      </c>
      <c r="F114" s="232">
        <v>46100</v>
      </c>
      <c r="G114" s="163" t="s">
        <v>325</v>
      </c>
      <c r="H114" s="1" t="s">
        <v>144</v>
      </c>
      <c r="I114" s="190" t="s">
        <v>256</v>
      </c>
      <c r="J114" s="196" t="s">
        <v>253</v>
      </c>
      <c r="K114" s="27" cm="1">
        <f t="array" ref="K114">IF(OR($B114="",$F114=""),"",WORKDAY.INTL(IF(ISNUMBER($F114),$F114,FECHA.VALOR($F114)),IF(UPPER(TRIM($B114))="AUXILIAR DE COCINA",10,15),1,FESTIVOS!$A$3:$A$1000))</f>
        <v>46119</v>
      </c>
      <c r="L114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4" s="25" t="str">
        <f t="shared" si="9"/>
        <v>FUERA DE TIEMPO</v>
      </c>
    </row>
    <row r="115" spans="1:13" ht="15">
      <c r="A115" s="26" t="s">
        <v>326</v>
      </c>
      <c r="B115" s="1" t="s">
        <v>53</v>
      </c>
      <c r="C115" s="1" t="s">
        <v>39</v>
      </c>
      <c r="D115" s="162">
        <v>46122</v>
      </c>
      <c r="E115" s="1" t="s">
        <v>312</v>
      </c>
      <c r="F115" s="232">
        <v>46100</v>
      </c>
      <c r="G115" s="163" t="s">
        <v>312</v>
      </c>
      <c r="H115" s="1" t="s">
        <v>52</v>
      </c>
      <c r="I115" s="190" t="s">
        <v>256</v>
      </c>
      <c r="J115" s="196" t="s">
        <v>171</v>
      </c>
      <c r="K115" s="27" cm="1">
        <f t="array" ref="K115">IF(OR($B115="",$F115=""),"",WORKDAY.INTL(IF(ISNUMBER($F115),$F115,FECHA.VALOR($F115)),IF(UPPER(TRIM($B115))="AUXILIAR DE COCINA",10,15),1,FESTIVOS!$A$3:$A$1000))</f>
        <v>46119</v>
      </c>
      <c r="L115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5" s="25" t="str">
        <f t="shared" si="9"/>
        <v>FUERA DE TIEMPO</v>
      </c>
    </row>
    <row r="116" spans="1:13" ht="30">
      <c r="A116" s="26" t="s">
        <v>327</v>
      </c>
      <c r="B116" s="1" t="s">
        <v>53</v>
      </c>
      <c r="C116" s="1" t="s">
        <v>39</v>
      </c>
      <c r="D116" s="162">
        <v>46120</v>
      </c>
      <c r="E116" s="1" t="s">
        <v>304</v>
      </c>
      <c r="F116" s="232">
        <v>46101</v>
      </c>
      <c r="G116" s="163" t="s">
        <v>282</v>
      </c>
      <c r="H116" s="1" t="s">
        <v>328</v>
      </c>
      <c r="I116" s="190" t="s">
        <v>180</v>
      </c>
      <c r="J116" s="196" t="s">
        <v>329</v>
      </c>
      <c r="K116" s="27" cm="1">
        <f t="array" ref="K116">IF(OR($B116="",$F116=""),"",WORKDAY.INTL(IF(ISNUMBER($F116),$F116,FECHA.VALOR($F116)),IF(UPPER(TRIM($B116))="AUXILIAR DE COCINA",10,15),1,FESTIVOS!$A$3:$A$1000))</f>
        <v>46120</v>
      </c>
      <c r="L116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6" s="25" t="str">
        <f t="shared" si="9"/>
        <v>A TIEMPO</v>
      </c>
    </row>
    <row r="117" spans="1:13" ht="15">
      <c r="A117" s="26" t="s">
        <v>330</v>
      </c>
      <c r="B117" s="1" t="s">
        <v>53</v>
      </c>
      <c r="C117" s="1" t="s">
        <v>39</v>
      </c>
      <c r="D117" s="162">
        <v>46122</v>
      </c>
      <c r="E117" s="1" t="s">
        <v>238</v>
      </c>
      <c r="F117" s="232">
        <v>46101</v>
      </c>
      <c r="G117" s="163" t="s">
        <v>331</v>
      </c>
      <c r="H117" s="1" t="s">
        <v>332</v>
      </c>
      <c r="I117" s="190" t="s">
        <v>180</v>
      </c>
      <c r="J117" s="196" t="s">
        <v>171</v>
      </c>
      <c r="K117" s="27" cm="1">
        <f t="array" ref="K117">IF(OR($B117="",$F117=""),"",WORKDAY.INTL(IF(ISNUMBER($F117),$F117,FECHA.VALOR($F117)),IF(UPPER(TRIM($B117))="AUXILIAR DE COCINA",10,15),1,FESTIVOS!$A$3:$A$1000))</f>
        <v>46120</v>
      </c>
      <c r="L117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7" s="25" t="str">
        <f t="shared" si="9"/>
        <v>FUERA DE TIEMPO</v>
      </c>
    </row>
    <row r="118" spans="1:13" ht="15">
      <c r="A118" s="26" t="s">
        <v>333</v>
      </c>
      <c r="B118" s="1" t="s">
        <v>53</v>
      </c>
      <c r="C118" s="1" t="s">
        <v>39</v>
      </c>
      <c r="D118" s="162">
        <v>46123</v>
      </c>
      <c r="E118" s="1" t="s">
        <v>262</v>
      </c>
      <c r="F118" s="232">
        <v>46108</v>
      </c>
      <c r="G118" s="163" t="s">
        <v>149</v>
      </c>
      <c r="H118" s="1" t="s">
        <v>334</v>
      </c>
      <c r="I118" s="190" t="s">
        <v>177</v>
      </c>
      <c r="J118" s="196" t="s">
        <v>171</v>
      </c>
      <c r="K118" s="27" cm="1">
        <f t="array" ref="K118">IF(OR($B118="",$F118=""),"",WORKDAY.INTL(IF(ISNUMBER($F118),$F118,FECHA.VALOR($F118)),IF(UPPER(TRIM($B118))="AUXILIAR DE COCINA",10,15),1,FESTIVOS!$A$3:$A$1000))</f>
        <v>46126</v>
      </c>
      <c r="L118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8" s="25" t="str">
        <f t="shared" si="9"/>
        <v>A TIEMPO</v>
      </c>
    </row>
    <row r="119" spans="1:13" ht="15">
      <c r="A119" s="26" t="s">
        <v>335</v>
      </c>
      <c r="B119" s="1" t="s">
        <v>53</v>
      </c>
      <c r="C119" s="1" t="s">
        <v>39</v>
      </c>
      <c r="D119" s="162">
        <v>46122</v>
      </c>
      <c r="E119" s="1" t="s">
        <v>262</v>
      </c>
      <c r="F119" s="232">
        <v>46108</v>
      </c>
      <c r="G119" s="163" t="s">
        <v>149</v>
      </c>
      <c r="H119" s="1" t="s">
        <v>336</v>
      </c>
      <c r="I119" s="190" t="s">
        <v>280</v>
      </c>
      <c r="J119" s="196" t="s">
        <v>171</v>
      </c>
      <c r="K119" s="27" cm="1">
        <f t="array" ref="K119">IF(OR($B119="",$F119=""),"",WORKDAY.INTL(IF(ISNUMBER($F119),$F119,FECHA.VALOR($F119)),IF(UPPER(TRIM($B119))="AUXILIAR DE COCINA",10,15),1,FESTIVOS!$A$3:$A$1000))</f>
        <v>46126</v>
      </c>
      <c r="L119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19" s="25" t="str">
        <f t="shared" si="9"/>
        <v>A TIEMPO</v>
      </c>
    </row>
    <row r="120" spans="1:13" ht="15">
      <c r="A120" s="26" t="s">
        <v>337</v>
      </c>
      <c r="B120" s="1" t="s">
        <v>53</v>
      </c>
      <c r="C120" s="1" t="s">
        <v>39</v>
      </c>
      <c r="D120" s="162">
        <v>45762</v>
      </c>
      <c r="E120" s="1" t="s">
        <v>276</v>
      </c>
      <c r="F120" s="232">
        <v>46111</v>
      </c>
      <c r="G120" s="163" t="s">
        <v>68</v>
      </c>
      <c r="H120" s="1" t="s">
        <v>338</v>
      </c>
      <c r="I120" s="190" t="s">
        <v>180</v>
      </c>
      <c r="J120" s="196" t="s">
        <v>171</v>
      </c>
      <c r="K120" s="27" cm="1">
        <f t="array" ref="K120">IF(OR($B120="",$F120=""),"",WORKDAY.INTL(IF(ISNUMBER($F120),$F120,FECHA.VALOR($F120)),IF(UPPER(TRIM($B120))="AUXILIAR DE COCINA",10,15),1,FESTIVOS!$A$3:$A$1000))</f>
        <v>46127</v>
      </c>
      <c r="L120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20" s="25" t="str">
        <f t="shared" si="9"/>
        <v>PENDIENTE</v>
      </c>
    </row>
    <row r="121" spans="1:13" ht="15">
      <c r="A121" s="26" t="s">
        <v>339</v>
      </c>
      <c r="B121" s="1" t="s">
        <v>53</v>
      </c>
      <c r="C121" s="1" t="s">
        <v>39</v>
      </c>
      <c r="D121" s="162">
        <v>46127</v>
      </c>
      <c r="E121" s="1" t="s">
        <v>276</v>
      </c>
      <c r="F121" s="232">
        <v>46112</v>
      </c>
      <c r="G121" s="163" t="s">
        <v>318</v>
      </c>
      <c r="H121" s="1" t="s">
        <v>340</v>
      </c>
      <c r="I121" s="190" t="s">
        <v>270</v>
      </c>
      <c r="J121" s="196" t="s">
        <v>171</v>
      </c>
      <c r="K121" s="27" cm="1">
        <f t="array" ref="K121">IF(OR($B121="",$F121=""),"",WORKDAY.INTL(IF(ISNUMBER($F121),$F121,FECHA.VALOR($F121)),IF(UPPER(TRIM($B121))="AUXILIAR DE COCINA",10,15),1,FESTIVOS!$A$3:$A$1000))</f>
        <v>46128</v>
      </c>
      <c r="L121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21" s="25" t="str">
        <f t="shared" si="9"/>
        <v>A TIEMPO</v>
      </c>
    </row>
    <row r="122" spans="1:13" ht="15">
      <c r="A122" s="26" t="s">
        <v>341</v>
      </c>
      <c r="B122" s="1" t="s">
        <v>53</v>
      </c>
      <c r="C122" s="1" t="s">
        <v>39</v>
      </c>
      <c r="D122" s="162">
        <v>46127</v>
      </c>
      <c r="E122" s="1" t="s">
        <v>238</v>
      </c>
      <c r="F122" s="331">
        <v>46113</v>
      </c>
      <c r="G122" s="163" t="s">
        <v>323</v>
      </c>
      <c r="H122" s="1" t="s">
        <v>342</v>
      </c>
      <c r="I122" s="190" t="s">
        <v>256</v>
      </c>
      <c r="J122" s="196" t="s">
        <v>171</v>
      </c>
      <c r="K122" s="27">
        <v>46129</v>
      </c>
      <c r="L122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22" s="25" t="e">
        <f>IF($F122="","",IF(OR($D122="",$D122&lt;#REF!),"PENDIENTE",IF($D122&lt;=$F122,"A TIEMPO","FUERA DE TIEMPO")))</f>
        <v>#REF!</v>
      </c>
    </row>
    <row r="123" spans="1:13" ht="15">
      <c r="A123" s="26" t="s">
        <v>343</v>
      </c>
      <c r="B123" s="1" t="s">
        <v>53</v>
      </c>
      <c r="C123" s="1" t="s">
        <v>39</v>
      </c>
      <c r="D123" s="162">
        <v>46127</v>
      </c>
      <c r="E123" s="1" t="s">
        <v>276</v>
      </c>
      <c r="F123" s="331">
        <v>46115</v>
      </c>
      <c r="G123" s="163" t="s">
        <v>344</v>
      </c>
      <c r="H123" s="1" t="s">
        <v>345</v>
      </c>
      <c r="I123" s="190" t="s">
        <v>256</v>
      </c>
      <c r="J123" s="196" t="s">
        <v>287</v>
      </c>
      <c r="K123" s="27">
        <v>46129</v>
      </c>
      <c r="L123" s="77">
        <f>IF($F205="","",DATE(
    YEAR(EDATE($F205,IF(DAY($F205)&gt;=IF(UPPER(TRIM($B205))="AUXILIAR DE COCINA",17,11),1,0))),
    MONTH(EDATE($F205,IF(DAY($F205)&gt;=IF(UPPER(TRIM($B205))="AUXILIAR DE COCINA",17,11),1,0))),
    1
))</f>
        <v>46054</v>
      </c>
      <c r="M123" s="25" t="e">
        <f>IF($F123="","",IF(OR($D123="",$D123&lt;#REF!),"PENDIENTE",IF($D123&lt;=$F123,"A TIEMPO","FUERA DE TIEMPO")))</f>
        <v>#REF!</v>
      </c>
    </row>
    <row r="124" spans="1:13" ht="15">
      <c r="A124" s="26" t="s">
        <v>346</v>
      </c>
      <c r="B124" s="1" t="s">
        <v>53</v>
      </c>
      <c r="C124" s="1" t="s">
        <v>39</v>
      </c>
      <c r="D124" s="162">
        <v>46127</v>
      </c>
      <c r="E124" s="1" t="s">
        <v>241</v>
      </c>
      <c r="F124" s="331">
        <v>46118</v>
      </c>
      <c r="G124" s="163" t="s">
        <v>347</v>
      </c>
      <c r="H124" s="1" t="s">
        <v>348</v>
      </c>
      <c r="I124" s="190" t="s">
        <v>256</v>
      </c>
      <c r="J124" s="196" t="s">
        <v>171</v>
      </c>
      <c r="K124" s="27">
        <v>46132</v>
      </c>
      <c r="L124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24" s="25" t="e">
        <f>IF($F124="","",IF(OR($D124="",$D124&lt;#REF!),"PENDIENTE",IF($D124&lt;=$F124,"A TIEMPO","FUERA DE TIEMPO")))</f>
        <v>#REF!</v>
      </c>
    </row>
    <row r="125" spans="1:13" ht="15">
      <c r="A125" s="26" t="s">
        <v>349</v>
      </c>
      <c r="B125" s="1" t="s">
        <v>53</v>
      </c>
      <c r="C125" s="1" t="s">
        <v>39</v>
      </c>
      <c r="D125" s="162">
        <v>46127</v>
      </c>
      <c r="E125" s="1" t="s">
        <v>350</v>
      </c>
      <c r="F125" s="331">
        <v>46121</v>
      </c>
      <c r="G125" s="163" t="s">
        <v>45</v>
      </c>
      <c r="H125" s="1" t="s">
        <v>351</v>
      </c>
      <c r="I125" s="190" t="s">
        <v>280</v>
      </c>
      <c r="J125" s="196" t="s">
        <v>171</v>
      </c>
      <c r="K125" s="27">
        <v>46132</v>
      </c>
      <c r="L125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25" s="25" t="e">
        <f>IF($F125="","",IF(OR($D125="",$D125&lt;#REF!),"PENDIENTE",IF($D125&lt;=$F125,"A TIEMPO","FUERA DE TIEMPO")))</f>
        <v>#REF!</v>
      </c>
    </row>
    <row r="126" spans="1:13" ht="15">
      <c r="A126" s="26" t="s">
        <v>352</v>
      </c>
      <c r="B126" s="1" t="s">
        <v>53</v>
      </c>
      <c r="C126" s="1" t="s">
        <v>39</v>
      </c>
      <c r="D126" s="162">
        <v>46133</v>
      </c>
      <c r="E126" s="1" t="s">
        <v>250</v>
      </c>
      <c r="F126" s="232">
        <v>46121</v>
      </c>
      <c r="G126" s="163" t="s">
        <v>68</v>
      </c>
      <c r="H126" s="1" t="s">
        <v>353</v>
      </c>
      <c r="I126" s="190" t="s">
        <v>256</v>
      </c>
      <c r="J126" s="196" t="s">
        <v>171</v>
      </c>
      <c r="K126" s="27" cm="1">
        <f t="array" ref="K126">IF(OR($B126="",$F126=""),"",WORKDAY.INTL(IF(ISNUMBER($F126),$F126,FECHA.VALOR($F126)),IF(UPPER(TRIM($B126))="AUXILIAR DE COCINA",10,15),1,FESTIVOS!$A$3:$A$1000))</f>
        <v>46135</v>
      </c>
      <c r="L126" s="77">
        <f t="shared" ref="L126:L137" si="10">IF($F127="","",DATE(
    YEAR(EDATE($F127,IF(DAY($F127)&gt;=IF(UPPER(TRIM($B127))="AUXILIAR DE COCINA",17,11),1,0))),
    MONTH(EDATE($F127,IF(DAY($F127)&gt;=IF(UPPER(TRIM($B127))="AUXILIAR DE COCINA",17,11),1,0))),
    1
))</f>
        <v>46113</v>
      </c>
      <c r="M126" s="25" t="str">
        <f t="shared" ref="M126:M146" si="11">IF($K126="","",IF(OR($D126="",$D126&lt;$F126),"PENDIENTE",IF($D126&lt;=$K126,"A TIEMPO","FUERA DE TIEMPO")))</f>
        <v>A TIEMPO</v>
      </c>
    </row>
    <row r="127" spans="1:13" ht="15">
      <c r="A127" s="26" t="s">
        <v>354</v>
      </c>
      <c r="B127" s="1" t="s">
        <v>53</v>
      </c>
      <c r="C127" s="1" t="s">
        <v>39</v>
      </c>
      <c r="D127" s="162">
        <v>46132</v>
      </c>
      <c r="E127" s="1" t="s">
        <v>240</v>
      </c>
      <c r="F127" s="232">
        <v>46121</v>
      </c>
      <c r="G127" s="163" t="s">
        <v>111</v>
      </c>
      <c r="H127" s="1" t="s">
        <v>355</v>
      </c>
      <c r="I127" s="190" t="s">
        <v>180</v>
      </c>
      <c r="J127" s="196" t="s">
        <v>253</v>
      </c>
      <c r="K127" s="27" cm="1">
        <f t="array" ref="K127">IF(OR($B127="",$F127=""),"",WORKDAY.INTL(IF(ISNUMBER($F127),$F127,FECHA.VALOR($F127)),IF(UPPER(TRIM($B127))="AUXILIAR DE COCINA",10,15),1,FESTIVOS!$A$3:$A$1000))</f>
        <v>46135</v>
      </c>
      <c r="L127" s="77">
        <f t="shared" si="10"/>
        <v>46113</v>
      </c>
      <c r="M127" s="25" t="str">
        <f t="shared" si="11"/>
        <v>A TIEMPO</v>
      </c>
    </row>
    <row r="128" spans="1:13" ht="15">
      <c r="A128" s="26" t="s">
        <v>356</v>
      </c>
      <c r="B128" s="1" t="s">
        <v>53</v>
      </c>
      <c r="C128" s="1" t="s">
        <v>39</v>
      </c>
      <c r="D128" s="162">
        <v>46128</v>
      </c>
      <c r="E128" s="1" t="s">
        <v>241</v>
      </c>
      <c r="F128" s="232">
        <v>46121</v>
      </c>
      <c r="G128" s="163" t="s">
        <v>299</v>
      </c>
      <c r="H128" s="1" t="s">
        <v>357</v>
      </c>
      <c r="I128" s="190" t="s">
        <v>267</v>
      </c>
      <c r="J128" s="196" t="s">
        <v>253</v>
      </c>
      <c r="K128" s="27" cm="1">
        <f t="array" ref="K128">IF(OR($B128="",$F128=""),"",WORKDAY.INTL(IF(ISNUMBER($F128),$F128,FECHA.VALOR($F128)),IF(UPPER(TRIM($B128))="AUXILIAR DE COCINA",10,15),1,FESTIVOS!$A$3:$A$1000))</f>
        <v>46135</v>
      </c>
      <c r="L128" s="77">
        <f t="shared" si="10"/>
        <v>46113</v>
      </c>
      <c r="M128" s="25" t="str">
        <f t="shared" si="11"/>
        <v>A TIEMPO</v>
      </c>
    </row>
    <row r="129" spans="1:13" ht="15">
      <c r="A129" s="26" t="s">
        <v>358</v>
      </c>
      <c r="B129" s="1" t="s">
        <v>53</v>
      </c>
      <c r="C129" s="1" t="s">
        <v>39</v>
      </c>
      <c r="D129" s="162">
        <v>46128</v>
      </c>
      <c r="E129" s="1" t="s">
        <v>350</v>
      </c>
      <c r="F129" s="232">
        <v>46121</v>
      </c>
      <c r="G129" s="163" t="s">
        <v>312</v>
      </c>
      <c r="H129" s="1" t="s">
        <v>359</v>
      </c>
      <c r="I129" s="190" t="s">
        <v>180</v>
      </c>
      <c r="J129" s="196" t="s">
        <v>171</v>
      </c>
      <c r="K129" s="27" cm="1">
        <f t="array" ref="K129">IF(OR($B129="",$F129=""),"",WORKDAY.INTL(IF(ISNUMBER($F129),$F129,FECHA.VALOR($F129)),IF(UPPER(TRIM($B129))="AUXILIAR DE COCINA",10,15),1,FESTIVOS!$A$3:$A$1000))</f>
        <v>46135</v>
      </c>
      <c r="L129" s="77">
        <f t="shared" si="10"/>
        <v>46113</v>
      </c>
      <c r="M129" s="25" t="str">
        <f t="shared" si="11"/>
        <v>A TIEMPO</v>
      </c>
    </row>
    <row r="130" spans="1:13" ht="15">
      <c r="A130" s="26" t="s">
        <v>360</v>
      </c>
      <c r="B130" s="1" t="s">
        <v>53</v>
      </c>
      <c r="C130" s="1" t="s">
        <v>39</v>
      </c>
      <c r="D130" s="162">
        <v>46127</v>
      </c>
      <c r="E130" s="1" t="s">
        <v>350</v>
      </c>
      <c r="F130" s="232">
        <v>46123</v>
      </c>
      <c r="G130" s="163" t="s">
        <v>312</v>
      </c>
      <c r="H130" s="1" t="s">
        <v>361</v>
      </c>
      <c r="I130" s="190" t="s">
        <v>180</v>
      </c>
      <c r="J130" s="196" t="s">
        <v>253</v>
      </c>
      <c r="K130" s="27" cm="1">
        <f t="array" ref="K130">IF(OR($B130="",$F130=""),"",WORKDAY.INTL(IF(ISNUMBER($F130),$F130,FECHA.VALOR($F130)),IF(UPPER(TRIM($B130))="AUXILIAR DE COCINA",10,15),1,FESTIVOS!$A$3:$A$1000))</f>
        <v>46136</v>
      </c>
      <c r="L130" s="77">
        <f t="shared" si="10"/>
        <v>46113</v>
      </c>
      <c r="M130" s="25" t="str">
        <f t="shared" si="11"/>
        <v>A TIEMPO</v>
      </c>
    </row>
    <row r="131" spans="1:13" ht="15">
      <c r="A131" s="26" t="s">
        <v>362</v>
      </c>
      <c r="B131" s="1" t="s">
        <v>53</v>
      </c>
      <c r="C131" s="1" t="s">
        <v>39</v>
      </c>
      <c r="D131" s="162">
        <v>46128</v>
      </c>
      <c r="E131" s="1" t="s">
        <v>40</v>
      </c>
      <c r="F131" s="232">
        <v>46123</v>
      </c>
      <c r="G131" s="163" t="s">
        <v>363</v>
      </c>
      <c r="H131" s="1" t="s">
        <v>227</v>
      </c>
      <c r="I131" s="190" t="s">
        <v>180</v>
      </c>
      <c r="J131" s="196" t="s">
        <v>171</v>
      </c>
      <c r="K131" s="27" cm="1">
        <f t="array" ref="K131">IF(OR($B131="",$F131=""),"",WORKDAY.INTL(IF(ISNUMBER($F131),$F131,FECHA.VALOR($F131)),IF(UPPER(TRIM($B131))="AUXILIAR DE COCINA",10,15),1,FESTIVOS!$A$3:$A$1000))</f>
        <v>46136</v>
      </c>
      <c r="L131" s="77">
        <f t="shared" si="10"/>
        <v>46113</v>
      </c>
      <c r="M131" s="25" t="str">
        <f t="shared" si="11"/>
        <v>A TIEMPO</v>
      </c>
    </row>
    <row r="132" spans="1:13" ht="15">
      <c r="A132" s="26" t="s">
        <v>364</v>
      </c>
      <c r="B132" s="1" t="s">
        <v>53</v>
      </c>
      <c r="C132" s="1" t="s">
        <v>39</v>
      </c>
      <c r="D132" s="162">
        <v>46128</v>
      </c>
      <c r="E132" s="1" t="s">
        <v>304</v>
      </c>
      <c r="F132" s="232">
        <v>46123</v>
      </c>
      <c r="G132" s="163" t="s">
        <v>305</v>
      </c>
      <c r="H132" s="1" t="s">
        <v>306</v>
      </c>
      <c r="I132" s="190" t="s">
        <v>180</v>
      </c>
      <c r="J132" s="196" t="s">
        <v>365</v>
      </c>
      <c r="K132" s="27" cm="1">
        <f t="array" ref="K132">IF(OR($B132="",$F132=""),"",WORKDAY.INTL(IF(ISNUMBER($F132),$F132,FECHA.VALOR($F132)),IF(UPPER(TRIM($B132))="AUXILIAR DE COCINA",10,15),1,FESTIVOS!$A$3:$A$1000))</f>
        <v>46136</v>
      </c>
      <c r="L132" s="77">
        <f t="shared" si="10"/>
        <v>46113</v>
      </c>
      <c r="M132" s="25" t="str">
        <f t="shared" si="11"/>
        <v>A TIEMPO</v>
      </c>
    </row>
    <row r="133" spans="1:13" ht="15">
      <c r="A133" s="26" t="s">
        <v>366</v>
      </c>
      <c r="B133" s="1" t="s">
        <v>53</v>
      </c>
      <c r="C133" s="1" t="s">
        <v>39</v>
      </c>
      <c r="D133" s="162">
        <v>46133</v>
      </c>
      <c r="E133" s="1" t="s">
        <v>240</v>
      </c>
      <c r="F133" s="232">
        <v>46123</v>
      </c>
      <c r="G133" s="163" t="s">
        <v>79</v>
      </c>
      <c r="H133" s="1" t="s">
        <v>190</v>
      </c>
      <c r="I133" s="190" t="s">
        <v>256</v>
      </c>
      <c r="J133" s="196" t="s">
        <v>171</v>
      </c>
      <c r="K133" s="27" cm="1">
        <f t="array" ref="K133">IF(OR($B133="",$F133=""),"",WORKDAY.INTL(IF(ISNUMBER($F133),$F133,FECHA.VALOR($F133)),IF(UPPER(TRIM($B133))="AUXILIAR DE COCINA",10,15),1,FESTIVOS!$A$3:$A$1000))</f>
        <v>46136</v>
      </c>
      <c r="L133" s="77">
        <f t="shared" si="10"/>
        <v>46113</v>
      </c>
      <c r="M133" s="25" t="str">
        <f t="shared" si="11"/>
        <v>A TIEMPO</v>
      </c>
    </row>
    <row r="134" spans="1:13" ht="15">
      <c r="A134" s="26" t="s">
        <v>367</v>
      </c>
      <c r="B134" s="1" t="s">
        <v>53</v>
      </c>
      <c r="C134" s="1" t="s">
        <v>39</v>
      </c>
      <c r="D134" s="162">
        <v>46134</v>
      </c>
      <c r="E134" s="1" t="s">
        <v>250</v>
      </c>
      <c r="F134" s="232">
        <v>46127</v>
      </c>
      <c r="G134" s="163" t="s">
        <v>368</v>
      </c>
      <c r="H134" s="1" t="s">
        <v>369</v>
      </c>
      <c r="I134" s="190" t="s">
        <v>280</v>
      </c>
      <c r="J134" s="196" t="s">
        <v>171</v>
      </c>
      <c r="K134" s="27" cm="1">
        <f t="array" ref="K134">IF(OR($B134="",$F134=""),"",WORKDAY.INTL(IF(ISNUMBER($F134),$F134,FECHA.VALOR($F134)),IF(UPPER(TRIM($B134))="AUXILIAR DE COCINA",10,15),1,FESTIVOS!$A$3:$A$1000))</f>
        <v>46141</v>
      </c>
      <c r="L134" s="77">
        <f t="shared" si="10"/>
        <v>46113</v>
      </c>
      <c r="M134" s="25" t="str">
        <f t="shared" si="11"/>
        <v>A TIEMPO</v>
      </c>
    </row>
    <row r="135" spans="1:13" ht="15">
      <c r="A135" s="26" t="s">
        <v>370</v>
      </c>
      <c r="B135" s="1" t="s">
        <v>53</v>
      </c>
      <c r="C135" s="1" t="s">
        <v>39</v>
      </c>
      <c r="D135" s="162">
        <v>46134</v>
      </c>
      <c r="E135" s="1" t="s">
        <v>276</v>
      </c>
      <c r="F135" s="232">
        <v>46128</v>
      </c>
      <c r="G135" s="163" t="s">
        <v>68</v>
      </c>
      <c r="H135" s="1" t="s">
        <v>371</v>
      </c>
      <c r="I135" s="190" t="s">
        <v>180</v>
      </c>
      <c r="J135" s="196" t="s">
        <v>171</v>
      </c>
      <c r="K135" s="27" cm="1">
        <f t="array" ref="K135">IF(OR($B135="",$F135=""),"",WORKDAY.INTL(IF(ISNUMBER($F135),$F135,FECHA.VALOR($F135)),IF(UPPER(TRIM($B135))="AUXILIAR DE COCINA",10,15),1,FESTIVOS!$A$3:$A$1000))</f>
        <v>46142</v>
      </c>
      <c r="L135" s="77">
        <f t="shared" si="10"/>
        <v>46113</v>
      </c>
      <c r="M135" s="25" t="str">
        <f t="shared" si="11"/>
        <v>A TIEMPO</v>
      </c>
    </row>
    <row r="136" spans="1:13" ht="15">
      <c r="A136" s="26" t="s">
        <v>372</v>
      </c>
      <c r="B136" s="1" t="s">
        <v>53</v>
      </c>
      <c r="C136" s="1" t="s">
        <v>39</v>
      </c>
      <c r="D136" s="162">
        <v>46135</v>
      </c>
      <c r="E136" s="1" t="s">
        <v>304</v>
      </c>
      <c r="F136" s="232">
        <v>46128</v>
      </c>
      <c r="G136" s="163" t="s">
        <v>305</v>
      </c>
      <c r="H136" s="1" t="s">
        <v>373</v>
      </c>
      <c r="I136" s="190" t="s">
        <v>180</v>
      </c>
      <c r="J136" s="196" t="s">
        <v>171</v>
      </c>
      <c r="K136" s="27" cm="1">
        <f t="array" ref="K136">IF(OR($B136="",$F136=""),"",WORKDAY.INTL(IF(ISNUMBER($F136),$F136,FECHA.VALOR($F136)),IF(UPPER(TRIM($B136))="AUXILIAR DE COCINA",10,15),1,FESTIVOS!$A$3:$A$1000))</f>
        <v>46142</v>
      </c>
      <c r="L136" s="77">
        <f t="shared" si="10"/>
        <v>46113</v>
      </c>
      <c r="M136" s="25" t="str">
        <f t="shared" si="11"/>
        <v>A TIEMPO</v>
      </c>
    </row>
    <row r="137" spans="1:13" ht="15">
      <c r="A137" s="26" t="s">
        <v>374</v>
      </c>
      <c r="B137" s="1" t="s">
        <v>53</v>
      </c>
      <c r="C137" s="1" t="s">
        <v>39</v>
      </c>
      <c r="D137" s="162">
        <v>46135</v>
      </c>
      <c r="E137" s="1" t="s">
        <v>240</v>
      </c>
      <c r="F137" s="232">
        <v>46128</v>
      </c>
      <c r="G137" s="163" t="s">
        <v>129</v>
      </c>
      <c r="H137" s="1" t="s">
        <v>375</v>
      </c>
      <c r="I137" s="190" t="s">
        <v>180</v>
      </c>
      <c r="J137" s="196" t="s">
        <v>287</v>
      </c>
      <c r="K137" s="27" cm="1">
        <f t="array" ref="K137">IF(OR($B137="",$F137=""),"",WORKDAY.INTL(IF(ISNUMBER($F137),$F137,FECHA.VALOR($F137)),IF(UPPER(TRIM($B137))="AUXILIAR DE COCINA",10,15),1,FESTIVOS!$A$3:$A$1000))</f>
        <v>46142</v>
      </c>
      <c r="L137" s="77">
        <f t="shared" si="10"/>
        <v>46113</v>
      </c>
      <c r="M137" s="25" t="str">
        <f t="shared" si="11"/>
        <v>A TIEMPO</v>
      </c>
    </row>
    <row r="138" spans="1:13" ht="15">
      <c r="A138" s="26" t="s">
        <v>376</v>
      </c>
      <c r="B138" s="1" t="s">
        <v>53</v>
      </c>
      <c r="C138" s="1" t="s">
        <v>39</v>
      </c>
      <c r="D138" s="162">
        <v>46135</v>
      </c>
      <c r="E138" s="1" t="s">
        <v>40</v>
      </c>
      <c r="F138" s="232">
        <v>46128</v>
      </c>
      <c r="G138" s="163" t="s">
        <v>111</v>
      </c>
      <c r="H138" s="1" t="s">
        <v>377</v>
      </c>
      <c r="I138" s="190" t="s">
        <v>378</v>
      </c>
      <c r="J138" s="196" t="s">
        <v>171</v>
      </c>
      <c r="K138" s="27" cm="1">
        <f t="array" ref="K138">IF(OR($B138="",$F138=""),"",WORKDAY.INTL(IF(ISNUMBER($F138),$F138,FECHA.VALOR($F138)),IF(UPPER(TRIM($B138))="AUXILIAR DE COCINA",10,15),1,FESTIVOS!$A$3:$A$1000))</f>
        <v>46142</v>
      </c>
      <c r="L138" s="77">
        <f>IF($F152="","",DATE(
    YEAR(EDATE($F152,IF(DAY($F152)&gt;=IF(UPPER(TRIM($B152))="AUXILIAR DE COCINA",17,11),1,0))),
    MONTH(EDATE($F152,IF(DAY($F152)&gt;=IF(UPPER(TRIM($B152))="AUXILIAR DE COCINA",17,11),1,0))),
    1
))</f>
        <v>46143</v>
      </c>
      <c r="M138" s="25" t="str">
        <f t="shared" si="11"/>
        <v>A TIEMPO</v>
      </c>
    </row>
    <row r="139" spans="1:13" ht="15">
      <c r="A139" s="26" t="s">
        <v>379</v>
      </c>
      <c r="B139" s="1" t="s">
        <v>53</v>
      </c>
      <c r="C139" s="1" t="s">
        <v>39</v>
      </c>
      <c r="D139" s="162">
        <v>46136</v>
      </c>
      <c r="E139" s="1" t="s">
        <v>304</v>
      </c>
      <c r="F139" s="232">
        <v>46139</v>
      </c>
      <c r="G139" s="163" t="s">
        <v>305</v>
      </c>
      <c r="H139" s="1" t="s">
        <v>306</v>
      </c>
      <c r="I139" s="190" t="s">
        <v>256</v>
      </c>
      <c r="J139" s="196" t="s">
        <v>171</v>
      </c>
      <c r="K139" s="27" cm="1">
        <f t="array" ref="K139">IF(OR($B139="",$F139=""),"",WORKDAY.INTL(IF(ISNUMBER($F139),$F139,FECHA.VALOR($F139)),IF(UPPER(TRIM($B139))="AUXILIAR DE COCINA",10,15),1,FESTIVOS!$A$3:$A$1000))</f>
        <v>46154</v>
      </c>
      <c r="L139" s="77">
        <f>IF($F140="","",DATE(
    YEAR(EDATE($F140,IF(DAY($F140)&gt;=IF(UPPER(TRIM($B140))="AUXILIAR DE COCINA",17,11),1,0))),
    MONTH(EDATE($F140,IF(DAY($F140)&gt;=IF(UPPER(TRIM($B140))="AUXILIAR DE COCINA",17,11),1,0))),
    1
))</f>
        <v>46143</v>
      </c>
      <c r="M139" s="25" t="str">
        <f t="shared" si="11"/>
        <v>PENDIENTE</v>
      </c>
    </row>
    <row r="140" spans="1:13" ht="15">
      <c r="A140" s="26" t="s">
        <v>380</v>
      </c>
      <c r="B140" s="1" t="s">
        <v>53</v>
      </c>
      <c r="C140" s="1" t="s">
        <v>39</v>
      </c>
      <c r="D140" s="162">
        <v>46141</v>
      </c>
      <c r="E140" s="1" t="s">
        <v>250</v>
      </c>
      <c r="F140" s="232">
        <v>46146</v>
      </c>
      <c r="G140" s="163" t="s">
        <v>368</v>
      </c>
      <c r="H140" s="1" t="s">
        <v>73</v>
      </c>
      <c r="I140" s="190" t="s">
        <v>256</v>
      </c>
      <c r="J140" s="196" t="s">
        <v>381</v>
      </c>
      <c r="K140" s="27" cm="1">
        <f t="array" ref="K140">IF(OR($B140="",$F140=""),"",WORKDAY.INTL(IF(ISNUMBER($F140),$F140,FECHA.VALOR($F140)),IF(UPPER(TRIM($B140))="AUXILIAR DE COCINA",10,15),1,FESTIVOS!$A$3:$A$1000))</f>
        <v>46161</v>
      </c>
      <c r="L140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40" s="25" t="str">
        <f t="shared" si="11"/>
        <v>PENDIENTE</v>
      </c>
    </row>
    <row r="141" spans="1:13" ht="15">
      <c r="A141" s="26" t="s">
        <v>382</v>
      </c>
      <c r="B141" s="1" t="s">
        <v>53</v>
      </c>
      <c r="C141" s="1" t="s">
        <v>39</v>
      </c>
      <c r="D141" s="162">
        <v>46141</v>
      </c>
      <c r="E141" s="1" t="s">
        <v>238</v>
      </c>
      <c r="F141" s="232">
        <v>46147</v>
      </c>
      <c r="G141" s="163" t="s">
        <v>383</v>
      </c>
      <c r="H141" s="1" t="s">
        <v>384</v>
      </c>
      <c r="I141" s="190" t="s">
        <v>180</v>
      </c>
      <c r="J141" s="196" t="s">
        <v>171</v>
      </c>
      <c r="K141" s="27" cm="1">
        <f t="array" ref="K141">IF(OR($B141="",$F141=""),"",WORKDAY.INTL(IF(ISNUMBER($F141),$F141,FECHA.VALOR($F141)),IF(UPPER(TRIM($B141))="AUXILIAR DE COCINA",10,15),1,FESTIVOS!$A$3:$A$1000))</f>
        <v>46162</v>
      </c>
      <c r="L141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41" s="25" t="str">
        <f t="shared" si="11"/>
        <v>PENDIENTE</v>
      </c>
    </row>
    <row r="142" spans="1:13" ht="15">
      <c r="A142" s="26" t="s">
        <v>385</v>
      </c>
      <c r="B142" s="1" t="s">
        <v>53</v>
      </c>
      <c r="C142" s="1" t="s">
        <v>39</v>
      </c>
      <c r="D142" s="162">
        <v>46141</v>
      </c>
      <c r="E142" s="1" t="s">
        <v>304</v>
      </c>
      <c r="F142" s="232">
        <v>46147</v>
      </c>
      <c r="G142" s="163" t="s">
        <v>68</v>
      </c>
      <c r="H142" s="1" t="s">
        <v>386</v>
      </c>
      <c r="I142" s="190" t="s">
        <v>180</v>
      </c>
      <c r="J142" s="196" t="s">
        <v>171</v>
      </c>
      <c r="K142" s="27" cm="1">
        <f t="array" ref="K142">IF(OR($B142="",$F142=""),"",WORKDAY.INTL(IF(ISNUMBER($F142),$F142,FECHA.VALOR($F142)),IF(UPPER(TRIM($B142))="AUXILIAR DE COCINA",10,15),1,FESTIVOS!$A$3:$A$1000))</f>
        <v>46162</v>
      </c>
      <c r="L142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42" s="25" t="str">
        <f t="shared" si="11"/>
        <v>PENDIENTE</v>
      </c>
    </row>
    <row r="143" spans="1:13" ht="15">
      <c r="A143" s="26" t="s">
        <v>387</v>
      </c>
      <c r="B143" s="1" t="s">
        <v>53</v>
      </c>
      <c r="C143" s="1" t="s">
        <v>39</v>
      </c>
      <c r="D143" s="162">
        <v>46141</v>
      </c>
      <c r="E143" s="1" t="s">
        <v>241</v>
      </c>
      <c r="F143" s="232">
        <v>46154</v>
      </c>
      <c r="G143" s="163" t="s">
        <v>388</v>
      </c>
      <c r="H143" s="1" t="s">
        <v>389</v>
      </c>
      <c r="I143" s="190" t="s">
        <v>256</v>
      </c>
      <c r="J143" s="196" t="s">
        <v>253</v>
      </c>
      <c r="K143" s="27" cm="1">
        <f t="array" ref="K143">IF(OR($B143="",$F143=""),"",WORKDAY.INTL(IF(ISNUMBER($F143),$F143,FECHA.VALOR($F143)),IF(UPPER(TRIM($B143))="AUXILIAR DE COCINA",10,15),1,FESTIVOS!$A$3:$A$1000))</f>
        <v>46169</v>
      </c>
      <c r="L143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43" s="25" t="str">
        <f t="shared" si="11"/>
        <v>PENDIENTE</v>
      </c>
    </row>
    <row r="144" spans="1:13" ht="15">
      <c r="A144" s="26" t="s">
        <v>390</v>
      </c>
      <c r="B144" s="1" t="s">
        <v>53</v>
      </c>
      <c r="C144" s="1" t="s">
        <v>39</v>
      </c>
      <c r="D144" s="162">
        <v>46147</v>
      </c>
      <c r="E144" s="1" t="s">
        <v>241</v>
      </c>
      <c r="F144" s="232">
        <v>46154</v>
      </c>
      <c r="G144" s="163" t="s">
        <v>323</v>
      </c>
      <c r="H144" s="1" t="s">
        <v>391</v>
      </c>
      <c r="I144" s="190" t="s">
        <v>180</v>
      </c>
      <c r="J144" s="196" t="s">
        <v>253</v>
      </c>
      <c r="K144" s="27" cm="1">
        <f t="array" ref="K144">IF(OR($B144="",$F144=""),"",WORKDAY.INTL(IF(ISNUMBER($F144),$F144,FECHA.VALOR($F144)),IF(UPPER(TRIM($B144))="AUXILIAR DE COCINA",10,15),1,FESTIVOS!$A$3:$A$1000))</f>
        <v>46169</v>
      </c>
      <c r="L144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44" s="25" t="str">
        <f t="shared" si="11"/>
        <v>PENDIENTE</v>
      </c>
    </row>
    <row r="145" spans="1:13" ht="15">
      <c r="A145" s="26" t="s">
        <v>392</v>
      </c>
      <c r="B145" s="1" t="s">
        <v>53</v>
      </c>
      <c r="C145" s="1" t="s">
        <v>39</v>
      </c>
      <c r="D145" s="162">
        <v>46148</v>
      </c>
      <c r="E145" s="1" t="s">
        <v>350</v>
      </c>
      <c r="F145" s="232">
        <v>46154</v>
      </c>
      <c r="G145" s="163" t="s">
        <v>323</v>
      </c>
      <c r="H145" s="1" t="s">
        <v>281</v>
      </c>
      <c r="I145" s="190" t="s">
        <v>256</v>
      </c>
      <c r="J145" s="196" t="s">
        <v>171</v>
      </c>
      <c r="K145" s="27" cm="1">
        <f t="array" ref="K145">IF(OR($B145="",$F145=""),"",WORKDAY.INTL(IF(ISNUMBER($F145),$F145,FECHA.VALOR($F145)),IF(UPPER(TRIM($B145))="AUXILIAR DE COCINA",10,15),1,FESTIVOS!$A$3:$A$1000))</f>
        <v>46169</v>
      </c>
      <c r="L145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145" s="25" t="str">
        <f t="shared" si="11"/>
        <v>PENDIENTE</v>
      </c>
    </row>
    <row r="146" spans="1:13" ht="15">
      <c r="A146" s="26" t="s">
        <v>393</v>
      </c>
      <c r="B146" s="1" t="s">
        <v>53</v>
      </c>
      <c r="C146" s="1" t="s">
        <v>39</v>
      </c>
      <c r="D146" s="162">
        <v>46148</v>
      </c>
      <c r="E146" s="1" t="s">
        <v>304</v>
      </c>
      <c r="F146" s="232">
        <v>46154</v>
      </c>
      <c r="G146" s="163" t="s">
        <v>41</v>
      </c>
      <c r="H146" s="1" t="s">
        <v>394</v>
      </c>
      <c r="I146" s="190" t="s">
        <v>180</v>
      </c>
      <c r="J146" s="196" t="s">
        <v>171</v>
      </c>
      <c r="K146" s="27" cm="1">
        <f t="array" ref="K146">IF(OR($B146="",$F146=""),"",WORKDAY.INTL(IF(ISNUMBER($F146),$F146,FECHA.VALOR($F146)),IF(UPPER(TRIM($B146))="AUXILIAR DE COCINA",10,15),1,FESTIVOS!$A$3:$A$1000))</f>
        <v>46169</v>
      </c>
      <c r="L146" s="77">
        <f>IF($F147="","",DATE(
    YEAR(EDATE($F147,IF(DAY($F147)&gt;=IF(UPPER(TRIM($B147))="AUXILIAR DE COCINA",17,11),1,0))),
    MONTH(EDATE($F147,IF(DAY($F147)&gt;=IF(UPPER(TRIM($B147))="AUXILIAR DE COCINA",17,11),1,0))),
    1
))</f>
        <v>46143</v>
      </c>
      <c r="M146" s="25" t="str">
        <f t="shared" si="11"/>
        <v>PENDIENTE</v>
      </c>
    </row>
    <row r="147" spans="1:13" ht="15">
      <c r="A147" s="26" t="s">
        <v>395</v>
      </c>
      <c r="B147" s="1" t="s">
        <v>53</v>
      </c>
      <c r="C147" s="1" t="s">
        <v>39</v>
      </c>
      <c r="D147" s="162">
        <v>46148</v>
      </c>
      <c r="E147" s="1" t="s">
        <v>238</v>
      </c>
      <c r="F147" s="232">
        <v>46154</v>
      </c>
      <c r="G147" s="163" t="s">
        <v>331</v>
      </c>
      <c r="H147" s="1" t="s">
        <v>396</v>
      </c>
      <c r="I147" s="190" t="s">
        <v>180</v>
      </c>
      <c r="J147" s="196" t="s">
        <v>171</v>
      </c>
      <c r="K147" s="27" cm="1">
        <f t="array" ref="K147">IF(OR($B147="",$F147=""),"",WORKDAY.INTL(IF(ISNUMBER($F147),$F147,FECHA.VALOR($F147)),IF(UPPER(TRIM($B147))="AUXILIAR DE COCINA",10,15),1,FESTIVOS!$A$3:$A$1000))</f>
        <v>46169</v>
      </c>
      <c r="L147" s="77">
        <f>IF($F171="","",DATE(
    YEAR(EDATE($F171,IF(DAY($F171)&gt;=IF(UPPER(TRIM($B171))="AUXILIAR DE COCINA",17,11),1,0))),
    MONTH(EDATE($F171,IF(DAY($F171)&gt;=IF(UPPER(TRIM($B171))="AUXILIAR DE COCINA",17,11),1,0))),
    1
))</f>
        <v>46204</v>
      </c>
      <c r="M147" s="25" t="str">
        <f>IF($K147="","",IF(OR($D148="",$D148&lt;$F147),"PENDIENTE",IF($D148&lt;=$K147,"A TIEMPO","FUERA DE TIEMPO")))</f>
        <v>A TIEMPO</v>
      </c>
    </row>
    <row r="148" spans="1:13" ht="15">
      <c r="A148" s="26" t="s">
        <v>397</v>
      </c>
      <c r="B148" s="1" t="s">
        <v>53</v>
      </c>
      <c r="C148" s="1" t="s">
        <v>39</v>
      </c>
      <c r="D148" s="162">
        <v>46155</v>
      </c>
      <c r="E148" s="1" t="s">
        <v>40</v>
      </c>
      <c r="F148" s="232">
        <v>46161</v>
      </c>
      <c r="G148" s="163" t="s">
        <v>323</v>
      </c>
      <c r="H148" s="1" t="s">
        <v>398</v>
      </c>
      <c r="I148" s="190" t="s">
        <v>180</v>
      </c>
      <c r="J148" s="196" t="s">
        <v>171</v>
      </c>
      <c r="K148" s="27" cm="1">
        <f t="array" ref="K148">IF(OR($B148="",$F148=""),"",WORKDAY.INTL(IF(ISNUMBER($F148),$F148,FECHA.VALOR($F148)),IF(UPPER(TRIM($B148))="AUXILIAR DE COCINA",10,15),1,FESTIVOS!$A$3:$A$1000))</f>
        <v>46175</v>
      </c>
      <c r="L148" s="77">
        <f>IF($F170="","",DATE(
    YEAR(EDATE($F170,IF(DAY($F170)&gt;=IF(UPPER(TRIM($B170))="AUXILIAR DE COCINA",17,11),1,0))),
    MONTH(EDATE($F170,IF(DAY($F170)&gt;=IF(UPPER(TRIM($B170))="AUXILIAR DE COCINA",17,11),1,0))),
    1
))</f>
        <v>46204</v>
      </c>
      <c r="M148" s="25" t="e">
        <f>IF($K148="","",IF(OR(#REF!="",#REF!&lt;$F148),"PENDIENTE",IF(#REF!&lt;=$K148,"A TIEMPO","FUERA DE TIEMPO")))</f>
        <v>#REF!</v>
      </c>
    </row>
    <row r="149" spans="1:13" ht="15">
      <c r="A149" s="26" t="s">
        <v>399</v>
      </c>
      <c r="B149" s="1" t="s">
        <v>53</v>
      </c>
      <c r="C149" s="1" t="s">
        <v>39</v>
      </c>
      <c r="D149" s="162">
        <v>46163</v>
      </c>
      <c r="E149" s="1" t="s">
        <v>241</v>
      </c>
      <c r="F149" s="232">
        <v>46161</v>
      </c>
      <c r="G149" s="163" t="s">
        <v>149</v>
      </c>
      <c r="H149" s="1" t="s">
        <v>339</v>
      </c>
      <c r="I149" s="190" t="s">
        <v>180</v>
      </c>
      <c r="J149" s="196" t="s">
        <v>171</v>
      </c>
      <c r="K149" s="27" cm="1">
        <f t="array" ref="K149">IF(OR($B149="",$F149=""),"",WORKDAY.INTL(IF(ISNUMBER($F149),$F149,FECHA.VALOR($F149)),IF(UPPER(TRIM($B149))="AUXILIAR DE COCINA",10,15),1,FESTIVOS!$A$3:$A$1000))</f>
        <v>46175</v>
      </c>
      <c r="L149" s="77">
        <f>IF($F150="","",DATE(
    YEAR(EDATE($F150,IF(DAY($F150)&gt;=IF(UPPER(TRIM($B150))="AUXILIAR DE COCINA",17,11),1,0))),
    MONTH(EDATE($F150,IF(DAY($F150)&gt;=IF(UPPER(TRIM($B150))="AUXILIAR DE COCINA",17,11),1,0))),
    1
))</f>
        <v>46174</v>
      </c>
      <c r="M149" s="25" t="str">
        <f t="shared" ref="M149:M183" si="12">IF($K149="","",IF(OR($D149="",$D149&lt;$F149),"PENDIENTE",IF($D149&lt;=$K149,"A TIEMPO","FUERA DE TIEMPO")))</f>
        <v>A TIEMPO</v>
      </c>
    </row>
    <row r="150" spans="1:13" ht="15">
      <c r="A150" s="26" t="s">
        <v>400</v>
      </c>
      <c r="B150" s="1" t="s">
        <v>53</v>
      </c>
      <c r="C150" s="1" t="s">
        <v>39</v>
      </c>
      <c r="D150" s="162">
        <v>46163</v>
      </c>
      <c r="E150" s="1" t="s">
        <v>250</v>
      </c>
      <c r="F150" s="232">
        <v>46161</v>
      </c>
      <c r="G150" s="163" t="s">
        <v>323</v>
      </c>
      <c r="H150" s="1" t="s">
        <v>401</v>
      </c>
      <c r="I150" s="190" t="s">
        <v>280</v>
      </c>
      <c r="J150" s="196" t="s">
        <v>171</v>
      </c>
      <c r="K150" s="27" cm="1">
        <f t="array" ref="K150">IF(OR($B150="",$F150=""),"",WORKDAY.INTL(IF(ISNUMBER($F150),$F150,FECHA.VALOR($F150)),IF(UPPER(TRIM($B150))="AUXILIAR DE COCINA",10,15),1,FESTIVOS!$A$3:$A$1000))</f>
        <v>46175</v>
      </c>
      <c r="L150" s="77">
        <f>IF($F170="","",DATE(
    YEAR(EDATE($F170,IF(DAY($F170)&gt;=IF(UPPER(TRIM($B170))="AUXILIAR DE COCINA",17,11),1,0))),
    MONTH(EDATE($F170,IF(DAY($F170)&gt;=IF(UPPER(TRIM($B170))="AUXILIAR DE COCINA",17,11),1,0))),
    1
))</f>
        <v>46204</v>
      </c>
      <c r="M150" s="25" t="str">
        <f t="shared" si="12"/>
        <v>A TIEMPO</v>
      </c>
    </row>
    <row r="151" spans="1:13" ht="15">
      <c r="A151" s="26" t="s">
        <v>402</v>
      </c>
      <c r="B151" s="1" t="s">
        <v>53</v>
      </c>
      <c r="C151" s="1" t="s">
        <v>39</v>
      </c>
      <c r="D151" s="162">
        <v>46163</v>
      </c>
      <c r="E151" s="1" t="s">
        <v>250</v>
      </c>
      <c r="F151" s="232">
        <v>46161</v>
      </c>
      <c r="G151" s="163" t="s">
        <v>403</v>
      </c>
      <c r="H151" s="1" t="s">
        <v>369</v>
      </c>
      <c r="I151" s="190" t="s">
        <v>280</v>
      </c>
      <c r="J151" s="196" t="s">
        <v>171</v>
      </c>
      <c r="K151" s="27" cm="1">
        <f t="array" ref="K151">IF(OR($B151="",$F151=""),"",WORKDAY.INTL(IF(ISNUMBER($F151),$F151,FECHA.VALOR($F151)),IF(UPPER(TRIM($B151))="AUXILIAR DE COCINA",10,15),1,FESTIVOS!$A$3:$A$1000))</f>
        <v>46175</v>
      </c>
      <c r="L151" s="77">
        <f>IF($F153="","",DATE(
    YEAR(EDATE($F153,IF(DAY($F153)&gt;=IF(UPPER(TRIM($B153))="AUXILIAR DE COCINA",17,11),1,0))),
    MONTH(EDATE($F153,IF(DAY($F153)&gt;=IF(UPPER(TRIM($B153))="AUXILIAR DE COCINA",17,11),1,0))),
    1
))</f>
        <v>46174</v>
      </c>
      <c r="M151" s="25" t="str">
        <f t="shared" si="12"/>
        <v>A TIEMPO</v>
      </c>
    </row>
    <row r="152" spans="1:13" ht="15">
      <c r="A152" s="26" t="s">
        <v>404</v>
      </c>
      <c r="B152" s="1" t="s">
        <v>53</v>
      </c>
      <c r="C152" s="1" t="s">
        <v>39</v>
      </c>
      <c r="D152" s="162">
        <v>46135</v>
      </c>
      <c r="E152" s="1" t="s">
        <v>238</v>
      </c>
      <c r="F152" s="232">
        <v>46132</v>
      </c>
      <c r="G152" s="163" t="s">
        <v>163</v>
      </c>
      <c r="H152" s="1" t="s">
        <v>405</v>
      </c>
      <c r="I152" s="190" t="s">
        <v>280</v>
      </c>
      <c r="J152" s="196" t="s">
        <v>287</v>
      </c>
      <c r="K152" s="27" cm="1">
        <f t="array" ref="K152">IF(OR($B152="",$F152=""),"",WORKDAY.INTL(IF(ISNUMBER($F152),$F152,FECHA.VALOR($F152)),IF(UPPER(TRIM($B152))="AUXILIAR DE COCINA",10,15),1,FESTIVOS!$A$3:$A$1000))</f>
        <v>46147</v>
      </c>
      <c r="L152" s="77">
        <f>IF($F139="","",DATE(
    YEAR(EDATE($F139,IF(DAY($F139)&gt;=IF(UPPER(TRIM($B139))="AUXILIAR DE COCINA",17,11),1,0))),
    MONTH(EDATE($F139,IF(DAY($F139)&gt;=IF(UPPER(TRIM($B139))="AUXILIAR DE COCINA",17,11),1,0))),
    1
))</f>
        <v>46143</v>
      </c>
      <c r="M152" s="25" t="str">
        <f t="shared" si="12"/>
        <v>A TIEMPO</v>
      </c>
    </row>
    <row r="153" spans="1:13" ht="15">
      <c r="A153" s="26" t="s">
        <v>406</v>
      </c>
      <c r="B153" s="1" t="s">
        <v>53</v>
      </c>
      <c r="C153" s="1" t="s">
        <v>39</v>
      </c>
      <c r="D153" s="162">
        <v>46171</v>
      </c>
      <c r="E153" s="1" t="s">
        <v>276</v>
      </c>
      <c r="F153" s="232">
        <v>46163</v>
      </c>
      <c r="G153" s="163" t="s">
        <v>221</v>
      </c>
      <c r="H153" s="1" t="s">
        <v>254</v>
      </c>
      <c r="I153" s="190" t="s">
        <v>180</v>
      </c>
      <c r="J153" s="196" t="s">
        <v>171</v>
      </c>
      <c r="K153" s="27" cm="1">
        <f t="array" ref="K153">IF(OR($B153="",$F153=""),"",WORKDAY.INTL(IF(ISNUMBER($F153),$F153,FECHA.VALOR($F153)),IF(UPPER(TRIM($B153))="AUXILIAR DE COCINA",10,15),1,FESTIVOS!$A$3:$A$1000))</f>
        <v>46177</v>
      </c>
      <c r="L153" s="77">
        <f>IF($F155="","",DATE(
    YEAR(EDATE($F155,IF(DAY($F155)&gt;=IF(UPPER(TRIM($B155))="AUXILIAR DE COCINA",17,11),1,0))),
    MONTH(EDATE($F155,IF(DAY($F155)&gt;=IF(UPPER(TRIM($B155))="AUXILIAR DE COCINA",17,11),1,0))),
    1
))</f>
        <v>46174</v>
      </c>
      <c r="M153" s="25" t="str">
        <f t="shared" si="12"/>
        <v>A TIEMPO</v>
      </c>
    </row>
    <row r="154" spans="1:13" ht="15">
      <c r="A154" s="26" t="s">
        <v>407</v>
      </c>
      <c r="B154" s="1" t="s">
        <v>53</v>
      </c>
      <c r="C154" s="1" t="s">
        <v>39</v>
      </c>
      <c r="D154" s="162">
        <v>46171</v>
      </c>
      <c r="E154" s="1" t="s">
        <v>304</v>
      </c>
      <c r="F154" s="232">
        <v>46163</v>
      </c>
      <c r="G154" s="163" t="s">
        <v>305</v>
      </c>
      <c r="H154" s="1" t="s">
        <v>408</v>
      </c>
      <c r="I154" s="190" t="s">
        <v>180</v>
      </c>
      <c r="J154" s="196" t="s">
        <v>171</v>
      </c>
      <c r="K154" s="27" cm="1">
        <f t="array" ref="K154">IF(OR($B154="",$F154=""),"",WORKDAY.INTL(IF(ISNUMBER($F154),$F154,FECHA.VALOR($F154)),IF(UPPER(TRIM($B154))="AUXILIAR DE COCINA",10,15),1,FESTIVOS!$A$3:$A$1000))</f>
        <v>46177</v>
      </c>
      <c r="L154" s="77">
        <f>IF($F155="","",DATE(
    YEAR(EDATE($F155,IF(DAY($F155)&gt;=IF(UPPER(TRIM($B155))="AUXILIAR DE COCINA",17,11),1,0))),
    MONTH(EDATE($F155,IF(DAY($F155)&gt;=IF(UPPER(TRIM($B155))="AUXILIAR DE COCINA",17,11),1,0))),
    1
))</f>
        <v>46174</v>
      </c>
      <c r="M154" s="25" t="str">
        <f t="shared" si="12"/>
        <v>A TIEMPO</v>
      </c>
    </row>
    <row r="155" spans="1:13" ht="15">
      <c r="A155" s="26" t="s">
        <v>409</v>
      </c>
      <c r="B155" s="1" t="s">
        <v>53</v>
      </c>
      <c r="C155" s="1" t="s">
        <v>39</v>
      </c>
      <c r="D155" s="162">
        <v>46171</v>
      </c>
      <c r="E155" s="1" t="s">
        <v>240</v>
      </c>
      <c r="F155" s="232">
        <v>46168</v>
      </c>
      <c r="G155" s="163" t="s">
        <v>79</v>
      </c>
      <c r="H155" s="1" t="s">
        <v>410</v>
      </c>
      <c r="I155" s="190" t="s">
        <v>280</v>
      </c>
      <c r="J155" s="196" t="s">
        <v>411</v>
      </c>
      <c r="K155" s="27" cm="1">
        <f t="array" ref="K155">IF(OR($B155="",$F155=""),"",WORKDAY.INTL(IF(ISNUMBER($F155),$F155,FECHA.VALOR($F155)),IF(UPPER(TRIM($B155))="AUXILIAR DE COCINA",10,15),1,FESTIVOS!$A$3:$A$1000))</f>
        <v>46183</v>
      </c>
      <c r="L155" s="77">
        <f>IF($F163="","",DATE(
    YEAR(EDATE($F163,IF(DAY($F163)&gt;=IF(UPPER(TRIM($B163))="AUXILIAR DE COCINA",17,11),1,0))),
    MONTH(EDATE($F163,IF(DAY($F163)&gt;=IF(UPPER(TRIM($B163))="AUXILIAR DE COCINA",17,11),1,0))),
    1
))</f>
        <v>46174</v>
      </c>
      <c r="M155" s="25" t="str">
        <f t="shared" si="12"/>
        <v>A TIEMPO</v>
      </c>
    </row>
    <row r="156" spans="1:13" ht="15">
      <c r="A156" s="26" t="s">
        <v>412</v>
      </c>
      <c r="B156" s="1" t="s">
        <v>53</v>
      </c>
      <c r="C156" s="1" t="s">
        <v>39</v>
      </c>
      <c r="D156" s="162">
        <v>46169</v>
      </c>
      <c r="E156" s="1" t="s">
        <v>240</v>
      </c>
      <c r="F156" s="232">
        <v>46168</v>
      </c>
      <c r="G156" s="163" t="s">
        <v>323</v>
      </c>
      <c r="H156" s="1" t="s">
        <v>413</v>
      </c>
      <c r="I156" s="190" t="s">
        <v>180</v>
      </c>
      <c r="J156" s="196" t="s">
        <v>171</v>
      </c>
      <c r="K156" s="27" cm="1">
        <f t="array" ref="K156">IF(OR($B156="",$F156=""),"",WORKDAY.INTL(IF(ISNUMBER($F156),$F156,FECHA.VALOR($F156)),IF(UPPER(TRIM($B156))="AUXILIAR DE COCINA",10,15),1,FESTIVOS!$A$3:$A$1000))</f>
        <v>46183</v>
      </c>
      <c r="L156" s="77">
        <f>IF($F161="","",DATE(
    YEAR(EDATE($F161,IF(DAY($F161)&gt;=IF(UPPER(TRIM($B161))="AUXILIAR DE COCINA",17,11),1,0))),
    MONTH(EDATE($F161,IF(DAY($F161)&gt;=IF(UPPER(TRIM($B161))="AUXILIAR DE COCINA",17,11),1,0))),
    1
))</f>
        <v>46174</v>
      </c>
      <c r="M156" s="25" t="str">
        <f t="shared" si="12"/>
        <v>A TIEMPO</v>
      </c>
    </row>
    <row r="157" spans="1:13" ht="15">
      <c r="A157" s="26" t="s">
        <v>414</v>
      </c>
      <c r="B157" s="1" t="s">
        <v>53</v>
      </c>
      <c r="C157" s="1" t="s">
        <v>39</v>
      </c>
      <c r="D157" s="162">
        <v>46175</v>
      </c>
      <c r="E157" s="1" t="s">
        <v>40</v>
      </c>
      <c r="F157" s="232">
        <v>46168</v>
      </c>
      <c r="G157" s="163" t="s">
        <v>68</v>
      </c>
      <c r="H157" s="1" t="s">
        <v>415</v>
      </c>
      <c r="I157" s="190" t="s">
        <v>177</v>
      </c>
      <c r="J157" s="196" t="s">
        <v>171</v>
      </c>
      <c r="K157" s="27" cm="1">
        <f t="array" ref="K157">IF(OR($B157="",$F157=""),"",WORKDAY.INTL(IF(ISNUMBER($F157),$F157,FECHA.VALOR($F157)),IF(UPPER(TRIM($B157))="AUXILIAR DE COCINA",10,15),1,FESTIVOS!$A$3:$A$1000))</f>
        <v>46183</v>
      </c>
      <c r="L157" s="77">
        <f t="shared" ref="L157:L162" si="13">IF($F158="","",DATE(
    YEAR(EDATE($F158,IF(DAY($F158)&gt;=IF(UPPER(TRIM($B158))="AUXILIAR DE COCINA",17,11),1,0))),
    MONTH(EDATE($F158,IF(DAY($F158)&gt;=IF(UPPER(TRIM($B158))="AUXILIAR DE COCINA",17,11),1,0))),
    1
))</f>
        <v>46174</v>
      </c>
      <c r="M157" s="25" t="str">
        <f t="shared" si="12"/>
        <v>A TIEMPO</v>
      </c>
    </row>
    <row r="158" spans="1:13" ht="15">
      <c r="A158" s="26" t="s">
        <v>416</v>
      </c>
      <c r="B158" s="1" t="s">
        <v>53</v>
      </c>
      <c r="C158" s="1" t="s">
        <v>39</v>
      </c>
      <c r="D158" s="162">
        <v>46175</v>
      </c>
      <c r="E158" s="1" t="s">
        <v>250</v>
      </c>
      <c r="F158" s="232">
        <v>46171</v>
      </c>
      <c r="G158" s="163" t="s">
        <v>417</v>
      </c>
      <c r="H158" s="1" t="s">
        <v>418</v>
      </c>
      <c r="I158" s="190" t="s">
        <v>177</v>
      </c>
      <c r="J158" s="196" t="s">
        <v>171</v>
      </c>
      <c r="K158" s="27" cm="1">
        <f t="array" ref="K158">IF(OR($B158="",$F158=""),"",WORKDAY.INTL(IF(ISNUMBER($F158),$F158,FECHA.VALOR($F158)),IF(UPPER(TRIM($B158))="AUXILIAR DE COCINA",10,15),1,FESTIVOS!$A$3:$A$1000))</f>
        <v>46189</v>
      </c>
      <c r="L158" s="77">
        <f t="shared" si="13"/>
        <v>46174</v>
      </c>
      <c r="M158" s="25" t="str">
        <f t="shared" si="12"/>
        <v>A TIEMPO</v>
      </c>
    </row>
    <row r="159" spans="1:13" ht="15">
      <c r="A159" s="26" t="s">
        <v>419</v>
      </c>
      <c r="B159" s="1" t="s">
        <v>53</v>
      </c>
      <c r="C159" s="1" t="s">
        <v>39</v>
      </c>
      <c r="D159" s="162">
        <v>46175</v>
      </c>
      <c r="E159" s="1" t="s">
        <v>240</v>
      </c>
      <c r="F159" s="232">
        <v>46171</v>
      </c>
      <c r="G159" s="163" t="s">
        <v>68</v>
      </c>
      <c r="H159" s="1" t="s">
        <v>420</v>
      </c>
      <c r="I159" s="190" t="s">
        <v>180</v>
      </c>
      <c r="J159" s="196" t="s">
        <v>171</v>
      </c>
      <c r="K159" s="27" cm="1">
        <f t="array" ref="K159">IF(OR($B159="",$F159=""),"",WORKDAY.INTL(IF(ISNUMBER($F159),$F159,FECHA.VALOR($F159)),IF(UPPER(TRIM($B159))="AUXILIAR DE COCINA",10,15),1,FESTIVOS!$A$3:$A$1000))</f>
        <v>46189</v>
      </c>
      <c r="L159" s="77">
        <f t="shared" si="13"/>
        <v>46174</v>
      </c>
      <c r="M159" s="25" t="str">
        <f t="shared" si="12"/>
        <v>A TIEMPO</v>
      </c>
    </row>
    <row r="160" spans="1:13" ht="15">
      <c r="A160" s="26" t="s">
        <v>421</v>
      </c>
      <c r="B160" s="1" t="s">
        <v>53</v>
      </c>
      <c r="C160" s="1" t="s">
        <v>39</v>
      </c>
      <c r="D160" s="162">
        <v>46182</v>
      </c>
      <c r="E160" s="1" t="s">
        <v>235</v>
      </c>
      <c r="F160" s="232">
        <v>46171</v>
      </c>
      <c r="G160" s="163" t="s">
        <v>68</v>
      </c>
      <c r="H160" s="1" t="s">
        <v>422</v>
      </c>
      <c r="I160" s="190" t="s">
        <v>180</v>
      </c>
      <c r="J160" s="196" t="s">
        <v>171</v>
      </c>
      <c r="K160" s="27" cm="1">
        <f t="array" ref="K160">IF(OR($B160="",$F160=""),"",WORKDAY.INTL(IF(ISNUMBER($F160),$F160,FECHA.VALOR($F160)),IF(UPPER(TRIM($B160))="AUXILIAR DE COCINA",10,15),1,FESTIVOS!$A$3:$A$1000))</f>
        <v>46189</v>
      </c>
      <c r="L160" s="77">
        <f t="shared" si="13"/>
        <v>46174</v>
      </c>
      <c r="M160" s="25" t="str">
        <f t="shared" si="12"/>
        <v>A TIEMPO</v>
      </c>
    </row>
    <row r="161" spans="1:13" ht="15">
      <c r="A161" s="26" t="s">
        <v>423</v>
      </c>
      <c r="B161" s="1" t="s">
        <v>53</v>
      </c>
      <c r="C161" s="1" t="s">
        <v>39</v>
      </c>
      <c r="D161" s="162">
        <v>46182</v>
      </c>
      <c r="E161" s="1" t="s">
        <v>350</v>
      </c>
      <c r="F161" s="232">
        <v>46171</v>
      </c>
      <c r="G161" s="163" t="s">
        <v>325</v>
      </c>
      <c r="H161" s="1" t="s">
        <v>424</v>
      </c>
      <c r="I161" s="190" t="s">
        <v>180</v>
      </c>
      <c r="J161" s="196" t="s">
        <v>171</v>
      </c>
      <c r="K161" s="27" cm="1">
        <f t="array" ref="K161">IF(OR($B161="",$F161=""),"",WORKDAY.INTL(IF(ISNUMBER($F161),$F161,FECHA.VALOR($F161)),IF(UPPER(TRIM($B161))="AUXILIAR DE COCINA",10,15),1,FESTIVOS!$A$3:$A$1000))</f>
        <v>46189</v>
      </c>
      <c r="L161" s="77">
        <f t="shared" si="13"/>
        <v>46174</v>
      </c>
      <c r="M161" s="25" t="str">
        <f t="shared" si="12"/>
        <v>A TIEMPO</v>
      </c>
    </row>
    <row r="162" spans="1:13" ht="15">
      <c r="A162" s="26" t="s">
        <v>402</v>
      </c>
      <c r="B162" s="1" t="s">
        <v>53</v>
      </c>
      <c r="C162" s="1" t="s">
        <v>39</v>
      </c>
      <c r="D162" s="162">
        <v>46182</v>
      </c>
      <c r="E162" s="1" t="s">
        <v>250</v>
      </c>
      <c r="F162" s="232">
        <v>46174</v>
      </c>
      <c r="G162" s="163" t="s">
        <v>289</v>
      </c>
      <c r="H162" s="1" t="s">
        <v>425</v>
      </c>
      <c r="I162" s="190" t="s">
        <v>280</v>
      </c>
      <c r="J162" s="196" t="s">
        <v>171</v>
      </c>
      <c r="K162" s="27" cm="1">
        <f t="array" ref="K162">IF(OR($B162="",$F162=""),"",WORKDAY.INTL(IF(ISNUMBER($F162),$F162,FECHA.VALOR($F162)),IF(UPPER(TRIM($B162))="AUXILIAR DE COCINA",10,15),1,FESTIVOS!$A$3:$A$1000))</f>
        <v>46190</v>
      </c>
      <c r="L162" s="77">
        <f t="shared" si="13"/>
        <v>46174</v>
      </c>
      <c r="M162" s="25" t="str">
        <f t="shared" si="12"/>
        <v>A TIEMPO</v>
      </c>
    </row>
    <row r="163" spans="1:13" ht="15">
      <c r="A163" s="26" t="s">
        <v>426</v>
      </c>
      <c r="B163" s="1" t="s">
        <v>53</v>
      </c>
      <c r="C163" s="1" t="s">
        <v>39</v>
      </c>
      <c r="D163" s="162">
        <v>46182</v>
      </c>
      <c r="E163" s="1" t="s">
        <v>241</v>
      </c>
      <c r="F163" s="232">
        <v>46174</v>
      </c>
      <c r="G163" s="163" t="s">
        <v>149</v>
      </c>
      <c r="H163" s="1" t="s">
        <v>427</v>
      </c>
      <c r="I163" s="190" t="s">
        <v>378</v>
      </c>
      <c r="J163" s="196" t="s">
        <v>171</v>
      </c>
      <c r="K163" s="27" cm="1">
        <f t="array" ref="K163">IF(OR($B163="",$F163=""),"",WORKDAY.INTL(IF(ISNUMBER($F163),$F163,FECHA.VALOR($F163)),IF(UPPER(TRIM($B163))="AUXILIAR DE COCINA",10,15),1,FESTIVOS!$A$3:$A$1000))</f>
        <v>46190</v>
      </c>
      <c r="L163" s="77">
        <f>IF($F165="","",DATE(
    YEAR(EDATE($F165,IF(DAY($F165)&gt;=IF(UPPER(TRIM($B165))="AUXILIAR DE COCINA",17,11),1,0))),
    MONTH(EDATE($F165,IF(DAY($F165)&gt;=IF(UPPER(TRIM($B165))="AUXILIAR DE COCINA",17,11),1,0))),
    1
))</f>
        <v>46174</v>
      </c>
      <c r="M163" s="25" t="str">
        <f t="shared" si="12"/>
        <v>A TIEMPO</v>
      </c>
    </row>
    <row r="164" spans="1:13" ht="15">
      <c r="A164" s="26" t="s">
        <v>428</v>
      </c>
      <c r="B164" s="1" t="s">
        <v>53</v>
      </c>
      <c r="C164" s="1" t="s">
        <v>39</v>
      </c>
      <c r="D164" s="162">
        <v>46182</v>
      </c>
      <c r="E164" s="1" t="s">
        <v>241</v>
      </c>
      <c r="F164" s="232">
        <v>46174</v>
      </c>
      <c r="G164" s="163" t="s">
        <v>149</v>
      </c>
      <c r="H164" s="1" t="s">
        <v>429</v>
      </c>
      <c r="I164" s="190" t="s">
        <v>280</v>
      </c>
      <c r="J164" s="196" t="s">
        <v>171</v>
      </c>
      <c r="K164" s="27" cm="1">
        <f t="array" ref="K164">IF(OR($B164="",$F164=""),"",WORKDAY.INTL(IF(ISNUMBER($F164),$F164,FECHA.VALOR($F164)),IF(UPPER(TRIM($B164))="AUXILIAR DE COCINA",10,15),1,FESTIVOS!$A$3:$A$1000))</f>
        <v>46190</v>
      </c>
      <c r="L164" s="77">
        <f>IF($F165="","",DATE(
    YEAR(EDATE($F165,IF(DAY($F165)&gt;=IF(UPPER(TRIM($B165))="AUXILIAR DE COCINA",17,11),1,0))),
    MONTH(EDATE($F165,IF(DAY($F165)&gt;=IF(UPPER(TRIM($B165))="AUXILIAR DE COCINA",17,11),1,0))),
    1
))</f>
        <v>46174</v>
      </c>
      <c r="M164" s="25" t="str">
        <f t="shared" si="12"/>
        <v>A TIEMPO</v>
      </c>
    </row>
    <row r="165" spans="1:13" ht="15">
      <c r="A165" s="26" t="s">
        <v>430</v>
      </c>
      <c r="B165" s="1" t="s">
        <v>53</v>
      </c>
      <c r="C165" s="1" t="s">
        <v>39</v>
      </c>
      <c r="D165" s="162">
        <v>46182</v>
      </c>
      <c r="E165" s="1" t="s">
        <v>238</v>
      </c>
      <c r="F165" s="232">
        <v>46174</v>
      </c>
      <c r="G165" s="163" t="s">
        <v>68</v>
      </c>
      <c r="H165" s="1" t="s">
        <v>431</v>
      </c>
      <c r="I165" s="190" t="s">
        <v>180</v>
      </c>
      <c r="J165" s="196" t="s">
        <v>171</v>
      </c>
      <c r="K165" s="27" cm="1">
        <f t="array" ref="K165">IF(OR($B165="",$F165=""),"",WORKDAY.INTL(IF(ISNUMBER($F165),$F165,FECHA.VALOR($F165)),IF(UPPER(TRIM($B165))="AUXILIAR DE COCINA",10,15),1,FESTIVOS!$A$3:$A$1000))</f>
        <v>46190</v>
      </c>
      <c r="L165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165" s="25" t="str">
        <f t="shared" si="12"/>
        <v>A TIEMPO</v>
      </c>
    </row>
    <row r="166" spans="1:13" ht="15">
      <c r="A166" s="26" t="s">
        <v>432</v>
      </c>
      <c r="B166" s="1" t="s">
        <v>53</v>
      </c>
      <c r="C166" s="1" t="s">
        <v>39</v>
      </c>
      <c r="D166" s="162">
        <v>46175</v>
      </c>
      <c r="E166" s="1" t="s">
        <v>276</v>
      </c>
      <c r="F166" s="232">
        <v>46178</v>
      </c>
      <c r="G166" s="163" t="s">
        <v>433</v>
      </c>
      <c r="H166" s="1" t="s">
        <v>434</v>
      </c>
      <c r="I166" s="190" t="s">
        <v>177</v>
      </c>
      <c r="J166" s="196" t="s">
        <v>171</v>
      </c>
      <c r="K166" s="27" cm="1">
        <f t="array" ref="K166">IF(OR($B166="",$F166=""),"",WORKDAY.INTL(IF(ISNUMBER($F166),$F166,FECHA.VALOR($F166)),IF(UPPER(TRIM($B166))="AUXILIAR DE COCINA",10,15),1,FESTIVOS!$A$3:$A$1000))</f>
        <v>46196</v>
      </c>
      <c r="L166" s="77" t="e">
        <f>IF($F168="","",DATE(
    YEAR(EDATE($F168,IF(DAY($F168)&gt;=IF(UPPER(TRIM($B168))="AUXILIAR DE COCINA",17,11),1,0))),
    MONTH(EDATE($F168,IF(DAY($F168)&gt;=IF(UPPER(TRIM($B168))="AUXILIAR DE COCINA",17,11),1,0))),
    1
))</f>
        <v>#VALUE!</v>
      </c>
      <c r="M166" s="25" t="str">
        <f t="shared" si="12"/>
        <v>PENDIENTE</v>
      </c>
    </row>
    <row r="167" spans="1:13" ht="15">
      <c r="A167" s="26" t="s">
        <v>435</v>
      </c>
      <c r="B167" s="1" t="s">
        <v>53</v>
      </c>
      <c r="C167" s="1" t="s">
        <v>39</v>
      </c>
      <c r="D167" s="162">
        <v>46175</v>
      </c>
      <c r="E167" s="1" t="s">
        <v>250</v>
      </c>
      <c r="F167" s="232">
        <v>46181</v>
      </c>
      <c r="G167" s="163" t="s">
        <v>417</v>
      </c>
      <c r="H167" s="1" t="s">
        <v>436</v>
      </c>
      <c r="I167" s="190" t="s">
        <v>180</v>
      </c>
      <c r="J167" s="196" t="s">
        <v>171</v>
      </c>
      <c r="K167" s="27" cm="1">
        <f t="array" ref="K167">IF(OR($B167="",$F167=""),"",WORKDAY.INTL(IF(ISNUMBER($F167),$F167,FECHA.VALOR($F167)),IF(UPPER(TRIM($B167))="AUXILIAR DE COCINA",10,15),1,FESTIVOS!$A$3:$A$1000))</f>
        <v>46196</v>
      </c>
      <c r="L167" s="77" t="e">
        <f>IF($F168="","",DATE(
    YEAR(EDATE($F168,IF(DAY($F168)&gt;=IF(UPPER(TRIM($B168))="AUXILIAR DE COCINA",17,11),1,0))),
    MONTH(EDATE($F168,IF(DAY($F168)&gt;=IF(UPPER(TRIM($B168))="AUXILIAR DE COCINA",17,11),1,0))),
    1
))</f>
        <v>#VALUE!</v>
      </c>
      <c r="M167" s="25" t="str">
        <f t="shared" si="12"/>
        <v>PENDIENTE</v>
      </c>
    </row>
    <row r="168" spans="1:13" ht="15">
      <c r="A168" s="26" t="s">
        <v>437</v>
      </c>
      <c r="B168" s="1" t="s">
        <v>53</v>
      </c>
      <c r="C168" s="1" t="s">
        <v>39</v>
      </c>
      <c r="D168" s="162">
        <v>46183</v>
      </c>
      <c r="E168" s="1" t="s">
        <v>350</v>
      </c>
      <c r="F168" s="330" t="s">
        <v>438</v>
      </c>
      <c r="G168" s="163" t="s">
        <v>312</v>
      </c>
      <c r="H168" s="1" t="s">
        <v>439</v>
      </c>
      <c r="I168" s="190" t="s">
        <v>180</v>
      </c>
      <c r="J168" s="196" t="s">
        <v>171</v>
      </c>
      <c r="K168" s="27" t="e" cm="1">
        <f t="array" aca="1" ref="K168" ca="1">IF(OR($B168="",$F168=""),"",WORKDAY.INTL(IF(ISNUMBER($F168),$F168,FECHA.VALOR($F168)),IF(UPPER(TRIM($B168))="AUXILIAR DE COCINA",10,15),1,FESTIVOS!$A$3:$A$1000))</f>
        <v>#NAME?</v>
      </c>
      <c r="L168" s="77">
        <f>IF($F170="","",DATE(
    YEAR(EDATE($F170,IF(DAY($F170)&gt;=IF(UPPER(TRIM($B170))="AUXILIAR DE COCINA",17,11),1,0))),
    MONTH(EDATE($F170,IF(DAY($F170)&gt;=IF(UPPER(TRIM($B170))="AUXILIAR DE COCINA",17,11),1,0))),
    1
))</f>
        <v>46204</v>
      </c>
      <c r="M168" s="25" t="e">
        <f t="shared" ca="1" si="12"/>
        <v>#NAME?</v>
      </c>
    </row>
    <row r="169" spans="1:13" ht="15">
      <c r="A169" s="26" t="s">
        <v>440</v>
      </c>
      <c r="B169" s="1" t="s">
        <v>53</v>
      </c>
      <c r="C169" s="1" t="s">
        <v>39</v>
      </c>
      <c r="D169" s="162">
        <v>46184</v>
      </c>
      <c r="E169" s="1" t="s">
        <v>240</v>
      </c>
      <c r="F169" s="232">
        <v>46191</v>
      </c>
      <c r="G169" s="163" t="s">
        <v>91</v>
      </c>
      <c r="H169" s="1" t="s">
        <v>441</v>
      </c>
      <c r="I169" s="190" t="s">
        <v>180</v>
      </c>
      <c r="J169" s="196" t="s">
        <v>171</v>
      </c>
      <c r="K169" s="27" cm="1">
        <f t="array" ref="K169">IF(OR($B169="",$F169=""),"",WORKDAY.INTL(IF(ISNUMBER($F169),$F169,FECHA.VALOR($F169)),IF(UPPER(TRIM($B169))="AUXILIAR DE COCINA",10,15),1,FESTIVOS!$A$3:$A$1000))</f>
        <v>46206</v>
      </c>
      <c r="L169" s="77">
        <f>IF($F170="","",DATE(
    YEAR(EDATE($F170,IF(DAY($F170)&gt;=IF(UPPER(TRIM($B170))="AUXILIAR DE COCINA",17,11),1,0))),
    MONTH(EDATE($F170,IF(DAY($F170)&gt;=IF(UPPER(TRIM($B170))="AUXILIAR DE COCINA",17,11),1,0))),
    1
))</f>
        <v>46204</v>
      </c>
      <c r="M169" s="25" t="str">
        <f t="shared" si="12"/>
        <v>PENDIENTE</v>
      </c>
    </row>
    <row r="170" spans="1:13" ht="15">
      <c r="A170" s="26" t="s">
        <v>442</v>
      </c>
      <c r="B170" s="1" t="s">
        <v>53</v>
      </c>
      <c r="C170" s="1" t="s">
        <v>39</v>
      </c>
      <c r="D170" s="162">
        <v>46184</v>
      </c>
      <c r="E170" s="1" t="s">
        <v>350</v>
      </c>
      <c r="F170" s="232">
        <v>46191</v>
      </c>
      <c r="G170" s="163" t="s">
        <v>68</v>
      </c>
      <c r="H170" s="1" t="s">
        <v>337</v>
      </c>
      <c r="I170" s="190" t="s">
        <v>180</v>
      </c>
      <c r="J170" s="196" t="s">
        <v>171</v>
      </c>
      <c r="K170" s="27" cm="1">
        <f t="array" ref="K170">IF(OR($B170="",$F170=""),"",WORKDAY.INTL(IF(ISNUMBER($F170),$F170,FECHA.VALOR($F170)),IF(UPPER(TRIM($B170))="AUXILIAR DE COCINA",10,15),1,FESTIVOS!$A$3:$A$1000))</f>
        <v>46206</v>
      </c>
      <c r="L170" s="77">
        <f>IF($F171="","",DATE(
    YEAR(EDATE($F171,IF(DAY($F171)&gt;=IF(UPPER(TRIM($B171))="AUXILIAR DE COCINA",17,11),1,0))),
    MONTH(EDATE($F171,IF(DAY($F171)&gt;=IF(UPPER(TRIM($B171))="AUXILIAR DE COCINA",17,11),1,0))),
    1
))</f>
        <v>46204</v>
      </c>
      <c r="M170" s="25" t="str">
        <f t="shared" si="12"/>
        <v>PENDIENTE</v>
      </c>
    </row>
    <row r="171" spans="1:13" ht="15">
      <c r="A171" s="26" t="s">
        <v>443</v>
      </c>
      <c r="B171" s="1" t="s">
        <v>53</v>
      </c>
      <c r="C171" s="1" t="s">
        <v>39</v>
      </c>
      <c r="D171" s="162">
        <v>46184</v>
      </c>
      <c r="E171" s="1" t="s">
        <v>250</v>
      </c>
      <c r="F171" s="232">
        <v>46191</v>
      </c>
      <c r="G171" s="163" t="s">
        <v>417</v>
      </c>
      <c r="H171" s="1" t="s">
        <v>87</v>
      </c>
      <c r="I171" s="190" t="s">
        <v>180</v>
      </c>
      <c r="J171" s="196" t="s">
        <v>444</v>
      </c>
      <c r="K171" s="27" cm="1">
        <f t="array" ref="K171">IF(OR($B171="",$F171=""),"",WORKDAY.INTL(IF(ISNUMBER($F171),$F171,FECHA.VALOR($F171)),IF(UPPER(TRIM($B171))="AUXILIAR DE COCINA",10,15),1,FESTIVOS!$A$3:$A$1000))</f>
        <v>46206</v>
      </c>
      <c r="L171" s="77">
        <f>IF($F176="","",DATE(
    YEAR(EDATE($F176,IF(DAY($F176)&gt;=IF(UPPER(TRIM($B176))="AUXILIAR DE COCINA",17,11),1,0))),
    MONTH(EDATE($F176,IF(DAY($F176)&gt;=IF(UPPER(TRIM($B176))="AUXILIAR DE COCINA",17,11),1,0))),
    1
))</f>
        <v>46204</v>
      </c>
      <c r="M171" s="25" t="str">
        <f t="shared" si="12"/>
        <v>PENDIENTE</v>
      </c>
    </row>
    <row r="172" spans="1:13" ht="15">
      <c r="A172" s="26" t="s">
        <v>445</v>
      </c>
      <c r="B172" s="1" t="s">
        <v>53</v>
      </c>
      <c r="C172" s="1" t="s">
        <v>39</v>
      </c>
      <c r="D172" s="162">
        <v>46184</v>
      </c>
      <c r="E172" s="1" t="s">
        <v>276</v>
      </c>
      <c r="F172" s="232">
        <v>46195</v>
      </c>
      <c r="G172" s="163" t="s">
        <v>68</v>
      </c>
      <c r="H172" s="1" t="s">
        <v>430</v>
      </c>
      <c r="I172" s="190" t="s">
        <v>180</v>
      </c>
      <c r="J172" s="196" t="s">
        <v>253</v>
      </c>
      <c r="K172" s="27" cm="1">
        <f t="array" ref="K172">IF(OR($B172="",$F172=""),"",WORKDAY.INTL(IF(ISNUMBER($F172),$F172,FECHA.VALOR($F172)),IF(UPPER(TRIM($B172))="AUXILIAR DE COCINA",10,15),1,FESTIVOS!$A$3:$A$1000))</f>
        <v>46210</v>
      </c>
      <c r="L172" s="77">
        <f>IF($F173="","",DATE(
    YEAR(EDATE($F173,IF(DAY($F173)&gt;=IF(UPPER(TRIM($B173))="AUXILIAR DE COCINA",17,11),1,0))),
    MONTH(EDATE($F173,IF(DAY($F173)&gt;=IF(UPPER(TRIM($B173))="AUXILIAR DE COCINA",17,11),1,0))),
    1
))</f>
        <v>46204</v>
      </c>
      <c r="M172" s="25" t="str">
        <f t="shared" si="12"/>
        <v>PENDIENTE</v>
      </c>
    </row>
    <row r="173" spans="1:13" ht="15">
      <c r="A173" s="26" t="s">
        <v>446</v>
      </c>
      <c r="B173" s="1" t="s">
        <v>53</v>
      </c>
      <c r="C173" s="1" t="s">
        <v>39</v>
      </c>
      <c r="D173" s="162">
        <v>46184</v>
      </c>
      <c r="E173" s="1" t="s">
        <v>276</v>
      </c>
      <c r="F173" s="232">
        <v>46195</v>
      </c>
      <c r="G173" s="163" t="s">
        <v>299</v>
      </c>
      <c r="H173" s="1" t="s">
        <v>447</v>
      </c>
      <c r="I173" s="190" t="s">
        <v>180</v>
      </c>
      <c r="J173" s="196" t="s">
        <v>253</v>
      </c>
      <c r="K173" s="27" cm="1">
        <f t="array" ref="K173">IF(OR($B173="",$F173=""),"",WORKDAY.INTL(IF(ISNUMBER($F173),$F173,FECHA.VALOR($F173)),IF(UPPER(TRIM($B173))="AUXILIAR DE COCINA",10,15),1,FESTIVOS!$A$3:$A$1000))</f>
        <v>46210</v>
      </c>
      <c r="L173" s="77">
        <f>IF($F176="","",DATE(
    YEAR(EDATE($F176,IF(DAY($F176)&gt;=IF(UPPER(TRIM($B176))="AUXILIAR DE COCINA",17,11),1,0))),
    MONTH(EDATE($F176,IF(DAY($F176)&gt;=IF(UPPER(TRIM($B176))="AUXILIAR DE COCINA",17,11),1,0))),
    1
))</f>
        <v>46204</v>
      </c>
      <c r="M173" s="25" t="str">
        <f t="shared" si="12"/>
        <v>PENDIENTE</v>
      </c>
    </row>
    <row r="174" spans="1:13" ht="15">
      <c r="A174" s="26" t="s">
        <v>448</v>
      </c>
      <c r="B174" s="1" t="s">
        <v>53</v>
      </c>
      <c r="C174" s="1" t="s">
        <v>39</v>
      </c>
      <c r="D174" s="162">
        <v>46184</v>
      </c>
      <c r="E174" s="1" t="s">
        <v>238</v>
      </c>
      <c r="F174" s="232">
        <v>46195</v>
      </c>
      <c r="G174" s="163" t="s">
        <v>211</v>
      </c>
      <c r="H174" s="1" t="s">
        <v>449</v>
      </c>
      <c r="I174" s="190" t="s">
        <v>256</v>
      </c>
      <c r="J174" s="196" t="s">
        <v>253</v>
      </c>
      <c r="K174" s="27" cm="1">
        <f t="array" ref="K174">IF(OR($B174="",$F174=""),"",WORKDAY.INTL(IF(ISNUMBER($F174),$F174,FECHA.VALOR($F174)),IF(UPPER(TRIM($B174))="AUXILIAR DE COCINA",10,15),1,FESTIVOS!$A$3:$A$1000))</f>
        <v>46210</v>
      </c>
      <c r="L174" s="77">
        <f>IF($F175="","",DATE(
    YEAR(EDATE($F175,IF(DAY($F175)&gt;=IF(UPPER(TRIM($B175))="AUXILIAR DE COCINA",17,11),1,0))),
    MONTH(EDATE($F175,IF(DAY($F175)&gt;=IF(UPPER(TRIM($B175))="AUXILIAR DE COCINA",17,11),1,0))),
    1
))</f>
        <v>46204</v>
      </c>
      <c r="M174" s="25" t="str">
        <f t="shared" si="12"/>
        <v>PENDIENTE</v>
      </c>
    </row>
    <row r="175" spans="1:13" ht="15">
      <c r="A175" s="26" t="s">
        <v>450</v>
      </c>
      <c r="B175" s="1" t="s">
        <v>53</v>
      </c>
      <c r="C175" s="1" t="s">
        <v>39</v>
      </c>
      <c r="D175" s="162">
        <v>46184</v>
      </c>
      <c r="E175" s="1" t="s">
        <v>235</v>
      </c>
      <c r="F175" s="232">
        <v>46195</v>
      </c>
      <c r="G175" s="163" t="s">
        <v>305</v>
      </c>
      <c r="H175" s="1" t="s">
        <v>419</v>
      </c>
      <c r="I175" s="190" t="s">
        <v>180</v>
      </c>
      <c r="J175" s="196" t="s">
        <v>171</v>
      </c>
      <c r="K175" s="27" cm="1">
        <f t="array" ref="K175">IF(OR($B175="",$F175=""),"",WORKDAY.INTL(IF(ISNUMBER($F175),$F175,FECHA.VALOR($F175)),IF(UPPER(TRIM($B175))="AUXILIAR DE COCINA",10,15),1,FESTIVOS!$A$3:$A$1000))</f>
        <v>46210</v>
      </c>
      <c r="L175" s="77">
        <f>IF($F176="","",DATE(
    YEAR(EDATE($F176,IF(DAY($F176)&gt;=IF(UPPER(TRIM($B176))="AUXILIAR DE COCINA",17,11),1,0))),
    MONTH(EDATE($F176,IF(DAY($F176)&gt;=IF(UPPER(TRIM($B176))="AUXILIAR DE COCINA",17,11),1,0))),
    1
))</f>
        <v>46204</v>
      </c>
      <c r="M175" s="25" t="str">
        <f t="shared" si="12"/>
        <v>PENDIENTE</v>
      </c>
    </row>
    <row r="176" spans="1:13" ht="15">
      <c r="A176" s="26" t="s">
        <v>451</v>
      </c>
      <c r="B176" s="1" t="s">
        <v>53</v>
      </c>
      <c r="C176" s="1" t="s">
        <v>39</v>
      </c>
      <c r="D176" s="162">
        <v>46184</v>
      </c>
      <c r="E176" s="1" t="s">
        <v>235</v>
      </c>
      <c r="F176" s="232">
        <v>46195</v>
      </c>
      <c r="G176" s="163" t="s">
        <v>41</v>
      </c>
      <c r="H176" s="1" t="s">
        <v>452</v>
      </c>
      <c r="I176" s="190" t="s">
        <v>180</v>
      </c>
      <c r="J176" s="196" t="s">
        <v>171</v>
      </c>
      <c r="K176" s="27" cm="1">
        <f t="array" ref="K176">IF(OR($B176="",$F176=""),"",WORKDAY.INTL(IF(ISNUMBER($F176),$F176,FECHA.VALOR($F176)),IF(UPPER(TRIM($B176))="AUXILIAR DE COCINA",10,15),1,FESTIVOS!$A$3:$A$1000))</f>
        <v>46210</v>
      </c>
      <c r="L176" s="77" t="str">
        <f>IF($F201="","",DATE(
    YEAR(EDATE($F201,IF(DAY($F201)&gt;=IF(UPPER(TRIM($B201))="AUXILIAR DE COCINA",17,11),1,0))),
    MONTH(EDATE($F201,IF(DAY($F201)&gt;=IF(UPPER(TRIM($B201))="AUXILIAR DE COCINA",17,11),1,0))),
    1
))</f>
        <v/>
      </c>
      <c r="M176" s="25" t="str">
        <f t="shared" si="12"/>
        <v>PENDIENTE</v>
      </c>
    </row>
    <row r="177" spans="1:13" ht="15">
      <c r="A177" s="26" t="s">
        <v>453</v>
      </c>
      <c r="B177" s="1" t="s">
        <v>53</v>
      </c>
      <c r="C177" s="1" t="s">
        <v>39</v>
      </c>
      <c r="D177" s="162">
        <v>46184</v>
      </c>
      <c r="E177" s="1" t="s">
        <v>454</v>
      </c>
      <c r="F177" s="232">
        <v>46203</v>
      </c>
      <c r="G177" s="163" t="s">
        <v>299</v>
      </c>
      <c r="H177" s="1" t="s">
        <v>455</v>
      </c>
      <c r="I177" s="190" t="s">
        <v>180</v>
      </c>
      <c r="J177" s="196" t="s">
        <v>171</v>
      </c>
      <c r="K177" s="27" cm="1">
        <f t="array" ref="K177">IF(OR($B177="",$F177=""),"",WORKDAY.INTL(IF(ISNUMBER($F177),$F177,FECHA.VALOR($F177)),IF(UPPER(TRIM($B177))="AUXILIAR DE COCINA",10,15),1,FESTIVOS!$A$3:$A$1000))</f>
        <v>46217</v>
      </c>
      <c r="L177" s="77" t="str">
        <f>IF($F201="","",DATE(
    YEAR(EDATE($F201,IF(DAY($F201)&gt;=IF(UPPER(TRIM($B201))="AUXILIAR DE COCINA",17,11),1,0))),
    MONTH(EDATE($F201,IF(DAY($F201)&gt;=IF(UPPER(TRIM($B201))="AUXILIAR DE COCINA",17,11),1,0))),
    1
))</f>
        <v/>
      </c>
      <c r="M177" s="25" t="str">
        <f t="shared" si="12"/>
        <v>PENDIENTE</v>
      </c>
    </row>
    <row r="178" spans="1:13" ht="15">
      <c r="A178" s="26" t="s">
        <v>456</v>
      </c>
      <c r="B178" s="1" t="s">
        <v>53</v>
      </c>
      <c r="C178" s="1" t="s">
        <v>39</v>
      </c>
      <c r="D178" s="162">
        <v>46184</v>
      </c>
      <c r="E178" s="1" t="s">
        <v>241</v>
      </c>
      <c r="F178" s="232">
        <v>46212</v>
      </c>
      <c r="G178" s="163" t="s">
        <v>149</v>
      </c>
      <c r="H178" s="1" t="s">
        <v>457</v>
      </c>
      <c r="I178" s="190" t="s">
        <v>177</v>
      </c>
      <c r="J178" s="196" t="s">
        <v>287</v>
      </c>
      <c r="K178" s="27" cm="1">
        <f t="array" ref="K178">IF(OR($B178="",$F178=""),"",WORKDAY.INTL(IF(ISNUMBER($F178),$F178,FECHA.VALOR($F178)),IF(UPPER(TRIM($B178))="AUXILIAR DE COCINA",10,15),1,FESTIVOS!$A$3:$A$1000))</f>
        <v>46227</v>
      </c>
      <c r="L178" s="77" t="e">
        <f>IF($G193="","",DATE(
    YEAR(EDATE($G193,IF(DAY($G193)&gt;=IF(UPPER(TRIM($B193))="AUXILIAR DE COCINA",17,11),1,0))),
    MONTH(EDATE($G193,IF(DAY($G193)&gt;=IF(UPPER(TRIM($B193))="AUXILIAR DE COCINA",17,11),1,0))),
    1
))</f>
        <v>#VALUE!</v>
      </c>
      <c r="M178" s="25" t="str">
        <f t="shared" si="12"/>
        <v>PENDIENTE</v>
      </c>
    </row>
    <row r="179" spans="1:13" ht="15">
      <c r="A179" s="26" t="s">
        <v>458</v>
      </c>
      <c r="B179" s="1" t="s">
        <v>53</v>
      </c>
      <c r="C179" s="1" t="s">
        <v>39</v>
      </c>
      <c r="D179" s="162">
        <v>46191</v>
      </c>
      <c r="E179" s="1" t="s">
        <v>350</v>
      </c>
      <c r="F179" s="232">
        <v>46217</v>
      </c>
      <c r="G179" s="163" t="s">
        <v>68</v>
      </c>
      <c r="H179" s="1" t="s">
        <v>459</v>
      </c>
      <c r="I179" s="190" t="s">
        <v>256</v>
      </c>
      <c r="J179" s="196" t="s">
        <v>171</v>
      </c>
      <c r="K179" s="27" cm="1">
        <f t="array" ref="K179">IF(OR($B179="",$F179=""),"",WORKDAY.INTL(IF(ISNUMBER($F179),$F179,FECHA.VALOR($F179)),IF(UPPER(TRIM($B179))="AUXILIAR DE COCINA",10,15),1,FESTIVOS!$A$3:$A$1000))</f>
        <v>46232</v>
      </c>
      <c r="L179" s="77">
        <f>IF($F180="","",DATE(
    YEAR(EDATE($F180,IF(DAY($F180)&gt;=IF(UPPER(TRIM($B180))="AUXILIAR DE COCINA",17,11),1,0))),
    MONTH(EDATE($F180,IF(DAY($F180)&gt;=IF(UPPER(TRIM($B180))="AUXILIAR DE COCINA",17,11),1,0))),
    1
))</f>
        <v>46204</v>
      </c>
      <c r="M179" s="25" t="str">
        <f t="shared" si="12"/>
        <v>PENDIENTE</v>
      </c>
    </row>
    <row r="180" spans="1:13" ht="15">
      <c r="A180" s="26" t="s">
        <v>460</v>
      </c>
      <c r="B180" s="1" t="s">
        <v>53</v>
      </c>
      <c r="C180" s="1" t="s">
        <v>39</v>
      </c>
      <c r="D180" s="162">
        <v>46191</v>
      </c>
      <c r="E180" s="1" t="s">
        <v>454</v>
      </c>
      <c r="F180" s="232">
        <v>46217</v>
      </c>
      <c r="G180" s="163" t="s">
        <v>433</v>
      </c>
      <c r="H180" s="1" t="s">
        <v>461</v>
      </c>
      <c r="I180" s="190" t="s">
        <v>180</v>
      </c>
      <c r="J180" s="196" t="s">
        <v>171</v>
      </c>
      <c r="K180" s="27" cm="1">
        <f t="array" ref="K180">IF(OR($B180="",$F180=""),"",WORKDAY.INTL(IF(ISNUMBER($F180),$F180,FECHA.VALOR($F180)),IF(UPPER(TRIM($B180))="AUXILIAR DE COCINA",10,15),1,FESTIVOS!$A$3:$A$1000))</f>
        <v>46232</v>
      </c>
      <c r="L180" s="77">
        <f>IF($F182="","",DATE(
    YEAR(EDATE($F182,IF(DAY($F182)&gt;=IF(UPPER(TRIM($B182))="AUXILIAR DE COCINA",17,11),1,0))),
    MONTH(EDATE($F182,IF(DAY($F182)&gt;=IF(UPPER(TRIM($B182))="AUXILIAR DE COCINA",17,11),1,0))),
    1
))</f>
        <v>46204</v>
      </c>
      <c r="M180" s="25" t="str">
        <f t="shared" si="12"/>
        <v>PENDIENTE</v>
      </c>
    </row>
    <row r="181" spans="1:13" ht="15">
      <c r="A181" s="26" t="s">
        <v>462</v>
      </c>
      <c r="B181" s="1" t="s">
        <v>53</v>
      </c>
      <c r="C181" s="1" t="s">
        <v>39</v>
      </c>
      <c r="D181" s="162">
        <v>46191</v>
      </c>
      <c r="E181" s="1" t="s">
        <v>238</v>
      </c>
      <c r="F181" s="232">
        <v>46217</v>
      </c>
      <c r="G181" s="163" t="s">
        <v>68</v>
      </c>
      <c r="H181" s="1" t="s">
        <v>463</v>
      </c>
      <c r="I181" s="190" t="s">
        <v>180</v>
      </c>
      <c r="J181" s="196" t="s">
        <v>464</v>
      </c>
      <c r="K181" s="27" cm="1">
        <f t="array" ref="K181">IF(OR($B181="",$F181=""),"",WORKDAY.INTL(IF(ISNUMBER($F181),$F181,FECHA.VALOR($F181)),IF(UPPER(TRIM($B181))="AUXILIAR DE COCINA",10,15),1,FESTIVOS!$A$3:$A$1000))</f>
        <v>46232</v>
      </c>
      <c r="L181" s="77">
        <f>IF($F182="","",DATE(
    YEAR(EDATE($F182,IF(DAY($F182)&gt;=IF(UPPER(TRIM($B182))="AUXILIAR DE COCINA",17,11),1,0))),
    MONTH(EDATE($F182,IF(DAY($F182)&gt;=IF(UPPER(TRIM($B182))="AUXILIAR DE COCINA",17,11),1,0))),
    1
))</f>
        <v>46204</v>
      </c>
      <c r="M181" s="25" t="str">
        <f t="shared" si="12"/>
        <v>PENDIENTE</v>
      </c>
    </row>
    <row r="182" spans="1:13" ht="15">
      <c r="A182" s="26" t="s">
        <v>465</v>
      </c>
      <c r="B182" s="1" t="s">
        <v>53</v>
      </c>
      <c r="C182" s="1" t="s">
        <v>39</v>
      </c>
      <c r="D182" s="162">
        <v>46189</v>
      </c>
      <c r="E182" s="1" t="s">
        <v>250</v>
      </c>
      <c r="F182" s="232">
        <v>46218</v>
      </c>
      <c r="G182" s="163" t="s">
        <v>417</v>
      </c>
      <c r="H182" s="1" t="s">
        <v>61</v>
      </c>
      <c r="I182" s="190" t="s">
        <v>180</v>
      </c>
      <c r="J182" s="196" t="s">
        <v>464</v>
      </c>
      <c r="K182" s="27" cm="1">
        <f t="array" ref="K182">IF(OR($B182="",$F182=""),"",WORKDAY.INTL(IF(ISNUMBER($F182),$F182,FECHA.VALOR($F182)),IF(UPPER(TRIM($B182))="AUXILIAR DE COCINA",10,15),1,FESTIVOS!$A$3:$A$1000))</f>
        <v>46233</v>
      </c>
      <c r="L182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182" s="25" t="str">
        <f t="shared" si="12"/>
        <v>PENDIENTE</v>
      </c>
    </row>
    <row r="183" spans="1:13" ht="15">
      <c r="A183" s="26" t="s">
        <v>466</v>
      </c>
      <c r="B183" s="1" t="s">
        <v>53</v>
      </c>
      <c r="C183" s="1" t="s">
        <v>39</v>
      </c>
      <c r="D183" s="162">
        <v>46192</v>
      </c>
      <c r="E183" s="1" t="s">
        <v>250</v>
      </c>
      <c r="F183" s="232">
        <v>46219</v>
      </c>
      <c r="G183" s="163" t="s">
        <v>323</v>
      </c>
      <c r="H183" s="1" t="s">
        <v>407</v>
      </c>
      <c r="I183" s="190" t="s">
        <v>180</v>
      </c>
      <c r="J183" s="196" t="s">
        <v>171</v>
      </c>
      <c r="K183" s="27" cm="1">
        <f t="array" ref="K183">IF(OR($B183="",$F183=""),"",WORKDAY.INTL(IF(ISNUMBER($F183),$F183,FECHA.VALOR($F183)),IF(UPPER(TRIM($B183))="AUXILIAR DE COCINA",10,15),1,FESTIVOS!$A$3:$A$1000))</f>
        <v>46234</v>
      </c>
      <c r="L183" s="77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183" s="25" t="str">
        <f t="shared" si="12"/>
        <v>PENDIENTE</v>
      </c>
    </row>
    <row r="184" spans="1:13" ht="15">
      <c r="A184" s="26"/>
      <c r="B184" s="1"/>
      <c r="C184" s="1"/>
      <c r="D184" s="162"/>
      <c r="E184" s="1" t="s">
        <v>40</v>
      </c>
      <c r="F184" s="232">
        <v>46161</v>
      </c>
      <c r="G184" s="232" t="s">
        <v>323</v>
      </c>
      <c r="H184" s="1" t="s">
        <v>385</v>
      </c>
      <c r="I184" s="190" t="s">
        <v>180</v>
      </c>
      <c r="J184" s="196" t="s">
        <v>171</v>
      </c>
      <c r="K184" s="27" t="str" cm="1">
        <f t="array" ref="K184">IF(OR($B184="",$G184=""),"",WORKDAY.INTL(IF(ISNUMBER($G184),$G184,FECHA.VALOR($G184)),IF(UPPER(TRIM($B184))="AUXILIAR DE COCINA",10,15),1,FESTIVOS!$A$3:$A$1000))</f>
        <v/>
      </c>
      <c r="L184" s="77" t="e">
        <f t="shared" ref="L184:L192" si="14">IF($G185="","",DATE(
    YEAR(EDATE($G185,IF(DAY($G185)&gt;=IF(UPPER(TRIM($B185))="AUXILIAR DE COCINA",17,11),1,0))),
    MONTH(EDATE($G185,IF(DAY($G185)&gt;=IF(UPPER(TRIM($B185))="AUXILIAR DE COCINA",17,11),1,0))),
    1
))</f>
        <v>#VALUE!</v>
      </c>
      <c r="M184" s="25" t="str">
        <f t="shared" ref="M184:M193" si="15">IF($K184="","",IF(OR($D184="",$D184&lt;$G184),"PENDIENTE",IF($D184&lt;=$K184,"A TIEMPO","FUERA DE TIEMPO")))</f>
        <v/>
      </c>
    </row>
    <row r="185" spans="1:13" ht="15">
      <c r="A185" s="26"/>
      <c r="B185" s="1"/>
      <c r="C185" s="1"/>
      <c r="D185" s="162"/>
      <c r="E185" s="1" t="s">
        <v>467</v>
      </c>
      <c r="F185" s="232">
        <v>46195</v>
      </c>
      <c r="G185" s="232" t="s">
        <v>111</v>
      </c>
      <c r="H185" s="1" t="s">
        <v>447</v>
      </c>
      <c r="I185" s="190" t="s">
        <v>180</v>
      </c>
      <c r="J185" s="196" t="s">
        <v>253</v>
      </c>
      <c r="K185" s="27" t="str" cm="1">
        <f t="array" ref="K185">IF(OR($B185="",$G185=""),"",WORKDAY.INTL(IF(ISNUMBER($G185),$G185,FECHA.VALOR($G185)),IF(UPPER(TRIM($B185))="AUXILIAR DE COCINA",10,15),1,FESTIVOS!$A$3:$A$1000))</f>
        <v/>
      </c>
      <c r="L185" s="77" t="e">
        <f t="shared" si="14"/>
        <v>#VALUE!</v>
      </c>
      <c r="M185" s="25" t="str">
        <f t="shared" si="15"/>
        <v/>
      </c>
    </row>
    <row r="186" spans="1:13" ht="15">
      <c r="A186" s="26"/>
      <c r="B186" s="1"/>
      <c r="C186" s="1"/>
      <c r="D186" s="162"/>
      <c r="E186" s="1" t="s">
        <v>40</v>
      </c>
      <c r="F186" s="232">
        <v>46203</v>
      </c>
      <c r="G186" s="232" t="s">
        <v>208</v>
      </c>
      <c r="H186" s="1" t="s">
        <v>468</v>
      </c>
      <c r="I186" s="190" t="s">
        <v>180</v>
      </c>
      <c r="J186" s="196" t="s">
        <v>171</v>
      </c>
      <c r="K186" s="27" t="str" cm="1">
        <f t="array" ref="K186">IF(OR($B186="",$G186=""),"",WORKDAY.INTL(IF(ISNUMBER($G186),$G186,FECHA.VALOR($G186)),IF(UPPER(TRIM($B186))="AUXILIAR DE COCINA",10,15),1,FESTIVOS!$A$3:$A$1000))</f>
        <v/>
      </c>
      <c r="L186" s="77" t="e">
        <f t="shared" si="14"/>
        <v>#VALUE!</v>
      </c>
      <c r="M186" s="25" t="str">
        <f t="shared" si="15"/>
        <v/>
      </c>
    </row>
    <row r="187" spans="1:13" ht="15">
      <c r="A187" s="26"/>
      <c r="B187" s="1"/>
      <c r="C187" s="1"/>
      <c r="D187" s="162"/>
      <c r="E187" s="1" t="s">
        <v>469</v>
      </c>
      <c r="F187" s="232">
        <v>46212</v>
      </c>
      <c r="G187" s="232" t="s">
        <v>149</v>
      </c>
      <c r="H187" s="1" t="s">
        <v>470</v>
      </c>
      <c r="I187" s="190" t="s">
        <v>177</v>
      </c>
      <c r="J187" s="196" t="s">
        <v>171</v>
      </c>
      <c r="K187" s="27" t="str" cm="1">
        <f t="array" ref="K187">IF(OR($B187="",$G187=""),"",WORKDAY.INTL(IF(ISNUMBER($G187),$G187,FECHA.VALOR($G187)),IF(UPPER(TRIM($B187))="AUXILIAR DE COCINA",10,15),1,FESTIVOS!$A$3:$A$1000))</f>
        <v/>
      </c>
      <c r="L187" s="77" t="e">
        <f t="shared" si="14"/>
        <v>#VALUE!</v>
      </c>
      <c r="M187" s="25" t="str">
        <f t="shared" si="15"/>
        <v/>
      </c>
    </row>
    <row r="188" spans="1:13" ht="15">
      <c r="A188" s="26"/>
      <c r="B188" s="1"/>
      <c r="C188" s="1"/>
      <c r="D188" s="162"/>
      <c r="E188" s="1" t="s">
        <v>469</v>
      </c>
      <c r="F188" s="232">
        <v>46217</v>
      </c>
      <c r="G188" s="232" t="s">
        <v>65</v>
      </c>
      <c r="H188" s="1" t="s">
        <v>471</v>
      </c>
      <c r="I188" s="190" t="s">
        <v>180</v>
      </c>
      <c r="J188" s="196" t="s">
        <v>171</v>
      </c>
      <c r="K188" s="27" t="str" cm="1">
        <f t="array" ref="K188">IF(OR($B188="",$G188=""),"",WORKDAY.INTL(IF(ISNUMBER($G188),$G188,FECHA.VALOR($G188)),IF(UPPER(TRIM($B188))="AUXILIAR DE COCINA",10,15),1,FESTIVOS!$A$3:$A$1000))</f>
        <v/>
      </c>
      <c r="L188" s="77" t="e">
        <f t="shared" si="14"/>
        <v>#VALUE!</v>
      </c>
      <c r="M188" s="25" t="str">
        <f t="shared" si="15"/>
        <v/>
      </c>
    </row>
    <row r="189" spans="1:13" ht="15">
      <c r="A189" s="26"/>
      <c r="B189" s="1"/>
      <c r="C189" s="1"/>
      <c r="D189" s="162"/>
      <c r="E189" s="1" t="s">
        <v>472</v>
      </c>
      <c r="F189" s="232">
        <v>46218</v>
      </c>
      <c r="G189" s="232" t="s">
        <v>54</v>
      </c>
      <c r="H189" s="1" t="s">
        <v>473</v>
      </c>
      <c r="I189" s="190" t="s">
        <v>180</v>
      </c>
      <c r="J189" s="196" t="s">
        <v>171</v>
      </c>
      <c r="K189" s="27" t="str" cm="1">
        <f t="array" ref="K189">IF(OR($B189="",$G189=""),"",WORKDAY.INTL(IF(ISNUMBER($G189),$G189,FECHA.VALOR($G189)),IF(UPPER(TRIM($B189))="AUXILIAR DE COCINA",10,15),1,FESTIVOS!$A$3:$A$1000))</f>
        <v/>
      </c>
      <c r="L189" s="77" t="e">
        <f t="shared" si="14"/>
        <v>#VALUE!</v>
      </c>
      <c r="M189" s="25" t="str">
        <f t="shared" si="15"/>
        <v/>
      </c>
    </row>
    <row r="190" spans="1:13" ht="15">
      <c r="A190" s="26"/>
      <c r="B190" s="1"/>
      <c r="C190" s="1"/>
      <c r="D190" s="162"/>
      <c r="E190" s="1" t="s">
        <v>472</v>
      </c>
      <c r="F190" s="232">
        <v>46219</v>
      </c>
      <c r="G190" s="232" t="s">
        <v>323</v>
      </c>
      <c r="H190" s="1" t="s">
        <v>474</v>
      </c>
      <c r="I190" s="190" t="s">
        <v>180</v>
      </c>
      <c r="J190" s="196" t="s">
        <v>171</v>
      </c>
      <c r="K190" s="27" t="str" cm="1">
        <f t="array" ref="K190">IF(OR($B190="",$G190=""),"",WORKDAY.INTL(IF(ISNUMBER($G190),$G190,FECHA.VALOR($G190)),IF(UPPER(TRIM($B190))="AUXILIAR DE COCINA",10,15),1,FESTIVOS!$A$3:$A$1000))</f>
        <v/>
      </c>
      <c r="L190" s="77" t="e">
        <f t="shared" si="14"/>
        <v>#VALUE!</v>
      </c>
      <c r="M190" s="25" t="str">
        <f t="shared" si="15"/>
        <v/>
      </c>
    </row>
    <row r="191" spans="1:13" ht="15">
      <c r="A191" s="26"/>
      <c r="B191" s="1"/>
      <c r="C191" s="1"/>
      <c r="D191" s="162"/>
      <c r="E191" s="1" t="s">
        <v>475</v>
      </c>
      <c r="F191" s="232">
        <v>46224</v>
      </c>
      <c r="G191" s="232" t="s">
        <v>323</v>
      </c>
      <c r="H191" s="1" t="s">
        <v>476</v>
      </c>
      <c r="I191" s="190" t="s">
        <v>180</v>
      </c>
      <c r="J191" s="196" t="s">
        <v>171</v>
      </c>
      <c r="K191" s="27" t="str" cm="1">
        <f t="array" ref="K191">IF(OR($B191="",$G191=""),"",WORKDAY.INTL(IF(ISNUMBER($G191),$G191,FECHA.VALOR($G191)),IF(UPPER(TRIM($B191))="AUXILIAR DE COCINA",10,15),1,FESTIVOS!$A$3:$A$1000))</f>
        <v/>
      </c>
      <c r="L191" s="77" t="e">
        <f t="shared" si="14"/>
        <v>#VALUE!</v>
      </c>
      <c r="M191" s="25" t="str">
        <f t="shared" si="15"/>
        <v/>
      </c>
    </row>
    <row r="192" spans="1:13" ht="15">
      <c r="A192" s="26"/>
      <c r="B192" s="1"/>
      <c r="C192" s="1"/>
      <c r="D192" s="162"/>
      <c r="E192" s="1" t="s">
        <v>467</v>
      </c>
      <c r="F192" s="232">
        <v>46224</v>
      </c>
      <c r="G192" s="232" t="s">
        <v>318</v>
      </c>
      <c r="H192" s="1" t="s">
        <v>477</v>
      </c>
      <c r="I192" s="190" t="s">
        <v>180</v>
      </c>
      <c r="J192" s="196" t="s">
        <v>171</v>
      </c>
      <c r="K192" s="27" t="str" cm="1">
        <f t="array" ref="K192">IF(OR($B192="",$G192=""),"",WORKDAY.INTL(IF(ISNUMBER($G192),$G192,FECHA.VALOR($G192)),IF(UPPER(TRIM($B192))="AUXILIAR DE COCINA",10,15),1,FESTIVOS!$A$3:$A$1000))</f>
        <v/>
      </c>
      <c r="L192" s="77" t="e">
        <f t="shared" si="14"/>
        <v>#VALUE!</v>
      </c>
      <c r="M192" s="25" t="str">
        <f t="shared" si="15"/>
        <v/>
      </c>
    </row>
    <row r="193" spans="1:13" ht="15">
      <c r="A193" s="26"/>
      <c r="B193" s="1"/>
      <c r="C193" s="1"/>
      <c r="D193" s="162"/>
      <c r="E193" s="1" t="s">
        <v>225</v>
      </c>
      <c r="F193" s="232">
        <v>46224</v>
      </c>
      <c r="G193" s="232" t="s">
        <v>323</v>
      </c>
      <c r="H193" s="1" t="s">
        <v>478</v>
      </c>
      <c r="I193" s="190" t="s">
        <v>180</v>
      </c>
      <c r="J193" s="196" t="s">
        <v>253</v>
      </c>
      <c r="K193" s="27" t="str" cm="1">
        <f t="array" ref="K193">IF(OR($B193="",$G193=""),"",WORKDAY.INTL(IF(ISNUMBER($G193),$G193,FECHA.VALOR($G193)),IF(UPPER(TRIM($B193))="AUXILIAR DE COCINA",10,15),1,FESTIVOS!$A$3:$A$1000))</f>
        <v/>
      </c>
      <c r="L193" s="77" t="e">
        <f>IF($G195="","",DATE(
    YEAR(EDATE($G195,IF(DAY($G195)&gt;=IF(UPPER(TRIM($B195))="AUXILIAR DE COCINA",17,11),1,0))),
    MONTH(EDATE($G195,IF(DAY($G195)&gt;=IF(UPPER(TRIM($B195))="AUXILIAR DE COCINA",17,11),1,0))),
    1
))</f>
        <v>#VALUE!</v>
      </c>
      <c r="M193" s="25" t="str">
        <f t="shared" si="15"/>
        <v/>
      </c>
    </row>
    <row r="194" spans="1:13" ht="15">
      <c r="A194" s="26"/>
      <c r="B194" s="1"/>
      <c r="C194" s="1"/>
      <c r="D194" s="162"/>
      <c r="E194" s="1"/>
      <c r="F194" s="232"/>
      <c r="G194" s="356"/>
      <c r="H194" s="1"/>
      <c r="I194" s="190"/>
      <c r="J194" s="196"/>
      <c r="K194" s="27" t="str" cm="1">
        <f t="array" ref="K194">IF(OR($B194="",$F194=""),"",WORKDAY.INTL(IF(ISNUMBER($F194),$F194,FECHA.VALOR($F194)),IF(UPPER(TRIM($B194))="AUXILIAR DE COCINA",10,15),1,FESTIVOS!$A$3:$A$1000))</f>
        <v/>
      </c>
      <c r="L194" s="77">
        <f>IF($F195="","",DATE(
    YEAR(EDATE($F195,IF(DAY($F195)&gt;=IF(UPPER(TRIM($B195))="AUXILIAR DE COCINA",17,11),1,0))),
    MONTH(EDATE($F195,IF(DAY($F195)&gt;=IF(UPPER(TRIM($B195))="AUXILIAR DE COCINA",17,11),1,0))),
    1
))</f>
        <v>46235</v>
      </c>
      <c r="M194" s="25" t="str">
        <f>IF($K194="","",IF(OR($D194="",$D194&lt;$F194),"PENDIENTE",IF($D194&lt;=$K194,"A TIEMPO","FUERA DE TIEMPO")))</f>
        <v/>
      </c>
    </row>
    <row r="195" spans="1:13" ht="15">
      <c r="A195" s="26"/>
      <c r="B195" s="1"/>
      <c r="C195" s="1"/>
      <c r="D195" s="162"/>
      <c r="E195" s="1" t="s">
        <v>304</v>
      </c>
      <c r="F195" s="232">
        <v>46224</v>
      </c>
      <c r="G195" s="232" t="s">
        <v>149</v>
      </c>
      <c r="H195" s="1" t="s">
        <v>479</v>
      </c>
      <c r="I195" s="190" t="s">
        <v>280</v>
      </c>
      <c r="J195" s="196" t="s">
        <v>171</v>
      </c>
      <c r="K195" s="27" t="str" cm="1">
        <f t="array" ref="K195">IF(OR($B195="",$G195=""),"",WORKDAY.INTL(IF(ISNUMBER($G195),$G195,FECHA.VALOR($G195)),IF(UPPER(TRIM($B195))="AUXILIAR DE COCINA",10,15),1,FESTIVOS!$A$3:$A$1000))</f>
        <v/>
      </c>
      <c r="L195" s="77" t="str">
        <f>IF($F201="","",DATE(
    YEAR(EDATE($F201,IF(DAY($F201)&gt;=IF(UPPER(TRIM($B201))="AUXILIAR DE COCINA",17,11),1,0))),
    MONTH(EDATE($F201,IF(DAY($F201)&gt;=IF(UPPER(TRIM($B201))="AUXILIAR DE COCINA",17,11),1,0))),
    1
))</f>
        <v/>
      </c>
      <c r="M195" s="25" t="str">
        <f>IF($K195="","",IF(OR($D195="",$D195&lt;$G195),"PENDIENTE",IF($D195&lt;=$K195,"A TIEMPO","FUERA DE TIEMPO")))</f>
        <v/>
      </c>
    </row>
    <row r="196" spans="1:13" ht="15">
      <c r="A196" s="26"/>
      <c r="B196" s="1"/>
      <c r="C196" s="1"/>
      <c r="D196" s="162"/>
      <c r="E196" s="1"/>
      <c r="F196" s="232"/>
      <c r="G196" s="356"/>
      <c r="H196" s="1"/>
      <c r="I196" s="190"/>
      <c r="J196" s="196"/>
      <c r="K196" s="27" t="str" cm="1">
        <f t="array" ref="K196">IF(OR($B196="",$F196=""),"",WORKDAY.INTL(IF(ISNUMBER($F196),$F196,FECHA.VALOR($F196)),IF(UPPER(TRIM($B196))="AUXILIAR DE COCINA",10,15),1,FESTIVOS!$A$3:$A$1000))</f>
        <v/>
      </c>
      <c r="L196" s="77" t="str">
        <f>IF($F199="","",DATE(
    YEAR(EDATE($F199,IF(DAY($F199)&gt;=IF(UPPER(TRIM($B199))="AUXILIAR DE COCINA",17,11),1,0))),
    MONTH(EDATE($F199,IF(DAY($F199)&gt;=IF(UPPER(TRIM($B199))="AUXILIAR DE COCINA",17,11),1,0))),
    1
))</f>
        <v/>
      </c>
      <c r="M196" s="25" t="str">
        <f t="shared" ref="M196:M203" si="16">IF($K196="","",IF(OR($D196="",$D196&lt;$F196),"PENDIENTE",IF($D196&lt;=$K196,"A TIEMPO","FUERA DE TIEMPO")))</f>
        <v/>
      </c>
    </row>
    <row r="197" spans="1:13" ht="15">
      <c r="A197" s="26"/>
      <c r="B197" s="1"/>
      <c r="C197" s="1"/>
      <c r="D197" s="162"/>
      <c r="E197" s="1"/>
      <c r="F197" s="232"/>
      <c r="G197" s="356"/>
      <c r="H197" s="1"/>
      <c r="I197" s="190"/>
      <c r="J197" s="196"/>
      <c r="K197" s="27" t="str" cm="1">
        <f t="array" ref="K197">IF(OR($B197="",$F197=""),"",WORKDAY.INTL(IF(ISNUMBER($F197),$F197,FECHA.VALOR($F197)),IF(UPPER(TRIM($B197))="AUXILIAR DE COCINA",10,15),1,FESTIVOS!$A$3:$A$1000))</f>
        <v/>
      </c>
      <c r="L197" s="77" t="str">
        <f>IF($F198="","",DATE(
    YEAR(EDATE($F198,IF(DAY($F198)&gt;=IF(UPPER(TRIM($B198))="AUXILIAR DE COCINA",17,11),1,0))),
    MONTH(EDATE($F198,IF(DAY($F198)&gt;=IF(UPPER(TRIM($B198))="AUXILIAR DE COCINA",17,11),1,0))),
    1
))</f>
        <v/>
      </c>
      <c r="M197" s="25" t="str">
        <f t="shared" si="16"/>
        <v/>
      </c>
    </row>
    <row r="198" spans="1:13" ht="15">
      <c r="A198" s="26"/>
      <c r="B198" s="1"/>
      <c r="C198" s="1"/>
      <c r="D198" s="162"/>
      <c r="E198" s="1"/>
      <c r="F198" s="232"/>
      <c r="G198" s="356"/>
      <c r="H198" s="1"/>
      <c r="I198" s="190"/>
      <c r="J198" s="196"/>
      <c r="K198" s="27" t="str" cm="1">
        <f t="array" ref="K198">IF(OR($B198="",$F198=""),"",WORKDAY.INTL(IF(ISNUMBER($F198),$F198,FECHA.VALOR($F198)),IF(UPPER(TRIM($B198))="AUXILIAR DE COCINA",10,15),1,FESTIVOS!$A$3:$A$1000))</f>
        <v/>
      </c>
      <c r="L198" s="77" t="str">
        <f>IF($F199="","",DATE(
    YEAR(EDATE($F199,IF(DAY($F199)&gt;=IF(UPPER(TRIM($B199))="AUXILIAR DE COCINA",17,11),1,0))),
    MONTH(EDATE($F199,IF(DAY($F199)&gt;=IF(UPPER(TRIM($B199))="AUXILIAR DE COCINA",17,11),1,0))),
    1
))</f>
        <v/>
      </c>
      <c r="M198" s="25" t="str">
        <f t="shared" si="16"/>
        <v/>
      </c>
    </row>
    <row r="199" spans="1:13" ht="15">
      <c r="A199" s="26"/>
      <c r="B199" s="1"/>
      <c r="C199" s="1"/>
      <c r="D199" s="162"/>
      <c r="E199" s="1"/>
      <c r="F199" s="232"/>
      <c r="G199" s="356"/>
      <c r="H199" s="1"/>
      <c r="I199" s="190"/>
      <c r="J199" s="196"/>
      <c r="K199" s="27" t="str" cm="1">
        <f t="array" ref="K199">IF(OR($B199="",$F199=""),"",WORKDAY.INTL(IF(ISNUMBER($F199),$F199,FECHA.VALOR($F199)),IF(UPPER(TRIM($B199))="AUXILIAR DE COCINA",10,15),1,FESTIVOS!$A$3:$A$1000))</f>
        <v/>
      </c>
      <c r="L199" s="77" t="str">
        <f>IF($F200="","",DATE(
    YEAR(EDATE($F200,IF(DAY($F200)&gt;=IF(UPPER(TRIM($B200))="AUXILIAR DE COCINA",17,11),1,0))),
    MONTH(EDATE($F200,IF(DAY($F200)&gt;=IF(UPPER(TRIM($B200))="AUXILIAR DE COCINA",17,11),1,0))),
    1
))</f>
        <v/>
      </c>
      <c r="M199" s="25" t="str">
        <f t="shared" si="16"/>
        <v/>
      </c>
    </row>
    <row r="200" spans="1:13" ht="15">
      <c r="A200" s="26"/>
      <c r="B200" s="1"/>
      <c r="C200" s="1"/>
      <c r="D200" s="162"/>
      <c r="E200" s="1"/>
      <c r="F200" s="232"/>
      <c r="G200" s="356"/>
      <c r="H200" s="1"/>
      <c r="I200" s="190"/>
      <c r="J200" s="196"/>
      <c r="K200" s="27" t="str" cm="1">
        <f t="array" ref="K200">IF(OR($B200="",$F200=""),"",WORKDAY.INTL(IF(ISNUMBER($F200),$F200,FECHA.VALOR($F200)),IF(UPPER(TRIM($B200))="AUXILIAR DE COCINA",10,15),1,FESTIVOS!$A$3:$A$1000))</f>
        <v/>
      </c>
      <c r="L200" s="77" t="str">
        <f>IF($F201="","",DATE(
    YEAR(EDATE($F201,IF(DAY($F201)&gt;=IF(UPPER(TRIM($B201))="AUXILIAR DE COCINA",17,11),1,0))),
    MONTH(EDATE($F201,IF(DAY($F201)&gt;=IF(UPPER(TRIM($B201))="AUXILIAR DE COCINA",17,11),1,0))),
    1
))</f>
        <v/>
      </c>
      <c r="M200" s="25" t="str">
        <f t="shared" si="16"/>
        <v/>
      </c>
    </row>
    <row r="201" spans="1:13" ht="15">
      <c r="A201" s="26"/>
      <c r="B201" s="1"/>
      <c r="C201" s="1"/>
      <c r="D201" s="162"/>
      <c r="E201" s="1"/>
      <c r="F201" s="232"/>
      <c r="G201" s="163"/>
      <c r="H201" s="1"/>
      <c r="I201" s="190"/>
      <c r="J201" s="196"/>
      <c r="K201" s="27" t="str" cm="1">
        <f t="array" ref="K201">IF(OR($B201="",$F201=""),"",WORKDAY.INTL(IF(ISNUMBER($F201),$F201,FECHA.VALOR($F201)),IF(UPPER(TRIM($B201))="AUXILIAR DE COCINA",10,15),1,FESTIVOS!$A$3:$A$1000))</f>
        <v/>
      </c>
      <c r="L201" s="77" t="str">
        <f>IF($F202="","",DATE(
    YEAR(EDATE($F202,IF(DAY($F202)&gt;=IF(UPPER(TRIM($B202))="AUXILIAR DE COCINA",17,11),1,0))),
    MONTH(EDATE($F202,IF(DAY($F202)&gt;=IF(UPPER(TRIM($B202))="AUXILIAR DE COCINA",17,11),1,0))),
    1
))</f>
        <v/>
      </c>
      <c r="M201" s="25" t="str">
        <f t="shared" si="16"/>
        <v/>
      </c>
    </row>
    <row r="202" spans="1:13" ht="15">
      <c r="A202" s="26"/>
      <c r="B202" s="1"/>
      <c r="C202" s="1"/>
      <c r="D202" s="162"/>
      <c r="E202" s="1"/>
      <c r="F202" s="232"/>
      <c r="G202" s="163"/>
      <c r="H202" s="1"/>
      <c r="I202" s="190"/>
      <c r="J202" s="196"/>
      <c r="K202" s="27" t="str" cm="1">
        <f t="array" ref="K202">IF(OR($B202="",$F202=""),"",WORKDAY.INTL(IF(ISNUMBER($F202),$F202,FECHA.VALOR($F202)),IF(UPPER(TRIM($B202))="AUXILIAR DE COCINA",10,15),1,FESTIVOS!$A$3:$A$1000))</f>
        <v/>
      </c>
      <c r="L202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202" s="25" t="str">
        <f t="shared" si="16"/>
        <v/>
      </c>
    </row>
    <row r="203" spans="1:13" ht="15">
      <c r="A203" s="26"/>
      <c r="B203" s="1"/>
      <c r="C203" s="1"/>
      <c r="D203" s="162"/>
      <c r="E203" s="1"/>
      <c r="F203" s="232"/>
      <c r="G203" s="163"/>
      <c r="H203" s="1"/>
      <c r="I203" s="190"/>
      <c r="J203" s="196"/>
      <c r="K203" s="27" t="str" cm="1">
        <f t="array" ref="K203">IF(OR($B203="",$F203=""),"",WORKDAY.INTL(IF(ISNUMBER($F203),$F203,FECHA.VALOR($F203)),IF(UPPER(TRIM($B203))="AUXILIAR DE COCINA",10,15),1,FESTIVOS!$A$3:$A$1000))</f>
        <v/>
      </c>
      <c r="L203" s="77">
        <f>IF($F204="","",DATE(
    YEAR(EDATE($F204,IF(DAY($F204)&gt;=IF(UPPER(TRIM($B204))="AUXILIAR DE COCINA",17,11),1,0))),
    MONTH(EDATE($F204,IF(DAY($F204)&gt;=IF(UPPER(TRIM($B204))="AUXILIAR DE COCINA",17,11),1,0))),
    1
))</f>
        <v>46054</v>
      </c>
      <c r="M203" s="25" t="str">
        <f t="shared" si="16"/>
        <v/>
      </c>
    </row>
    <row r="204" spans="1:13" ht="19.5" customHeight="1">
      <c r="A204" s="159" t="s">
        <v>480</v>
      </c>
      <c r="B204" s="1" t="s">
        <v>38</v>
      </c>
      <c r="C204" s="1" t="s">
        <v>39</v>
      </c>
      <c r="D204" s="162">
        <v>46062</v>
      </c>
      <c r="E204" s="152" t="s">
        <v>40</v>
      </c>
      <c r="F204" s="232">
        <v>46057</v>
      </c>
      <c r="G204" s="163" t="s">
        <v>481</v>
      </c>
      <c r="H204" s="172" t="s">
        <v>202</v>
      </c>
      <c r="I204" s="190" t="s">
        <v>180</v>
      </c>
      <c r="J204" s="196" t="s">
        <v>171</v>
      </c>
      <c r="K204" s="27" t="e" cm="1">
        <f t="array" ref="K204">IF(OR(#REF!="",$F204=""),"",WORKDAY.INTL(IF(ISNUMBER($F204),$F204,FECHA.VALOR($F204)),IF(UPPER(TRIM(#REF!))="AUXILIAR DE COCINA",10,15),1,FESTIVOS!$A$3:$A$1000))</f>
        <v>#REF!</v>
      </c>
      <c r="L204" s="77">
        <f>IF($F205="","",DATE(
    YEAR(EDATE($F205,IF(DAY($F205)&gt;=IF(UPPER(TRIM($B204))="AUXILIAR DE COCINA",17,11),1,0))),
    MONTH(EDATE($F205,IF(DAY($F205)&gt;=IF(UPPER(TRIM($B204))="AUXILIAR DE COCINA",17,11),1,0))),
    1
))</f>
        <v>46054</v>
      </c>
      <c r="M204" s="25" t="e">
        <f>IF($K204="","",IF(OR(#REF!="",#REF!&lt;$F204),"PENDIENTE",IF(#REF!&lt;=$K204,"A TIEMPO","FUERA DE TIEMPO")))</f>
        <v>#REF!</v>
      </c>
    </row>
    <row r="205" spans="1:13" ht="15">
      <c r="A205" s="159" t="str">
        <f>UPPER("Maira Isabela Tulande Guerrero")</f>
        <v>MAIRA ISABELA TULANDE GUERRERO</v>
      </c>
      <c r="B205" s="1" t="s">
        <v>38</v>
      </c>
      <c r="C205" s="1" t="s">
        <v>39</v>
      </c>
      <c r="D205" s="162">
        <v>46063</v>
      </c>
      <c r="E205" s="152" t="s">
        <v>40</v>
      </c>
      <c r="F205" s="232">
        <v>46057</v>
      </c>
      <c r="G205" s="163" t="s">
        <v>323</v>
      </c>
      <c r="H205" s="173" t="s">
        <v>482</v>
      </c>
      <c r="I205" s="227" t="s">
        <v>180</v>
      </c>
      <c r="J205" s="196" t="s">
        <v>253</v>
      </c>
      <c r="K205" s="27" cm="1">
        <f t="array" ref="K205">IF(OR($B204="",$F205=""),"",WORKDAY.INTL(IF(ISNUMBER($F205),$F205,FECHA.VALOR($F205)),IF(UPPER(TRIM($B204))="AUXILIAR DE COCINA",10,15),1,FESTIVOS!$A$3:$A$1000))</f>
        <v>46078</v>
      </c>
      <c r="L205" s="77">
        <f>IF($F206="","",DATE(
    YEAR(EDATE($F206,IF(DAY($F206)&gt;=IF(UPPER(TRIM($B205))="AUXILIAR DE COCINA",17,11),1,0))),
    MONTH(EDATE($F206,IF(DAY($F206)&gt;=IF(UPPER(TRIM($B205))="AUXILIAR DE COCINA",17,11),1,0))),
    1
))</f>
        <v>46054</v>
      </c>
      <c r="M205" s="25" t="str">
        <f>IF($K205="","",IF(OR($D204="",$D204&lt;$F205),"PENDIENTE",IF($D204&lt;=$K205,"A TIEMPO","FUERA DE TIEMPO")))</f>
        <v>A TIEMPO</v>
      </c>
    </row>
    <row r="206" spans="1:13" ht="15">
      <c r="A206" s="26" t="s">
        <v>483</v>
      </c>
      <c r="B206" s="1" t="s">
        <v>38</v>
      </c>
      <c r="C206" s="1" t="s">
        <v>39</v>
      </c>
      <c r="D206" s="162">
        <v>46063</v>
      </c>
      <c r="E206" s="152" t="s">
        <v>40</v>
      </c>
      <c r="F206" s="232">
        <v>46057</v>
      </c>
      <c r="G206" s="163" t="s">
        <v>68</v>
      </c>
      <c r="H206" s="173" t="s">
        <v>484</v>
      </c>
      <c r="I206" s="227" t="s">
        <v>180</v>
      </c>
      <c r="J206" s="249" t="s">
        <v>253</v>
      </c>
      <c r="K206" s="27" cm="1">
        <f t="array" ref="K206">IF(OR($B205="",$F206=""),"",WORKDAY.INTL(IF(ISNUMBER($F206),$F206,FECHA.VALOR($F206)),IF(UPPER(TRIM($B205))="AUXILIAR DE COCINA",10,15),1,FESTIVOS!$A$3:$A$1000))</f>
        <v>46078</v>
      </c>
      <c r="L206" s="77">
        <f>IF($F207="","",DATE(
    YEAR(EDATE($F207,IF(DAY($F207)&gt;=IF(UPPER(TRIM($B206))="AUXILIAR DE COCINA",17,11),1,0))),
    MONTH(EDATE($F207,IF(DAY($F207)&gt;=IF(UPPER(TRIM($B206))="AUXILIAR DE COCINA",17,11),1,0))),
    1
))</f>
        <v>46054</v>
      </c>
      <c r="M206" s="25" t="str">
        <f t="shared" ref="M206:M209" si="17">IF($K206="","",IF(OR($D206="",$D206&lt;$F206),"PENDIENTE",IF($D206&lt;=$K206,"A TIEMPO","FUERA DE TIEMPO")))</f>
        <v>A TIEMPO</v>
      </c>
    </row>
    <row r="207" spans="1:13" ht="15">
      <c r="A207" s="26" t="s">
        <v>485</v>
      </c>
      <c r="B207" s="1" t="s">
        <v>38</v>
      </c>
      <c r="C207" s="1" t="s">
        <v>39</v>
      </c>
      <c r="D207" s="162">
        <v>46064</v>
      </c>
      <c r="E207" s="152" t="s">
        <v>40</v>
      </c>
      <c r="F207" s="232">
        <v>46057</v>
      </c>
      <c r="G207" s="163" t="s">
        <v>318</v>
      </c>
      <c r="H207" s="26" t="s">
        <v>486</v>
      </c>
      <c r="I207" s="241" t="s">
        <v>180</v>
      </c>
      <c r="J207" s="74" t="s">
        <v>287</v>
      </c>
      <c r="K207" s="28" cm="1">
        <f t="array" ref="K207">IF(OR($B206="",$F207=""),"",WORKDAY.INTL(IF(ISNUMBER($F207),$F207,FECHA.VALOR($F207)),IF(UPPER(TRIM($B206))="AUXILIAR DE COCINA",10,15),1,FESTIVOS!$A$3:$A$1000))</f>
        <v>46078</v>
      </c>
      <c r="L207" s="77">
        <f>IF($F208="","",DATE(
    YEAR(EDATE($F208,IF(DAY($F208)&gt;=IF(UPPER(TRIM($B207))="AUXILIAR DE COCINA",17,11),1,0))),
    MONTH(EDATE($F208,IF(DAY($F208)&gt;=IF(UPPER(TRIM($B207))="AUXILIAR DE COCINA",17,11),1,0))),
    1
))</f>
        <v>46054</v>
      </c>
      <c r="M207" s="25" t="str">
        <f t="shared" si="17"/>
        <v>A TIEMPO</v>
      </c>
    </row>
    <row r="208" spans="1:13" ht="15">
      <c r="A208" s="26" t="s">
        <v>487</v>
      </c>
      <c r="B208" s="1" t="s">
        <v>38</v>
      </c>
      <c r="C208" s="1" t="s">
        <v>39</v>
      </c>
      <c r="D208" s="162">
        <v>46064</v>
      </c>
      <c r="E208" s="152" t="s">
        <v>40</v>
      </c>
      <c r="F208" s="232">
        <v>46057</v>
      </c>
      <c r="G208" s="163" t="s">
        <v>331</v>
      </c>
      <c r="H208" s="173" t="s">
        <v>488</v>
      </c>
      <c r="I208" s="227" t="s">
        <v>180</v>
      </c>
      <c r="J208" s="270" t="s">
        <v>253</v>
      </c>
      <c r="K208" s="15" cm="1">
        <f t="array" ref="K208">IF(OR($B207="",$F208=""),"",WORKDAY.INTL(IF(ISNUMBER($F208),$F208,FECHA.VALOR($F208)),IF(UPPER(TRIM($B207))="AUXILIAR DE COCINA",10,15),1,FESTIVOS!$A$3:$A$1000))</f>
        <v>46078</v>
      </c>
      <c r="L208" s="77">
        <f>IF($F209="","",DATE(
    YEAR(EDATE($F209,IF(DAY($F209)&gt;=IF(UPPER(TRIM($B208))="AUXILIAR DE COCINA",17,11),1,0))),
    MONTH(EDATE($F209,IF(DAY($F209)&gt;=IF(UPPER(TRIM($B208))="AUXILIAR DE COCINA",17,11),1,0))),
    1
))</f>
        <v>46054</v>
      </c>
      <c r="M208" s="25" t="str">
        <f t="shared" si="17"/>
        <v>A TIEMPO</v>
      </c>
    </row>
    <row r="209" spans="1:13" ht="15">
      <c r="A209" s="271" t="s">
        <v>489</v>
      </c>
      <c r="B209" s="1" t="s">
        <v>38</v>
      </c>
      <c r="C209" s="148" t="s">
        <v>39</v>
      </c>
      <c r="D209" s="151">
        <v>46063</v>
      </c>
      <c r="E209" s="152" t="s">
        <v>40</v>
      </c>
      <c r="F209" s="232">
        <v>46057</v>
      </c>
      <c r="G209" s="163" t="s">
        <v>149</v>
      </c>
      <c r="H209" s="272" t="s">
        <v>490</v>
      </c>
      <c r="I209" s="227" t="s">
        <v>180</v>
      </c>
      <c r="J209" s="270" t="s">
        <v>253</v>
      </c>
      <c r="K209" s="15" cm="1">
        <f t="array" ref="K209">IF(OR($B208="",$F209=""),"",WORKDAY.INTL(IF(ISNUMBER($F209),$F209,FECHA.VALOR($F209)),IF(UPPER(TRIM($B208))="AUXILIAR DE COCINA",10,15),1,FESTIVOS!$A$3:$A$1000))</f>
        <v>46078</v>
      </c>
      <c r="L209" s="77">
        <f t="shared" ref="L209" si="18">IF($F210="","",DATE(
    YEAR(EDATE($F210,IF(DAY($F210)&gt;=IF(UPPER(TRIM($B210))="AUXILIAR DE COCINA",17,11),1,0))),
    MONTH(EDATE($F210,IF(DAY($F210)&gt;=IF(UPPER(TRIM($B210))="AUXILIAR DE COCINA",17,11),1,0))),
    1
))</f>
        <v>46082</v>
      </c>
      <c r="M209" s="25" t="str">
        <f t="shared" si="17"/>
        <v>A TIEMPO</v>
      </c>
    </row>
    <row r="210" spans="1:13" ht="14.25">
      <c r="A210" s="271" t="s">
        <v>491</v>
      </c>
      <c r="B210" s="1" t="s">
        <v>38</v>
      </c>
      <c r="C210" s="1" t="s">
        <v>39</v>
      </c>
      <c r="D210" s="151">
        <v>46072</v>
      </c>
      <c r="E210" s="152" t="s">
        <v>40</v>
      </c>
      <c r="F210" s="232">
        <v>46071</v>
      </c>
      <c r="G210" s="163" t="s">
        <v>323</v>
      </c>
      <c r="H210" s="239" t="s">
        <v>492</v>
      </c>
      <c r="I210" s="11" t="s">
        <v>180</v>
      </c>
      <c r="J210" s="197" t="s">
        <v>253</v>
      </c>
      <c r="K210" s="15" cm="1">
        <f t="array" ref="K210">IF(OR($B210="",$F210=""),"",WORKDAY.INTL(IF(ISNUMBER($F210),$F210,FECHA.VALOR($F210)),IF(UPPER(TRIM($B210))="AUXILIAR DE COCINA",10,15),1,FESTIVOS!$A$3:$A$1000))</f>
        <v>46092</v>
      </c>
      <c r="L210" s="77">
        <f>IF($F212="","",DATE(
    YEAR(EDATE($F212,IF(DAY($F212)&gt;=IF(UPPER(TRIM($B211))="AUXILIAR DE COCINA",17,11),1,0))),
    MONTH(EDATE($F212,IF(DAY($F212)&gt;=IF(UPPER(TRIM($B211))="AUXILIAR DE COCINA",17,11),1,0))),
    1
))</f>
        <v>46082</v>
      </c>
      <c r="M210" s="25" t="str">
        <f t="shared" ref="M210" si="19">IF($K210="","",IF(OR($D210="",$D210&lt;$F210),"PENDIENTE",IF($D210&lt;=$K210,"A TIEMPO","FUERA DE TIEMPO")))</f>
        <v>A TIEMPO</v>
      </c>
    </row>
    <row r="211" spans="1:13" ht="14.25">
      <c r="A211" s="285" t="s">
        <v>493</v>
      </c>
      <c r="B211" s="1" t="s">
        <v>38</v>
      </c>
      <c r="C211" s="1" t="s">
        <v>39</v>
      </c>
      <c r="D211" s="151">
        <v>46092</v>
      </c>
      <c r="E211" s="152" t="s">
        <v>40</v>
      </c>
      <c r="F211" s="232">
        <v>46062</v>
      </c>
      <c r="G211" s="163" t="s">
        <v>149</v>
      </c>
      <c r="H211" s="1" t="s">
        <v>494</v>
      </c>
      <c r="I211" s="13" t="s">
        <v>180</v>
      </c>
      <c r="J211" s="74" t="s">
        <v>171</v>
      </c>
      <c r="K211" s="27"/>
      <c r="L211" s="77" t="e">
        <f>IF($F213="","",DATE(
    YEAR(EDATE($F213,IF(DAY($F213)&gt;=IF(UPPER(TRIM(#REF!))="AUXILIAR DE COCINA",17,11),1,0))),
    MONTH(EDATE($F213,IF(DAY($F213)&gt;=IF(UPPER(TRIM(#REF!))="AUXILIAR DE COCINA",17,11),1,0))),
    1
))</f>
        <v>#REF!</v>
      </c>
      <c r="M211" s="25" t="str">
        <f>IF($K212="","",IF(OR($D211="",$D211&lt;$F212),"PENDIENTE",IF($D211&lt;=$K212,"A TIEMPO","FUERA DE TIEMPO")))</f>
        <v>A TIEMPO</v>
      </c>
    </row>
    <row r="212" spans="1:13">
      <c r="A212" s="269" t="s">
        <v>495</v>
      </c>
      <c r="B212" s="1" t="s">
        <v>38</v>
      </c>
      <c r="C212" s="1" t="s">
        <v>39</v>
      </c>
      <c r="D212" s="151">
        <v>46092</v>
      </c>
      <c r="E212" s="1" t="s">
        <v>40</v>
      </c>
      <c r="F212" s="232">
        <v>46071</v>
      </c>
      <c r="G212" s="163" t="s">
        <v>41</v>
      </c>
      <c r="H212" s="239" t="s">
        <v>496</v>
      </c>
      <c r="I212" s="11" t="s">
        <v>180</v>
      </c>
      <c r="J212" s="197" t="s">
        <v>253</v>
      </c>
      <c r="K212" s="15" cm="1">
        <f t="array" ref="K212">IF(OR($B211="",$F212=""),"",WORKDAY.INTL(IF(ISNUMBER($F212),$F212,FECHA.VALOR($F212)),IF(UPPER(TRIM($B211))="AUXILIAR DE COCINA",10,15),1,FESTIVOS!$A$3:$A$1000))</f>
        <v>46092</v>
      </c>
      <c r="L212" s="77">
        <f>IF($F214="","",DATE(
    YEAR(EDATE($F214,IF(DAY($F214)&gt;=IF(UPPER(TRIM($B214))="AUXILIAR DE COCINA",17,11),1,0))),
    MONTH(EDATE($F214,IF(DAY($F214)&gt;=IF(UPPER(TRIM($B214))="AUXILIAR DE COCINA",17,11),1,0))),
    1
))</f>
        <v>46082</v>
      </c>
      <c r="M212" s="25" t="e">
        <f>IF(#REF!="","",IF(OR($D212="",$D212&lt;#REF!),"PENDIENTE",IF($D212&lt;=#REF!,"A TIEMPO","FUERA DE TIEMPO")))</f>
        <v>#REF!</v>
      </c>
    </row>
    <row r="213" spans="1:13">
      <c r="A213" s="269" t="s">
        <v>497</v>
      </c>
      <c r="B213" s="1" t="s">
        <v>38</v>
      </c>
      <c r="C213" s="1" t="s">
        <v>39</v>
      </c>
      <c r="D213" s="151">
        <v>46092</v>
      </c>
      <c r="E213" s="1" t="s">
        <v>40</v>
      </c>
      <c r="F213" s="232">
        <v>46073</v>
      </c>
      <c r="G213" s="240" t="s">
        <v>129</v>
      </c>
      <c r="H213" s="272" t="s">
        <v>498</v>
      </c>
      <c r="I213" s="217" t="s">
        <v>180</v>
      </c>
      <c r="J213" s="276" t="s">
        <v>287</v>
      </c>
      <c r="K213" s="15" t="e" cm="1">
        <f t="array" ref="K213">IF(OR(#REF!="",$F213=""),"",WORKDAY.INTL(IF(ISNUMBER($F213),$F213,FECHA.VALOR($F213)),IF(UPPER(TRIM(#REF!))="AUXILIAR DE COCINA",10,15),1,FESTIVOS!$A$3:$A$1000))</f>
        <v>#REF!</v>
      </c>
      <c r="L213" s="77">
        <f>IF($F214="","",DATE(
    YEAR(EDATE($F214,IF(DAY($F214)&gt;=IF(UPPER(TRIM($B214))="AUXILIAR DE COCINA",17,11),1,0))),
    MONTH(EDATE($F214,IF(DAY($F214)&gt;=IF(UPPER(TRIM($B214))="AUXILIAR DE COCINA",17,11),1,0))),
    1
))</f>
        <v>46082</v>
      </c>
      <c r="M213" s="25" t="e">
        <f>IF(#REF!="","",IF(OR($D213="",$D213&lt;#REF!),"PENDIENTE",IF($D213&lt;=#REF!,"A TIEMPO","FUERA DE TIEMPO")))</f>
        <v>#REF!</v>
      </c>
    </row>
    <row r="214" spans="1:13" ht="14.25">
      <c r="A214" s="271" t="s">
        <v>499</v>
      </c>
      <c r="B214" s="1" t="s">
        <v>38</v>
      </c>
      <c r="C214" s="1" t="s">
        <v>39</v>
      </c>
      <c r="D214" s="151">
        <v>46092</v>
      </c>
      <c r="E214" s="1" t="s">
        <v>40</v>
      </c>
      <c r="F214" s="232">
        <v>46080</v>
      </c>
      <c r="G214" s="163" t="s">
        <v>417</v>
      </c>
      <c r="H214" s="19" t="s">
        <v>500</v>
      </c>
      <c r="I214" s="11" t="s">
        <v>256</v>
      </c>
      <c r="J214" s="197" t="s">
        <v>171</v>
      </c>
      <c r="K214" s="273" cm="1">
        <f t="array" ref="K214">IF(OR($B214="",$F214=""),"",WORKDAY.INTL(IF(ISNUMBER($F214),$F214,FECHA.VALOR($F214)),IF(UPPER(TRIM($B214))="AUXILIAR DE COCINA",10,15),1,FESTIVOS!$A$3:$A$1000))</f>
        <v>46101</v>
      </c>
      <c r="L214" s="77" t="e">
        <f t="shared" ref="L214:L253" si="20">IF($F215="","",DATE(
    YEAR(EDATE($F215,IF(DAY($F215)&gt;=IF(UPPER(TRIM($B215))="AUXILIAR DE COCINA",17,11),1,0))),
    MONTH(EDATE($F215,IF(DAY($F215)&gt;=IF(UPPER(TRIM($B215))="AUXILIAR DE COCINA",17,11),1,0))),
    1
))</f>
        <v>#VALUE!</v>
      </c>
      <c r="M214" s="25" t="str">
        <f t="shared" ref="M214:M254" si="21">IF($K214="","",IF(OR($D214="",$D214&lt;$F214),"PENDIENTE",IF($D214&lt;=$K214,"A TIEMPO","FUERA DE TIEMPO")))</f>
        <v>A TIEMPO</v>
      </c>
    </row>
    <row r="215" spans="1:13" ht="14.25">
      <c r="A215" s="271" t="s">
        <v>501</v>
      </c>
      <c r="B215" s="1" t="s">
        <v>38</v>
      </c>
      <c r="C215" s="1" t="s">
        <v>39</v>
      </c>
      <c r="D215" s="151">
        <v>46106</v>
      </c>
      <c r="E215" s="1" t="s">
        <v>40</v>
      </c>
      <c r="F215" s="330" t="s">
        <v>502</v>
      </c>
      <c r="G215" s="163" t="s">
        <v>503</v>
      </c>
      <c r="H215" s="19" t="s">
        <v>504</v>
      </c>
      <c r="I215" s="11" t="s">
        <v>256</v>
      </c>
      <c r="J215" s="197" t="s">
        <v>253</v>
      </c>
      <c r="K215" s="274" t="e" cm="1">
        <f t="array" aca="1" ref="K215" ca="1">IF(OR($B215="",$F215=""),"",WORKDAY.INTL(IF(ISNUMBER($F215),$F215,FECHA.VALOR($F215)),IF(UPPER(TRIM($B215))="AUXILIAR DE COCINA",10,15),1,FESTIVOS!$A$3:$A$1000))</f>
        <v>#NAME?</v>
      </c>
      <c r="L215" s="77" t="e">
        <f t="shared" si="20"/>
        <v>#VALUE!</v>
      </c>
      <c r="M215" s="25" t="e">
        <f t="shared" ca="1" si="21"/>
        <v>#NAME?</v>
      </c>
    </row>
    <row r="216" spans="1:13" ht="14.25">
      <c r="A216" s="271" t="s">
        <v>505</v>
      </c>
      <c r="B216" s="1" t="s">
        <v>38</v>
      </c>
      <c r="C216" s="1" t="s">
        <v>39</v>
      </c>
      <c r="D216" s="151">
        <v>46106</v>
      </c>
      <c r="E216" s="1" t="s">
        <v>40</v>
      </c>
      <c r="F216" s="330" t="s">
        <v>502</v>
      </c>
      <c r="G216" s="163" t="s">
        <v>132</v>
      </c>
      <c r="H216" s="19" t="s">
        <v>506</v>
      </c>
      <c r="I216" s="11" t="s">
        <v>256</v>
      </c>
      <c r="J216" s="197" t="s">
        <v>287</v>
      </c>
      <c r="K216" s="275" t="e" cm="1">
        <f t="array" aca="1" ref="K216" ca="1">IF(OR($B216="",$F216=""),"",WORKDAY.INTL(IF(ISNUMBER($F216),$F216,FECHA.VALOR($F216)),IF(UPPER(TRIM($B216))="AUXILIAR DE COCINA",10,15),1,FESTIVOS!$A$3:$A$1000))</f>
        <v>#NAME?</v>
      </c>
      <c r="L216" s="77">
        <f t="shared" si="20"/>
        <v>46082</v>
      </c>
      <c r="M216" s="25" t="e">
        <f t="shared" ca="1" si="21"/>
        <v>#NAME?</v>
      </c>
    </row>
    <row r="217" spans="1:13" ht="14.25">
      <c r="A217" s="271" t="s">
        <v>507</v>
      </c>
      <c r="B217" s="1" t="s">
        <v>38</v>
      </c>
      <c r="C217" s="1" t="s">
        <v>39</v>
      </c>
      <c r="D217" s="151">
        <v>46106</v>
      </c>
      <c r="E217" s="1" t="s">
        <v>40</v>
      </c>
      <c r="F217" s="232">
        <v>46083</v>
      </c>
      <c r="G217" s="163" t="s">
        <v>91</v>
      </c>
      <c r="H217" s="19" t="s">
        <v>508</v>
      </c>
      <c r="I217" s="11" t="s">
        <v>256</v>
      </c>
      <c r="J217" s="197" t="s">
        <v>287</v>
      </c>
      <c r="K217" s="275" cm="1">
        <f t="array" ref="K217">IF(OR($B217="",$F217=""),"",WORKDAY.INTL(IF(ISNUMBER($F217),$F217,FECHA.VALOR($F217)),IF(UPPER(TRIM($B217))="AUXILIAR DE COCINA",10,15),1,FESTIVOS!$A$3:$A$1000))</f>
        <v>46105</v>
      </c>
      <c r="L217" s="77">
        <f t="shared" si="20"/>
        <v>46113</v>
      </c>
      <c r="M217" s="25" t="str">
        <f t="shared" si="21"/>
        <v>FUERA DE TIEMPO</v>
      </c>
    </row>
    <row r="218" spans="1:13">
      <c r="A218" s="26" t="s">
        <v>509</v>
      </c>
      <c r="B218" s="1" t="s">
        <v>38</v>
      </c>
      <c r="C218" s="1" t="s">
        <v>39</v>
      </c>
      <c r="D218" s="151">
        <v>46107</v>
      </c>
      <c r="E218" s="1" t="s">
        <v>40</v>
      </c>
      <c r="F218" s="232">
        <v>46098</v>
      </c>
      <c r="G218" s="163" t="s">
        <v>318</v>
      </c>
      <c r="H218" s="19" t="s">
        <v>510</v>
      </c>
      <c r="I218" s="11" t="s">
        <v>256</v>
      </c>
      <c r="J218" s="197" t="s">
        <v>287</v>
      </c>
      <c r="K218" s="275" cm="1">
        <f t="array" ref="K218">IF(OR($B218="",$F218=""),"",WORKDAY.INTL(IF(ISNUMBER($F218),$F218,FECHA.VALOR($F218)),IF(UPPER(TRIM($B218))="AUXILIAR DE COCINA",10,15),1,FESTIVOS!$A$3:$A$1000))</f>
        <v>46122</v>
      </c>
      <c r="L218" s="77">
        <f t="shared" si="20"/>
        <v>46113</v>
      </c>
      <c r="M218" s="25" t="str">
        <f>IF($K218="","",IF(OR($D219="",$D219&lt;$F218),"PENDIENTE",IF($D219&lt;=$K218,"A TIEMPO","FUERA DE TIEMPO")))</f>
        <v>A TIEMPO</v>
      </c>
    </row>
    <row r="219" spans="1:13" ht="14.25">
      <c r="A219" s="271" t="s">
        <v>511</v>
      </c>
      <c r="B219" s="1" t="s">
        <v>38</v>
      </c>
      <c r="C219" s="1" t="s">
        <v>39</v>
      </c>
      <c r="D219" s="162">
        <v>46107</v>
      </c>
      <c r="E219" s="1" t="s">
        <v>40</v>
      </c>
      <c r="F219" s="232">
        <v>46100</v>
      </c>
      <c r="G219" s="163" t="s">
        <v>149</v>
      </c>
      <c r="H219" s="19" t="s">
        <v>512</v>
      </c>
      <c r="I219" s="11" t="s">
        <v>256</v>
      </c>
      <c r="J219" s="197" t="s">
        <v>287</v>
      </c>
      <c r="K219" s="275" cm="1">
        <f t="array" ref="K219">IF(OR($B219="",$F219=""),"",WORKDAY.INTL(IF(ISNUMBER($F219),$F219,FECHA.VALOR($F219)),IF(UPPER(TRIM($B219))="AUXILIAR DE COCINA",10,15),1,FESTIVOS!$A$3:$A$1000))</f>
        <v>46126</v>
      </c>
      <c r="L219" s="77">
        <f t="shared" si="20"/>
        <v>46113</v>
      </c>
      <c r="M219" s="25" t="e">
        <f>IF($K219="","",IF(OR(#REF!="",#REF!&lt;$F219),"PENDIENTE",IF(#REF!&lt;=$K219,"A TIEMPO","FUERA DE TIEMPO")))</f>
        <v>#REF!</v>
      </c>
    </row>
    <row r="220" spans="1:13" ht="14.25">
      <c r="A220" s="271" t="s">
        <v>513</v>
      </c>
      <c r="B220" s="1" t="s">
        <v>38</v>
      </c>
      <c r="C220" s="1" t="s">
        <v>39</v>
      </c>
      <c r="D220" s="162">
        <v>46108</v>
      </c>
      <c r="E220" s="1" t="s">
        <v>40</v>
      </c>
      <c r="F220" s="232">
        <v>46103</v>
      </c>
      <c r="G220" s="163" t="s">
        <v>129</v>
      </c>
      <c r="H220" s="19" t="s">
        <v>499</v>
      </c>
      <c r="I220" s="11" t="s">
        <v>256</v>
      </c>
      <c r="J220" s="197" t="s">
        <v>287</v>
      </c>
      <c r="K220" s="275" cm="1">
        <f t="array" ref="K220">IF(OR($B220="",$F220=""),"",WORKDAY.INTL(IF(ISNUMBER($F220),$F220,FECHA.VALOR($F220)),IF(UPPER(TRIM($B220))="AUXILIAR DE COCINA",10,15),1,FESTIVOS!$A$3:$A$1000))</f>
        <v>46127</v>
      </c>
      <c r="L220" s="77">
        <f t="shared" si="20"/>
        <v>46113</v>
      </c>
      <c r="M220" s="25" t="str">
        <f t="shared" si="21"/>
        <v>A TIEMPO</v>
      </c>
    </row>
    <row r="221" spans="1:13" ht="14.25">
      <c r="A221" s="271" t="s">
        <v>514</v>
      </c>
      <c r="B221" s="1" t="s">
        <v>38</v>
      </c>
      <c r="C221" s="1" t="s">
        <v>39</v>
      </c>
      <c r="D221" s="162">
        <v>46121</v>
      </c>
      <c r="E221" s="1" t="s">
        <v>40</v>
      </c>
      <c r="F221" s="232">
        <v>46103</v>
      </c>
      <c r="G221" s="163" t="s">
        <v>294</v>
      </c>
      <c r="H221" s="19" t="s">
        <v>515</v>
      </c>
      <c r="I221" s="11" t="s">
        <v>256</v>
      </c>
      <c r="J221" s="197" t="s">
        <v>287</v>
      </c>
      <c r="K221" s="275" cm="1">
        <f t="array" ref="K221">IF(OR($B221="",$F221=""),"",WORKDAY.INTL(IF(ISNUMBER($F221),$F221,FECHA.VALOR($F221)),IF(UPPER(TRIM($B221))="AUXILIAR DE COCINA",10,15),1,FESTIVOS!$A$3:$A$1000))</f>
        <v>46127</v>
      </c>
      <c r="L221" s="77">
        <f t="shared" si="20"/>
        <v>46113</v>
      </c>
      <c r="M221" s="25" t="str">
        <f t="shared" si="21"/>
        <v>A TIEMPO</v>
      </c>
    </row>
    <row r="222" spans="1:13" ht="14.25">
      <c r="A222" s="271" t="s">
        <v>516</v>
      </c>
      <c r="B222" s="1" t="s">
        <v>38</v>
      </c>
      <c r="C222" s="1" t="s">
        <v>39</v>
      </c>
      <c r="D222" s="162">
        <v>46121</v>
      </c>
      <c r="E222" s="1" t="s">
        <v>40</v>
      </c>
      <c r="F222" s="232">
        <v>46103</v>
      </c>
      <c r="G222" s="163" t="s">
        <v>325</v>
      </c>
      <c r="H222" s="19" t="s">
        <v>517</v>
      </c>
      <c r="I222" s="11" t="s">
        <v>256</v>
      </c>
      <c r="J222" s="197" t="s">
        <v>287</v>
      </c>
      <c r="K222" s="275" cm="1">
        <f t="array" ref="K222">IF(OR($B222="",$F222=""),"",WORKDAY.INTL(IF(ISNUMBER($F222),$F222,FECHA.VALOR($F222)),IF(UPPER(TRIM($B222))="AUXILIAR DE COCINA",10,15),1,FESTIVOS!$A$3:$A$1000))</f>
        <v>46127</v>
      </c>
      <c r="L222" s="77">
        <f t="shared" si="20"/>
        <v>46113</v>
      </c>
      <c r="M222" s="25" t="str">
        <f t="shared" si="21"/>
        <v>A TIEMPO</v>
      </c>
    </row>
    <row r="223" spans="1:13" ht="14.25">
      <c r="A223" s="271" t="s">
        <v>518</v>
      </c>
      <c r="B223" s="1" t="s">
        <v>38</v>
      </c>
      <c r="C223" s="1" t="s">
        <v>39</v>
      </c>
      <c r="D223" s="162">
        <v>46121</v>
      </c>
      <c r="E223" s="1" t="s">
        <v>40</v>
      </c>
      <c r="F223" s="232">
        <v>46104</v>
      </c>
      <c r="G223" s="163" t="s">
        <v>282</v>
      </c>
      <c r="H223" s="19" t="s">
        <v>519</v>
      </c>
      <c r="I223" s="11" t="s">
        <v>256</v>
      </c>
      <c r="J223" s="197" t="s">
        <v>287</v>
      </c>
      <c r="K223" s="275" cm="1">
        <f t="array" ref="K223">IF(OR($B223="",$F223=""),"",WORKDAY.INTL(IF(ISNUMBER($F223),$F223,FECHA.VALOR($F223)),IF(UPPER(TRIM($B223))="AUXILIAR DE COCINA",10,15),1,FESTIVOS!$A$3:$A$1000))</f>
        <v>46127</v>
      </c>
      <c r="L223" s="77">
        <f t="shared" si="20"/>
        <v>46113</v>
      </c>
      <c r="M223" s="25" t="str">
        <f t="shared" si="21"/>
        <v>A TIEMPO</v>
      </c>
    </row>
    <row r="224" spans="1:13" ht="14.25">
      <c r="A224" s="271" t="s">
        <v>520</v>
      </c>
      <c r="B224" s="1" t="s">
        <v>38</v>
      </c>
      <c r="C224" s="1" t="s">
        <v>39</v>
      </c>
      <c r="D224" s="162">
        <v>46121</v>
      </c>
      <c r="E224" s="1" t="s">
        <v>40</v>
      </c>
      <c r="F224" s="232">
        <v>46106</v>
      </c>
      <c r="G224" s="163" t="s">
        <v>521</v>
      </c>
      <c r="H224" s="19" t="s">
        <v>522</v>
      </c>
      <c r="I224" s="11" t="s">
        <v>256</v>
      </c>
      <c r="J224" s="197" t="s">
        <v>287</v>
      </c>
      <c r="K224" s="275" cm="1">
        <f t="array" ref="K224">IF(OR($B224="",$F224=""),"",WORKDAY.INTL(IF(ISNUMBER($F224),$F224,FECHA.VALOR($F224)),IF(UPPER(TRIM($B224))="AUXILIAR DE COCINA",10,15),1,FESTIVOS!$A$3:$A$1000))</f>
        <v>46129</v>
      </c>
      <c r="L224" s="77">
        <f t="shared" si="20"/>
        <v>46113</v>
      </c>
      <c r="M224" s="25" t="str">
        <f t="shared" si="21"/>
        <v>A TIEMPO</v>
      </c>
    </row>
    <row r="225" spans="1:13" ht="14.25">
      <c r="A225" s="271" t="s">
        <v>523</v>
      </c>
      <c r="B225" s="1" t="s">
        <v>38</v>
      </c>
      <c r="C225" s="1" t="s">
        <v>39</v>
      </c>
      <c r="D225" s="162">
        <v>46121</v>
      </c>
      <c r="E225" s="1" t="s">
        <v>40</v>
      </c>
      <c r="F225" s="232">
        <v>46109</v>
      </c>
      <c r="G225" s="163" t="s">
        <v>312</v>
      </c>
      <c r="H225" s="19" t="s">
        <v>524</v>
      </c>
      <c r="I225" s="11" t="s">
        <v>180</v>
      </c>
      <c r="J225" s="197" t="s">
        <v>287</v>
      </c>
      <c r="K225" s="275" cm="1">
        <f t="array" ref="K225">IF(OR($B225="",$F225=""),"",WORKDAY.INTL(IF(ISNUMBER($F225),$F225,FECHA.VALOR($F225)),IF(UPPER(TRIM($B225))="AUXILIAR DE COCINA",10,15),1,FESTIVOS!$A$3:$A$1000))</f>
        <v>46133</v>
      </c>
      <c r="L225" s="77">
        <f t="shared" si="20"/>
        <v>46113</v>
      </c>
      <c r="M225" s="25" t="str">
        <f t="shared" si="21"/>
        <v>A TIEMPO</v>
      </c>
    </row>
    <row r="226" spans="1:13" ht="14.25">
      <c r="A226" s="271" t="s">
        <v>525</v>
      </c>
      <c r="B226" s="1" t="s">
        <v>38</v>
      </c>
      <c r="C226" s="1" t="s">
        <v>39</v>
      </c>
      <c r="D226" s="162">
        <v>46120</v>
      </c>
      <c r="E226" s="1" t="s">
        <v>40</v>
      </c>
      <c r="F226" s="232">
        <v>46111</v>
      </c>
      <c r="G226" s="163" t="s">
        <v>68</v>
      </c>
      <c r="H226" s="19" t="s">
        <v>526</v>
      </c>
      <c r="I226" s="11" t="s">
        <v>256</v>
      </c>
      <c r="J226" s="197" t="s">
        <v>171</v>
      </c>
      <c r="K226" s="275" cm="1">
        <f t="array" ref="K226">IF(OR($B226="",$F226=""),"",WORKDAY.INTL(IF(ISNUMBER($F226),$F226,FECHA.VALOR($F226)),IF(UPPER(TRIM($B226))="AUXILIAR DE COCINA",10,15),1,FESTIVOS!$A$3:$A$1000))</f>
        <v>46134</v>
      </c>
      <c r="L226" s="77" t="e">
        <f t="shared" si="20"/>
        <v>#VALUE!</v>
      </c>
      <c r="M226" s="25" t="str">
        <f t="shared" si="21"/>
        <v>A TIEMPO</v>
      </c>
    </row>
    <row r="227" spans="1:13" ht="14.25">
      <c r="A227" s="271" t="s">
        <v>527</v>
      </c>
      <c r="B227" s="1" t="s">
        <v>38</v>
      </c>
      <c r="C227" s="1" t="s">
        <v>39</v>
      </c>
      <c r="D227" s="162">
        <v>46120</v>
      </c>
      <c r="E227" s="1" t="s">
        <v>40</v>
      </c>
      <c r="F227" s="330" t="s">
        <v>502</v>
      </c>
      <c r="G227" s="163" t="s">
        <v>503</v>
      </c>
      <c r="H227" s="19" t="s">
        <v>504</v>
      </c>
      <c r="I227" s="11" t="s">
        <v>256</v>
      </c>
      <c r="J227" s="197" t="s">
        <v>171</v>
      </c>
      <c r="K227" s="275" t="e" cm="1">
        <f t="array" aca="1" ref="K227" ca="1">IF(OR($B227="",$F227=""),"",WORKDAY.INTL(IF(ISNUMBER($F227),$F227,FECHA.VALOR($F227)),IF(UPPER(TRIM($B227))="AUXILIAR DE COCINA",10,15),1,FESTIVOS!$A$3:$A$1000))</f>
        <v>#NAME?</v>
      </c>
      <c r="L227" s="77" t="e">
        <f t="shared" si="20"/>
        <v>#VALUE!</v>
      </c>
      <c r="M227" s="25" t="e">
        <f t="shared" ca="1" si="21"/>
        <v>#NAME?</v>
      </c>
    </row>
    <row r="228" spans="1:13" ht="14.25">
      <c r="A228" s="271" t="s">
        <v>528</v>
      </c>
      <c r="B228" s="1" t="s">
        <v>38</v>
      </c>
      <c r="C228" s="1" t="s">
        <v>39</v>
      </c>
      <c r="D228" s="162">
        <v>46122</v>
      </c>
      <c r="E228" s="1" t="s">
        <v>40</v>
      </c>
      <c r="F228" s="330" t="s">
        <v>502</v>
      </c>
      <c r="G228" s="163" t="s">
        <v>132</v>
      </c>
      <c r="H228" s="19" t="s">
        <v>506</v>
      </c>
      <c r="I228" s="11" t="s">
        <v>180</v>
      </c>
      <c r="J228" s="197" t="s">
        <v>171</v>
      </c>
      <c r="K228" s="275" t="e" cm="1">
        <f t="array" aca="1" ref="K228" ca="1">IF(OR($B228="",$F228=""),"",WORKDAY.INTL(IF(ISNUMBER($F228),$F228,FECHA.VALOR($F228)),IF(UPPER(TRIM($B228))="AUXILIAR DE COCINA",10,15),1,FESTIVOS!$A$3:$A$1000))</f>
        <v>#NAME?</v>
      </c>
      <c r="L228" s="77">
        <f t="shared" si="20"/>
        <v>46143</v>
      </c>
      <c r="M228" s="25" t="e">
        <f t="shared" ca="1" si="21"/>
        <v>#NAME?</v>
      </c>
    </row>
    <row r="229" spans="1:13" ht="14.25">
      <c r="A229" s="26" t="s">
        <v>358</v>
      </c>
      <c r="B229" s="1" t="s">
        <v>38</v>
      </c>
      <c r="C229" s="1" t="s">
        <v>39</v>
      </c>
      <c r="D229" s="162">
        <v>46135</v>
      </c>
      <c r="E229" s="1" t="s">
        <v>40</v>
      </c>
      <c r="F229" s="232">
        <v>46133</v>
      </c>
      <c r="G229" s="163" t="s">
        <v>79</v>
      </c>
      <c r="H229" s="335" t="s">
        <v>529</v>
      </c>
      <c r="I229" s="11" t="s">
        <v>180</v>
      </c>
      <c r="J229" s="197" t="s">
        <v>171</v>
      </c>
      <c r="K229" s="275" cm="1">
        <f t="array" ref="K229">IF(OR($B229="",$F229=""),"",WORKDAY.INTL(IF(ISNUMBER($F229),$F229,FECHA.VALOR($F229)),IF(UPPER(TRIM($B229))="AUXILIAR DE COCINA",10,15),1,FESTIVOS!$A$3:$A$1000))</f>
        <v>46155</v>
      </c>
      <c r="L229" s="77">
        <f t="shared" si="20"/>
        <v>46143</v>
      </c>
      <c r="M229" s="25" t="str">
        <f t="shared" si="21"/>
        <v>A TIEMPO</v>
      </c>
    </row>
    <row r="230" spans="1:13" ht="14.25">
      <c r="A230" s="271" t="s">
        <v>530</v>
      </c>
      <c r="B230" s="1" t="s">
        <v>38</v>
      </c>
      <c r="C230" s="1" t="s">
        <v>39</v>
      </c>
      <c r="D230" s="162">
        <v>46086</v>
      </c>
      <c r="E230" s="1" t="s">
        <v>40</v>
      </c>
      <c r="F230" s="232">
        <v>46135</v>
      </c>
      <c r="G230" s="163" t="s">
        <v>91</v>
      </c>
      <c r="H230" s="19" t="s">
        <v>530</v>
      </c>
      <c r="I230" s="11" t="s">
        <v>256</v>
      </c>
      <c r="J230" s="197" t="s">
        <v>171</v>
      </c>
      <c r="K230" s="275" cm="1">
        <f t="array" ref="K230">IF(OR($B230="",$F230=""),"",WORKDAY.INTL(IF(ISNUMBER($F230),$F230,FECHA.VALOR($F230)),IF(UPPER(TRIM($B230))="AUXILIAR DE COCINA",10,15),1,FESTIVOS!$A$3:$A$1000))</f>
        <v>46157</v>
      </c>
      <c r="L230" s="77">
        <f t="shared" si="20"/>
        <v>46143</v>
      </c>
      <c r="M230" s="25" t="str">
        <f t="shared" si="21"/>
        <v>PENDIENTE</v>
      </c>
    </row>
    <row r="231" spans="1:13" ht="14.25">
      <c r="A231" s="334" t="s">
        <v>528</v>
      </c>
      <c r="B231" s="1" t="s">
        <v>38</v>
      </c>
      <c r="C231" s="1" t="s">
        <v>39</v>
      </c>
      <c r="D231" s="162">
        <v>46125</v>
      </c>
      <c r="E231" s="1" t="s">
        <v>40</v>
      </c>
      <c r="F231" s="232">
        <v>46139</v>
      </c>
      <c r="G231" s="163" t="s">
        <v>323</v>
      </c>
      <c r="H231" s="19" t="s">
        <v>528</v>
      </c>
      <c r="I231" s="11" t="s">
        <v>180</v>
      </c>
      <c r="J231" s="197" t="s">
        <v>171</v>
      </c>
      <c r="K231" s="275" cm="1">
        <f t="array" ref="K231">IF(OR($B231="",$F231=""),"",WORKDAY.INTL(IF(ISNUMBER($F231),$F231,FECHA.VALOR($F231)),IF(UPPER(TRIM($B231))="AUXILIAR DE COCINA",10,15),1,FESTIVOS!$A$3:$A$1000))</f>
        <v>46162</v>
      </c>
      <c r="L231" s="77">
        <f>IF($F234="","",DATE(
    YEAR(EDATE($F234,IF(DAY($F234)&gt;=IF(UPPER(TRIM($B234))="AUXILIAR DE COCINA",17,11),1,0))),
    MONTH(EDATE($F234,IF(DAY($F234)&gt;=IF(UPPER(TRIM($B234))="AUXILIAR DE COCINA",17,11),1,0))),
    1
))</f>
        <v>46174</v>
      </c>
      <c r="M231" s="25" t="str">
        <f t="shared" si="21"/>
        <v>PENDIENTE</v>
      </c>
    </row>
    <row r="232" spans="1:13">
      <c r="A232" s="269" t="s">
        <v>531</v>
      </c>
      <c r="B232" s="1" t="s">
        <v>38</v>
      </c>
      <c r="C232" s="1" t="s">
        <v>39</v>
      </c>
      <c r="D232" s="162">
        <v>46156</v>
      </c>
      <c r="E232" s="1" t="s">
        <v>40</v>
      </c>
      <c r="F232" s="232">
        <v>46146</v>
      </c>
      <c r="G232" s="163" t="s">
        <v>323</v>
      </c>
      <c r="H232" s="1" t="s">
        <v>532</v>
      </c>
      <c r="I232" s="11" t="s">
        <v>180</v>
      </c>
      <c r="J232" s="197" t="s">
        <v>253</v>
      </c>
      <c r="K232" s="27" cm="1">
        <f t="array" ref="K232">IF(OR($B232="",$F232=""),"",WORKDAY.INTL(IF(ISNUMBER($F232),$F232,FECHA.VALOR($F232)),IF(UPPER(TRIM($B232))="AUXILIAR DE COCINA",10,15),1,FESTIVOS!$A$3:$A$1000))</f>
        <v>46168</v>
      </c>
      <c r="L232" s="77">
        <f>IF($F234="","",DATE(
    YEAR(EDATE($F234,IF(DAY($F234)&gt;=IF(UPPER(TRIM($B234))="AUXILIAR DE COCINA",17,11),1,0))),
    MONTH(EDATE($F234,IF(DAY($F234)&gt;=IF(UPPER(TRIM($B234))="AUXILIAR DE COCINA",17,11),1,0))),
    1
))</f>
        <v>46174</v>
      </c>
      <c r="M232" s="25" t="str">
        <f>IF($K232="","",IF(OR($D232="",$D232&lt;$F232),"PENDIENTE",IF($D232&lt;=$K232,"A TIEMPO","FUERA DE TIEMPO")))</f>
        <v>A TIEMPO</v>
      </c>
    </row>
    <row r="233" spans="1:13">
      <c r="A233" s="269" t="s">
        <v>533</v>
      </c>
      <c r="B233" s="1" t="s">
        <v>38</v>
      </c>
      <c r="C233" s="1" t="s">
        <v>39</v>
      </c>
      <c r="D233" s="162">
        <v>46160</v>
      </c>
      <c r="E233" s="1" t="s">
        <v>40</v>
      </c>
      <c r="F233" s="232">
        <v>46146</v>
      </c>
      <c r="G233" s="163" t="s">
        <v>68</v>
      </c>
      <c r="H233" s="1" t="s">
        <v>518</v>
      </c>
      <c r="I233" s="11" t="s">
        <v>256</v>
      </c>
      <c r="J233" s="197" t="s">
        <v>253</v>
      </c>
      <c r="K233" s="27" cm="1">
        <f t="array" ref="K233">IF(OR($B233="",$F233=""),"",WORKDAY.INTL(IF(ISNUMBER($F233),$F233,FECHA.VALOR($F233)),IF(UPPER(TRIM($B233))="AUXILIAR DE COCINA",10,15),1,FESTIVOS!$A$3:$A$1000))</f>
        <v>46168</v>
      </c>
      <c r="L233" s="77">
        <f>IF($F234="","",DATE(
    YEAR(EDATE($F234,IF(DAY($F234)&gt;=IF(UPPER(TRIM($B234))="AUXILIAR DE COCINA",17,11),1,0))),
    MONTH(EDATE($F234,IF(DAY($F234)&gt;=IF(UPPER(TRIM($B234))="AUXILIAR DE COCINA",17,11),1,0))),
    1
))</f>
        <v>46174</v>
      </c>
      <c r="M233" s="25" t="str">
        <f>IF($K233="","",IF(OR($D233="",$D233&lt;$F233),"PENDIENTE",IF($D233&lt;=$K233,"A TIEMPO","FUERA DE TIEMPO")))</f>
        <v>A TIEMPO</v>
      </c>
    </row>
    <row r="234" spans="1:13" ht="14.25">
      <c r="A234" s="334" t="s">
        <v>534</v>
      </c>
      <c r="B234" s="1" t="s">
        <v>38</v>
      </c>
      <c r="C234" s="1" t="s">
        <v>39</v>
      </c>
      <c r="D234" s="162">
        <v>46160</v>
      </c>
      <c r="E234" s="1" t="s">
        <v>475</v>
      </c>
      <c r="F234" s="232">
        <v>46153</v>
      </c>
      <c r="G234" s="163" t="s">
        <v>68</v>
      </c>
      <c r="H234" s="19" t="s">
        <v>527</v>
      </c>
      <c r="I234" s="11" t="s">
        <v>256</v>
      </c>
      <c r="J234" s="197" t="s">
        <v>171</v>
      </c>
      <c r="K234" s="275" cm="1">
        <f t="array" ref="K234">IF(OR($B234="",$F234=""),"",WORKDAY.INTL(IF(ISNUMBER($F234),$F234,FECHA.VALOR($F234)),IF(UPPER(TRIM($B234))="AUXILIAR DE COCINA",10,15),1,FESTIVOS!$A$3:$A$1000))</f>
        <v>46175</v>
      </c>
      <c r="L234" s="77">
        <f>IF($F243="","",DATE(
    YEAR(EDATE($F243,IF(DAY($F243)&gt;=IF(UPPER(TRIM($B243))="AUXILIAR DE COCINA",17,11),1,0))),
    MONTH(EDATE($F243,IF(DAY($F243)&gt;=IF(UPPER(TRIM($B243))="AUXILIAR DE COCINA",17,11),1,0))),
    1
))</f>
        <v>46174</v>
      </c>
      <c r="M234" s="25" t="str">
        <f t="shared" si="21"/>
        <v>A TIEMPO</v>
      </c>
    </row>
    <row r="235" spans="1:13">
      <c r="A235" s="269" t="s">
        <v>535</v>
      </c>
      <c r="B235" s="1" t="s">
        <v>38</v>
      </c>
      <c r="C235" s="1" t="s">
        <v>39</v>
      </c>
      <c r="D235" s="162">
        <v>46163</v>
      </c>
      <c r="E235" s="1" t="s">
        <v>475</v>
      </c>
      <c r="F235" s="232">
        <v>46153</v>
      </c>
      <c r="G235" s="163" t="s">
        <v>323</v>
      </c>
      <c r="H235" s="1" t="s">
        <v>536</v>
      </c>
      <c r="I235" s="11" t="s">
        <v>180</v>
      </c>
      <c r="J235" s="197" t="s">
        <v>444</v>
      </c>
      <c r="K235" s="27" cm="1">
        <f t="array" ref="K235">IF(OR($B235="",$F235=""),"",WORKDAY.INTL(IF(ISNUMBER($F235),$F235,FECHA.VALOR($F235)),IF(UPPER(TRIM($B235))="AUXILIAR DE COCINA",10,15),1,FESTIVOS!$A$3:$A$1000))</f>
        <v>46175</v>
      </c>
      <c r="L235" s="77">
        <f>IF($F243="","",DATE(
    YEAR(EDATE($F243,IF(DAY($F243)&gt;=IF(UPPER(TRIM($B243))="AUXILIAR DE COCINA",17,11),1,0))),
    MONTH(EDATE($F243,IF(DAY($F243)&gt;=IF(UPPER(TRIM($B243))="AUXILIAR DE COCINA",17,11),1,0))),
    1
))</f>
        <v>46174</v>
      </c>
      <c r="M235" s="25" t="str">
        <f t="shared" ref="M235:M242" si="22">IF($K235="","",IF(OR($D235="",$D235&lt;$F235),"PENDIENTE",IF($D235&lt;=$K235,"A TIEMPO","FUERA DE TIEMPO")))</f>
        <v>A TIEMPO</v>
      </c>
    </row>
    <row r="236" spans="1:13">
      <c r="A236" s="269" t="s">
        <v>537</v>
      </c>
      <c r="B236" s="1" t="s">
        <v>38</v>
      </c>
      <c r="C236" s="1" t="s">
        <v>39</v>
      </c>
      <c r="D236" s="162">
        <v>46167</v>
      </c>
      <c r="E236" s="1" t="s">
        <v>475</v>
      </c>
      <c r="F236" s="232">
        <v>46276</v>
      </c>
      <c r="G236" s="163" t="s">
        <v>132</v>
      </c>
      <c r="H236" s="1" t="s">
        <v>538</v>
      </c>
      <c r="I236" s="11" t="s">
        <v>539</v>
      </c>
      <c r="J236" s="197" t="s">
        <v>171</v>
      </c>
      <c r="K236" s="27" cm="1">
        <f t="array" ref="K236">IF(OR($B236="",$F236=""),"",WORKDAY.INTL(IF(ISNUMBER($F236),$F236,FECHA.VALOR($F236)),IF(UPPER(TRIM($B236))="AUXILIAR DE COCINA",10,15),1,FESTIVOS!$A$3:$A$1000))</f>
        <v>46297</v>
      </c>
      <c r="L236" s="77">
        <f>IF($F238="","",DATE(
    YEAR(EDATE($F238,IF(DAY($F238)&gt;=IF(UPPER(TRIM($B238))="AUXILIAR DE COCINA",17,11),1,0))),
    MONTH(EDATE($F238,IF(DAY($F238)&gt;=IF(UPPER(TRIM($B238))="AUXILIAR DE COCINA",17,11),1,0))),
    1
))</f>
        <v>46174</v>
      </c>
      <c r="M236" s="25" t="str">
        <f t="shared" si="22"/>
        <v>PENDIENTE</v>
      </c>
    </row>
    <row r="237" spans="1:13">
      <c r="A237" s="269" t="s">
        <v>540</v>
      </c>
      <c r="B237" s="1" t="s">
        <v>38</v>
      </c>
      <c r="C237" s="1" t="s">
        <v>39</v>
      </c>
      <c r="D237" s="162">
        <v>46167</v>
      </c>
      <c r="E237" s="1" t="s">
        <v>475</v>
      </c>
      <c r="F237" s="232">
        <v>46161</v>
      </c>
      <c r="G237" s="163" t="s">
        <v>102</v>
      </c>
      <c r="H237" s="1" t="s">
        <v>541</v>
      </c>
      <c r="I237" s="11" t="s">
        <v>180</v>
      </c>
      <c r="J237" s="197" t="s">
        <v>287</v>
      </c>
      <c r="K237" s="27" cm="1">
        <f t="array" ref="K237">IF(OR($B237="",$F237=""),"",WORKDAY.INTL(IF(ISNUMBER($F237),$F237,FECHA.VALOR($F237)),IF(UPPER(TRIM($B237))="AUXILIAR DE COCINA",10,15),1,FESTIVOS!$A$3:$A$1000))</f>
        <v>46183</v>
      </c>
      <c r="L237" s="77">
        <f t="shared" ref="L237:L242" si="23">IF($F238="","",DATE(
    YEAR(EDATE($F238,IF(DAY($F238)&gt;=IF(UPPER(TRIM($B238))="AUXILIAR DE COCINA",17,11),1,0))),
    MONTH(EDATE($F238,IF(DAY($F238)&gt;=IF(UPPER(TRIM($B238))="AUXILIAR DE COCINA",17,11),1,0))),
    1
))</f>
        <v>46174</v>
      </c>
      <c r="M237" s="25" t="str">
        <f t="shared" si="22"/>
        <v>A TIEMPO</v>
      </c>
    </row>
    <row r="238" spans="1:13">
      <c r="A238" s="269" t="s">
        <v>542</v>
      </c>
      <c r="B238" s="1" t="s">
        <v>38</v>
      </c>
      <c r="C238" s="1" t="s">
        <v>39</v>
      </c>
      <c r="D238" s="162">
        <v>46167</v>
      </c>
      <c r="E238" s="1" t="s">
        <v>475</v>
      </c>
      <c r="F238" s="232">
        <v>46161</v>
      </c>
      <c r="G238" s="163" t="s">
        <v>102</v>
      </c>
      <c r="H238" s="1" t="s">
        <v>543</v>
      </c>
      <c r="I238" s="11" t="s">
        <v>256</v>
      </c>
      <c r="J238" s="197" t="s">
        <v>287</v>
      </c>
      <c r="K238" s="27" cm="1">
        <f t="array" ref="K238">IF(OR($B238="",$F238=""),"",WORKDAY.INTL(IF(ISNUMBER($F238),$F238,FECHA.VALOR($F238)),IF(UPPER(TRIM($B238))="AUXILIAR DE COCINA",10,15),1,FESTIVOS!$A$3:$A$1000))</f>
        <v>46183</v>
      </c>
      <c r="L238" s="77">
        <f t="shared" si="23"/>
        <v>46174</v>
      </c>
      <c r="M238" s="25" t="str">
        <f t="shared" si="22"/>
        <v>A TIEMPO</v>
      </c>
    </row>
    <row r="239" spans="1:13">
      <c r="A239" s="269" t="s">
        <v>544</v>
      </c>
      <c r="B239" s="1" t="s">
        <v>38</v>
      </c>
      <c r="C239" s="1" t="s">
        <v>39</v>
      </c>
      <c r="D239" s="162">
        <v>46167</v>
      </c>
      <c r="E239" s="1" t="s">
        <v>475</v>
      </c>
      <c r="F239" s="232">
        <v>46161</v>
      </c>
      <c r="G239" s="163" t="s">
        <v>79</v>
      </c>
      <c r="H239" s="1" t="s">
        <v>545</v>
      </c>
      <c r="I239" s="11" t="s">
        <v>180</v>
      </c>
      <c r="J239" s="197" t="s">
        <v>171</v>
      </c>
      <c r="K239" s="27" cm="1">
        <f t="array" ref="K239">IF(OR($B239="",$F239=""),"",WORKDAY.INTL(IF(ISNUMBER($F239),$F239,FECHA.VALOR($F239)),IF(UPPER(TRIM($B239))="AUXILIAR DE COCINA",10,15),1,FESTIVOS!$A$3:$A$1000))</f>
        <v>46183</v>
      </c>
      <c r="L239" s="77">
        <f t="shared" si="23"/>
        <v>46174</v>
      </c>
      <c r="M239" s="25" t="str">
        <f t="shared" si="22"/>
        <v>A TIEMPO</v>
      </c>
    </row>
    <row r="240" spans="1:13">
      <c r="A240" s="269" t="s">
        <v>546</v>
      </c>
      <c r="B240" s="1" t="s">
        <v>38</v>
      </c>
      <c r="C240" s="1" t="s">
        <v>39</v>
      </c>
      <c r="D240" s="162">
        <v>46164</v>
      </c>
      <c r="E240" s="1" t="s">
        <v>475</v>
      </c>
      <c r="F240" s="232">
        <v>46163</v>
      </c>
      <c r="G240" s="163" t="s">
        <v>368</v>
      </c>
      <c r="H240" s="1" t="s">
        <v>547</v>
      </c>
      <c r="I240" s="11" t="s">
        <v>256</v>
      </c>
      <c r="J240" s="197" t="s">
        <v>171</v>
      </c>
      <c r="K240" s="27" cm="1">
        <f t="array" ref="K240">IF(OR($B240="",$F240=""),"",WORKDAY.INTL(IF(ISNUMBER($F240),$F240,FECHA.VALOR($F240)),IF(UPPER(TRIM($B240))="AUXILIAR DE COCINA",10,15),1,FESTIVOS!$A$3:$A$1000))</f>
        <v>46185</v>
      </c>
      <c r="L240" s="77">
        <f t="shared" si="23"/>
        <v>46174</v>
      </c>
      <c r="M240" s="25" t="str">
        <f t="shared" si="22"/>
        <v>A TIEMPO</v>
      </c>
    </row>
    <row r="241" spans="1:13">
      <c r="A241" s="269" t="s">
        <v>548</v>
      </c>
      <c r="B241" s="1" t="s">
        <v>38</v>
      </c>
      <c r="C241" s="1" t="s">
        <v>39</v>
      </c>
      <c r="D241" s="162">
        <v>46164</v>
      </c>
      <c r="E241" s="1" t="s">
        <v>475</v>
      </c>
      <c r="F241" s="232">
        <v>46171</v>
      </c>
      <c r="G241" s="163" t="s">
        <v>102</v>
      </c>
      <c r="H241" s="1" t="s">
        <v>549</v>
      </c>
      <c r="I241" s="11" t="s">
        <v>256</v>
      </c>
      <c r="J241" s="197" t="s">
        <v>171</v>
      </c>
      <c r="K241" s="27" cm="1">
        <f t="array" ref="K241">IF(OR($B241="",$F241=""),"",WORKDAY.INTL(IF(ISNUMBER($F241),$F241,FECHA.VALOR($F241)),IF(UPPER(TRIM($B241))="AUXILIAR DE COCINA",10,15),1,FESTIVOS!$A$3:$A$1000))</f>
        <v>46196</v>
      </c>
      <c r="L241" s="77">
        <f t="shared" si="23"/>
        <v>46174</v>
      </c>
      <c r="M241" s="25" t="str">
        <f t="shared" si="22"/>
        <v>PENDIENTE</v>
      </c>
    </row>
    <row r="242" spans="1:13">
      <c r="A242" s="269" t="s">
        <v>550</v>
      </c>
      <c r="B242" s="1" t="s">
        <v>38</v>
      </c>
      <c r="C242" s="1" t="s">
        <v>39</v>
      </c>
      <c r="D242" s="162">
        <v>46164</v>
      </c>
      <c r="E242" s="1" t="s">
        <v>475</v>
      </c>
      <c r="F242" s="232">
        <v>46171</v>
      </c>
      <c r="G242" s="163" t="s">
        <v>41</v>
      </c>
      <c r="H242" s="1" t="s">
        <v>551</v>
      </c>
      <c r="I242" s="11" t="s">
        <v>180</v>
      </c>
      <c r="J242" s="197" t="s">
        <v>171</v>
      </c>
      <c r="K242" s="27" cm="1">
        <f t="array" ref="K242">IF(OR($B242="",$F242=""),"",WORKDAY.INTL(IF(ISNUMBER($F242),$F242,FECHA.VALOR($F242)),IF(UPPER(TRIM($B242))="AUXILIAR DE COCINA",10,15),1,FESTIVOS!$A$3:$A$1000))</f>
        <v>46196</v>
      </c>
      <c r="L242" s="77">
        <f t="shared" si="23"/>
        <v>46174</v>
      </c>
      <c r="M242" s="25" t="str">
        <f t="shared" si="22"/>
        <v>PENDIENTE</v>
      </c>
    </row>
    <row r="243" spans="1:13" ht="14.25">
      <c r="A243" s="334" t="s">
        <v>552</v>
      </c>
      <c r="B243" s="1" t="s">
        <v>38</v>
      </c>
      <c r="C243" s="1" t="s">
        <v>39</v>
      </c>
      <c r="D243" s="162">
        <v>46169</v>
      </c>
      <c r="E243" s="1" t="s">
        <v>475</v>
      </c>
      <c r="F243" s="232">
        <v>46181</v>
      </c>
      <c r="G243" s="163" t="s">
        <v>503</v>
      </c>
      <c r="H243" s="19" t="s">
        <v>553</v>
      </c>
      <c r="I243" s="11" t="s">
        <v>180</v>
      </c>
      <c r="J243" s="197" t="s">
        <v>171</v>
      </c>
      <c r="K243" s="275" cm="1">
        <f t="array" ref="K243">IF(OR($B243="",$F243=""),"",WORKDAY.INTL(IF(ISNUMBER($F243),$F243,FECHA.VALOR($F243)),IF(UPPER(TRIM($B243))="AUXILIAR DE COCINA",10,15),1,FESTIVOS!$A$3:$A$1000))</f>
        <v>46204</v>
      </c>
      <c r="L243" s="77">
        <f t="shared" si="20"/>
        <v>46204</v>
      </c>
      <c r="M243" s="25" t="str">
        <f t="shared" si="21"/>
        <v>PENDIENTE</v>
      </c>
    </row>
    <row r="244" spans="1:13" ht="14.25">
      <c r="A244" s="334" t="s">
        <v>554</v>
      </c>
      <c r="B244" s="1" t="s">
        <v>38</v>
      </c>
      <c r="C244" s="1" t="s">
        <v>39</v>
      </c>
      <c r="D244" s="162">
        <v>46174</v>
      </c>
      <c r="E244" s="1" t="s">
        <v>475</v>
      </c>
      <c r="F244" s="232">
        <v>46188</v>
      </c>
      <c r="G244" s="163" t="s">
        <v>289</v>
      </c>
      <c r="H244" s="19" t="s">
        <v>555</v>
      </c>
      <c r="I244" s="11" t="s">
        <v>180</v>
      </c>
      <c r="J244" s="197" t="s">
        <v>171</v>
      </c>
      <c r="K244" s="275" cm="1">
        <f t="array" ref="K244">IF(OR($B244="",$F244=""),"",WORKDAY.INTL(IF(ISNUMBER($F244),$F244,FECHA.VALOR($F244)),IF(UPPER(TRIM($B244))="AUXILIAR DE COCINA",10,15),1,FESTIVOS!$A$3:$A$1000))</f>
        <v>46210</v>
      </c>
      <c r="L244" s="77">
        <f t="shared" si="20"/>
        <v>46204</v>
      </c>
      <c r="M244" s="25" t="str">
        <f t="shared" si="21"/>
        <v>PENDIENTE</v>
      </c>
    </row>
    <row r="245" spans="1:13" ht="14.25">
      <c r="A245" s="352" t="s">
        <v>556</v>
      </c>
      <c r="B245" s="1" t="s">
        <v>38</v>
      </c>
      <c r="C245" s="1" t="s">
        <v>39</v>
      </c>
      <c r="D245" s="162">
        <v>46189</v>
      </c>
      <c r="E245" s="1" t="s">
        <v>475</v>
      </c>
      <c r="F245" s="232">
        <v>46188</v>
      </c>
      <c r="G245" s="163" t="s">
        <v>368</v>
      </c>
      <c r="H245" s="19" t="s">
        <v>552</v>
      </c>
      <c r="I245" s="11" t="s">
        <v>180</v>
      </c>
      <c r="J245" s="197" t="s">
        <v>171</v>
      </c>
      <c r="K245" s="275" cm="1">
        <f t="array" ref="K245">IF(OR($B245="",$F245=""),"",WORKDAY.INTL(IF(ISNUMBER($F245),$F245,FECHA.VALOR($F245)),IF(UPPER(TRIM($B245))="AUXILIAR DE COCINA",10,15),1,FESTIVOS!$A$3:$A$1000))</f>
        <v>46210</v>
      </c>
      <c r="L245" s="77">
        <f t="shared" si="20"/>
        <v>46204</v>
      </c>
      <c r="M245" s="25" t="str">
        <f t="shared" si="21"/>
        <v>A TIEMPO</v>
      </c>
    </row>
    <row r="246" spans="1:13" ht="14.25">
      <c r="A246" s="352" t="s">
        <v>557</v>
      </c>
      <c r="B246" s="1" t="s">
        <v>38</v>
      </c>
      <c r="C246" s="1" t="s">
        <v>39</v>
      </c>
      <c r="D246" s="162">
        <v>46189</v>
      </c>
      <c r="E246" s="1" t="s">
        <v>475</v>
      </c>
      <c r="F246" s="232">
        <v>46188</v>
      </c>
      <c r="G246" s="163" t="s">
        <v>323</v>
      </c>
      <c r="H246" s="19" t="s">
        <v>558</v>
      </c>
      <c r="I246" s="11" t="s">
        <v>180</v>
      </c>
      <c r="J246" s="197" t="s">
        <v>171</v>
      </c>
      <c r="K246" s="275" cm="1">
        <f t="array" ref="K246">IF(OR($B246="",$F246=""),"",WORKDAY.INTL(IF(ISNUMBER($F246),$F246,FECHA.VALOR($F246)),IF(UPPER(TRIM($B246))="AUXILIAR DE COCINA",10,15),1,FESTIVOS!$A$3:$A$1000))</f>
        <v>46210</v>
      </c>
      <c r="L246" s="77">
        <f t="shared" si="20"/>
        <v>46204</v>
      </c>
      <c r="M246" s="25" t="str">
        <f t="shared" si="21"/>
        <v>A TIEMPO</v>
      </c>
    </row>
    <row r="247" spans="1:13" ht="14.25">
      <c r="A247" s="352" t="s">
        <v>559</v>
      </c>
      <c r="B247" s="1" t="s">
        <v>38</v>
      </c>
      <c r="C247" s="1" t="s">
        <v>39</v>
      </c>
      <c r="D247" s="162">
        <v>46192</v>
      </c>
      <c r="E247" s="1" t="s">
        <v>475</v>
      </c>
      <c r="F247" s="232">
        <v>46189</v>
      </c>
      <c r="G247" s="163" t="s">
        <v>129</v>
      </c>
      <c r="H247" s="1" t="s">
        <v>560</v>
      </c>
      <c r="I247" s="13" t="s">
        <v>180</v>
      </c>
      <c r="J247" s="74" t="s">
        <v>171</v>
      </c>
      <c r="K247" s="27" cm="1">
        <f t="array" ref="K247">IF(OR($B247="",$F247=""),"",WORKDAY.INTL(IF(ISNUMBER($F247),$F247,FECHA.VALOR($F247)),IF(UPPER(TRIM($B247))="AUXILIAR DE COCINA",10,15),1,FESTIVOS!$A$3:$A$1000))</f>
        <v>46211</v>
      </c>
      <c r="L247" s="77">
        <f t="shared" si="20"/>
        <v>46174</v>
      </c>
      <c r="M247" s="25" t="str">
        <f t="shared" si="21"/>
        <v>A TIEMPO</v>
      </c>
    </row>
    <row r="248" spans="1:13" ht="14.25">
      <c r="A248" s="352" t="s">
        <v>561</v>
      </c>
      <c r="B248" s="1" t="s">
        <v>38</v>
      </c>
      <c r="C248" s="1" t="s">
        <v>39</v>
      </c>
      <c r="D248" s="162">
        <v>46192</v>
      </c>
      <c r="E248" s="1" t="s">
        <v>475</v>
      </c>
      <c r="F248" s="232">
        <v>46174</v>
      </c>
      <c r="G248" s="163" t="s">
        <v>129</v>
      </c>
      <c r="H248" s="1" t="s">
        <v>562</v>
      </c>
      <c r="I248" s="13" t="s">
        <v>180</v>
      </c>
      <c r="J248" s="74" t="s">
        <v>171</v>
      </c>
      <c r="K248" s="27" cm="1">
        <f t="array" ref="K248">IF(OR($B248="",$F248=""),"",WORKDAY.INTL(IF(ISNUMBER($F248),$F248,FECHA.VALOR($F248)),IF(UPPER(TRIM($B248))="AUXILIAR DE COCINA",10,15),1,FESTIVOS!$A$3:$A$1000))</f>
        <v>46197</v>
      </c>
      <c r="L248" s="77">
        <f t="shared" si="20"/>
        <v>46174</v>
      </c>
      <c r="M248" s="25" t="str">
        <f t="shared" si="21"/>
        <v>A TIEMPO</v>
      </c>
    </row>
    <row r="249" spans="1:13" ht="14.25">
      <c r="A249" s="352" t="s">
        <v>563</v>
      </c>
      <c r="B249" s="1" t="s">
        <v>38</v>
      </c>
      <c r="C249" s="1" t="s">
        <v>39</v>
      </c>
      <c r="D249" s="162">
        <v>46192</v>
      </c>
      <c r="E249" s="1" t="s">
        <v>475</v>
      </c>
      <c r="F249" s="232">
        <v>46174</v>
      </c>
      <c r="G249" s="163" t="s">
        <v>312</v>
      </c>
      <c r="H249" s="1" t="s">
        <v>564</v>
      </c>
      <c r="I249" s="13" t="s">
        <v>180</v>
      </c>
      <c r="J249" s="74" t="s">
        <v>171</v>
      </c>
      <c r="K249" s="27" cm="1">
        <f t="array" ref="K249">IF(OR($B249="",$F249=""),"",WORKDAY.INTL(IF(ISNUMBER($F249),$F249,FECHA.VALOR($F249)),IF(UPPER(TRIM($B249))="AUXILIAR DE COCINA",10,15),1,FESTIVOS!$A$3:$A$1000))</f>
        <v>46197</v>
      </c>
      <c r="L249" s="77">
        <f t="shared" si="20"/>
        <v>46204</v>
      </c>
      <c r="M249" s="25" t="str">
        <f t="shared" si="21"/>
        <v>A TIEMPO</v>
      </c>
    </row>
    <row r="250" spans="1:13" ht="14.25">
      <c r="A250" s="251"/>
      <c r="B250" s="1"/>
      <c r="C250" s="1"/>
      <c r="D250" s="162"/>
      <c r="E250" s="1"/>
      <c r="F250" s="232">
        <v>46209</v>
      </c>
      <c r="G250" s="163" t="s">
        <v>565</v>
      </c>
      <c r="H250" s="1" t="s">
        <v>566</v>
      </c>
      <c r="I250" s="13" t="s">
        <v>180</v>
      </c>
      <c r="J250" s="74" t="s">
        <v>171</v>
      </c>
      <c r="K250" s="27" t="str" cm="1">
        <f t="array" ref="K250">IF(OR($B250="",$F250=""),"",WORKDAY.INTL(IF(ISNUMBER($F250),$F250,FECHA.VALOR($F250)),IF(UPPER(TRIM($B250))="AUXILIAR DE COCINA",10,15),1,FESTIVOS!$A$3:$A$1000))</f>
        <v/>
      </c>
      <c r="L250" s="77">
        <f t="shared" si="20"/>
        <v>46204</v>
      </c>
      <c r="M250" s="25" t="str">
        <f t="shared" si="21"/>
        <v/>
      </c>
    </row>
    <row r="251" spans="1:13" ht="14.25">
      <c r="A251" s="251"/>
      <c r="B251" s="1"/>
      <c r="C251" s="1"/>
      <c r="D251" s="162"/>
      <c r="E251" s="1"/>
      <c r="F251" s="232">
        <v>46209</v>
      </c>
      <c r="G251" s="163" t="s">
        <v>417</v>
      </c>
      <c r="H251" s="1" t="s">
        <v>567</v>
      </c>
      <c r="I251" s="13" t="s">
        <v>180</v>
      </c>
      <c r="J251" s="74" t="s">
        <v>171</v>
      </c>
      <c r="K251" s="27" t="str" cm="1">
        <f t="array" ref="K251">IF(OR($B251="",$F251=""),"",WORKDAY.INTL(IF(ISNUMBER($F251),$F251,FECHA.VALOR($F251)),IF(UPPER(TRIM($B251))="AUXILIAR DE COCINA",10,15),1,FESTIVOS!$A$3:$A$1000))</f>
        <v/>
      </c>
      <c r="L251" s="77">
        <f t="shared" si="20"/>
        <v>46235</v>
      </c>
      <c r="M251" s="25" t="str">
        <f t="shared" si="21"/>
        <v/>
      </c>
    </row>
    <row r="252" spans="1:13" ht="14.25">
      <c r="A252" s="251"/>
      <c r="B252" s="1"/>
      <c r="C252" s="1"/>
      <c r="D252" s="162"/>
      <c r="E252" s="1"/>
      <c r="F252" s="232">
        <v>46218</v>
      </c>
      <c r="G252" s="163" t="s">
        <v>129</v>
      </c>
      <c r="H252" s="1" t="s">
        <v>568</v>
      </c>
      <c r="I252" s="13" t="s">
        <v>180</v>
      </c>
      <c r="J252" s="74" t="s">
        <v>171</v>
      </c>
      <c r="K252" s="27" t="str" cm="1">
        <f t="array" ref="K252">IF(OR($B252="",$F252=""),"",WORKDAY.INTL(IF(ISNUMBER($F252),$F252,FECHA.VALOR($F252)),IF(UPPER(TRIM($B252))="AUXILIAR DE COCINA",10,15),1,FESTIVOS!$A$3:$A$1000))</f>
        <v/>
      </c>
      <c r="L252" s="77">
        <f t="shared" si="20"/>
        <v>46235</v>
      </c>
      <c r="M252" s="25" t="str">
        <f t="shared" si="21"/>
        <v/>
      </c>
    </row>
    <row r="253" spans="1:13" ht="14.25">
      <c r="A253" s="251"/>
      <c r="B253" s="1"/>
      <c r="C253" s="1"/>
      <c r="D253" s="162"/>
      <c r="E253" s="1"/>
      <c r="F253" s="232">
        <v>46219</v>
      </c>
      <c r="G253" s="163" t="s">
        <v>102</v>
      </c>
      <c r="H253" s="1" t="s">
        <v>569</v>
      </c>
      <c r="I253" s="13" t="s">
        <v>256</v>
      </c>
      <c r="J253" s="74" t="s">
        <v>464</v>
      </c>
      <c r="K253" s="27" t="str" cm="1">
        <f t="array" ref="K253">IF(OR($B253="",$F253=""),"",WORKDAY.INTL(IF(ISNUMBER($F253),$F253,FECHA.VALOR($F253)),IF(UPPER(TRIM($B253))="AUXILIAR DE COCINA",10,15),1,FESTIVOS!$A$3:$A$1000))</f>
        <v/>
      </c>
      <c r="L253" s="77" t="str">
        <f t="shared" si="20"/>
        <v/>
      </c>
      <c r="M253" s="25" t="str">
        <f t="shared" si="21"/>
        <v/>
      </c>
    </row>
    <row r="254" spans="1:13" ht="14.25">
      <c r="A254" s="251"/>
      <c r="B254" s="1"/>
      <c r="C254" s="1"/>
      <c r="D254" s="162"/>
      <c r="E254" s="1"/>
      <c r="F254" s="232"/>
      <c r="G254" s="163"/>
      <c r="H254" s="1"/>
      <c r="K254" s="27" t="str" cm="1">
        <f t="array" ref="K254">IF(OR($B254="",$F254=""),"",WORKDAY.INTL(IF(ISNUMBER($F254),$F254,FECHA.VALOR($F254)),IF(UPPER(TRIM($B254))="AUXILIAR DE COCINA",10,15),1,FESTIVOS!$A$3:$A$1000))</f>
        <v/>
      </c>
      <c r="L254" s="77" t="str">
        <f>IF($F306="","",DATE(
    YEAR(EDATE($F306,IF(DAY($F306)&gt;=IF(UPPER(TRIM($B306))="AUXILIAR DE COCINA",17,11),1,0))),
    MONTH(EDATE($F306,IF(DAY($F306)&gt;=IF(UPPER(TRIM($B306))="AUXILIAR DE COCINA",17,11),1,0))),
    1
))</f>
        <v/>
      </c>
      <c r="M254" s="25" t="str">
        <f t="shared" si="21"/>
        <v/>
      </c>
    </row>
    <row r="255" spans="1:13">
      <c r="A255" s="269"/>
      <c r="B255" s="1"/>
      <c r="C255" s="1"/>
      <c r="D255" s="162"/>
      <c r="E255" s="1"/>
      <c r="F255" s="232"/>
      <c r="G255" s="163"/>
      <c r="H255" s="1"/>
      <c r="K255" s="27" t="str" cm="1">
        <f t="array" ref="K255">IF(OR($B255="",$F255=""),"",WORKDAY.INTL(IF(ISNUMBER($F255),$F255,FECHA.VALOR($F255)),IF(UPPER(TRIM($B255))="AUXILIAR DE COCINA",10,15),1,FESTIVOS!$A$3:$A$1000))</f>
        <v/>
      </c>
      <c r="L255" s="77" t="str">
        <f t="shared" ref="L255:L273" si="24">IF($F256="","",DATE(
    YEAR(EDATE($F256,IF(DAY($F256)&gt;=IF(UPPER(TRIM($B256))="AUXILIAR DE COCINA",17,11),1,0))),
    MONTH(EDATE($F256,IF(DAY($F256)&gt;=IF(UPPER(TRIM($B256))="AUXILIAR DE COCINA",17,11),1,0))),
    1
))</f>
        <v/>
      </c>
      <c r="M255" s="25" t="str">
        <f t="shared" ref="M255:M305" si="25">IF($K255="","",IF(OR($D255="",$D255&lt;$F255),"PENDIENTE",IF($D255&lt;=$K255,"A TIEMPO","FUERA DE TIEMPO")))</f>
        <v/>
      </c>
    </row>
    <row r="256" spans="1:13">
      <c r="A256" s="269"/>
      <c r="B256" s="1"/>
      <c r="C256" s="1"/>
      <c r="D256" s="162"/>
      <c r="E256" s="1"/>
      <c r="F256" s="232"/>
      <c r="G256" s="163"/>
      <c r="H256" s="1"/>
      <c r="K256" s="27" t="str" cm="1">
        <f t="array" ref="K256">IF(OR($B256="",$F256=""),"",WORKDAY.INTL(IF(ISNUMBER($F256),$F256,FECHA.VALOR($F256)),IF(UPPER(TRIM($B256))="AUXILIAR DE COCINA",10,15),1,FESTIVOS!$A$3:$A$1000))</f>
        <v/>
      </c>
      <c r="L256" s="77" t="str">
        <f t="shared" si="24"/>
        <v/>
      </c>
      <c r="M256" s="25" t="str">
        <f t="shared" si="25"/>
        <v/>
      </c>
    </row>
    <row r="257" spans="1:13">
      <c r="A257" s="269"/>
      <c r="B257" s="1"/>
      <c r="C257" s="1"/>
      <c r="D257" s="162"/>
      <c r="E257" s="1"/>
      <c r="F257" s="232"/>
      <c r="G257" s="163"/>
      <c r="H257" s="1"/>
      <c r="K257" s="27" t="str" cm="1">
        <f t="array" ref="K257">IF(OR($B257="",$F257=""),"",WORKDAY.INTL(IF(ISNUMBER($F257),$F257,FECHA.VALOR($F257)),IF(UPPER(TRIM($B257))="AUXILIAR DE COCINA",10,15),1,FESTIVOS!$A$3:$A$1000))</f>
        <v/>
      </c>
      <c r="L257" s="77" t="str">
        <f t="shared" si="24"/>
        <v/>
      </c>
      <c r="M257" s="25" t="str">
        <f t="shared" si="25"/>
        <v/>
      </c>
    </row>
    <row r="258" spans="1:13">
      <c r="A258" s="269"/>
      <c r="B258" s="1"/>
      <c r="C258" s="1"/>
      <c r="D258" s="162"/>
      <c r="E258" s="1"/>
      <c r="F258" s="232"/>
      <c r="G258" s="163"/>
      <c r="H258" s="1"/>
      <c r="K258" s="27" t="str" cm="1">
        <f t="array" ref="K258">IF(OR($B258="",$F258=""),"",WORKDAY.INTL(IF(ISNUMBER($F258),$F258,FECHA.VALOR($F258)),IF(UPPER(TRIM($B258))="AUXILIAR DE COCINA",10,15),1,FESTIVOS!$A$3:$A$1000))</f>
        <v/>
      </c>
      <c r="L258" s="77" t="str">
        <f t="shared" si="24"/>
        <v/>
      </c>
      <c r="M258" s="25" t="str">
        <f t="shared" si="25"/>
        <v/>
      </c>
    </row>
    <row r="259" spans="1:13">
      <c r="A259" s="269"/>
      <c r="B259" s="1"/>
      <c r="C259" s="1"/>
      <c r="D259" s="162"/>
      <c r="E259" s="1"/>
      <c r="F259" s="232"/>
      <c r="G259" s="163"/>
      <c r="H259" s="1"/>
      <c r="K259" s="27" t="str" cm="1">
        <f t="array" ref="K259">IF(OR($B259="",$F259=""),"",WORKDAY.INTL(IF(ISNUMBER($F259),$F259,FECHA.VALOR($F259)),IF(UPPER(TRIM($B259))="AUXILIAR DE COCINA",10,15),1,FESTIVOS!$A$3:$A$1000))</f>
        <v/>
      </c>
      <c r="L259" s="77" t="str">
        <f t="shared" si="24"/>
        <v/>
      </c>
      <c r="M259" s="25" t="str">
        <f t="shared" si="25"/>
        <v/>
      </c>
    </row>
    <row r="260" spans="1:13">
      <c r="A260" s="269"/>
      <c r="B260" s="1"/>
      <c r="C260" s="1"/>
      <c r="D260" s="162"/>
      <c r="E260" s="1"/>
      <c r="F260" s="232"/>
      <c r="G260" s="163"/>
      <c r="H260" s="1"/>
      <c r="K260" s="27" t="str" cm="1">
        <f t="array" ref="K260">IF(OR($B260="",$F260=""),"",WORKDAY.INTL(IF(ISNUMBER($F260),$F260,FECHA.VALOR($F260)),IF(UPPER(TRIM($B260))="AUXILIAR DE COCINA",10,15),1,FESTIVOS!$A$3:$A$1000))</f>
        <v/>
      </c>
      <c r="L260" s="77" t="str">
        <f t="shared" si="24"/>
        <v/>
      </c>
      <c r="M260" s="25" t="str">
        <f t="shared" si="25"/>
        <v/>
      </c>
    </row>
    <row r="261" spans="1:13">
      <c r="A261" s="269"/>
      <c r="B261" s="1"/>
      <c r="C261" s="1"/>
      <c r="D261" s="162"/>
      <c r="E261" s="1"/>
      <c r="F261" s="232"/>
      <c r="G261" s="163"/>
      <c r="H261" s="1"/>
      <c r="K261" s="27" t="str" cm="1">
        <f t="array" ref="K261">IF(OR($B261="",$F261=""),"",WORKDAY.INTL(IF(ISNUMBER($F261),$F261,FECHA.VALOR($F261)),IF(UPPER(TRIM($B261))="AUXILIAR DE COCINA",10,15),1,FESTIVOS!$A$3:$A$1000))</f>
        <v/>
      </c>
      <c r="L261" s="77" t="str">
        <f t="shared" si="24"/>
        <v/>
      </c>
      <c r="M261" s="25" t="str">
        <f t="shared" si="25"/>
        <v/>
      </c>
    </row>
    <row r="262" spans="1:13">
      <c r="A262" s="269"/>
      <c r="B262" s="1"/>
      <c r="C262" s="1"/>
      <c r="D262" s="162"/>
      <c r="E262" s="1"/>
      <c r="F262" s="232"/>
      <c r="G262" s="163"/>
      <c r="H262" s="1"/>
      <c r="K262" s="27" t="str" cm="1">
        <f t="array" ref="K262">IF(OR($B262="",$F262=""),"",WORKDAY.INTL(IF(ISNUMBER($F262),$F262,FECHA.VALOR($F262)),IF(UPPER(TRIM($B262))="AUXILIAR DE COCINA",10,15),1,FESTIVOS!$A$3:$A$1000))</f>
        <v/>
      </c>
      <c r="L262" s="77" t="str">
        <f t="shared" si="24"/>
        <v/>
      </c>
      <c r="M262" s="25" t="str">
        <f t="shared" si="25"/>
        <v/>
      </c>
    </row>
    <row r="263" spans="1:13">
      <c r="A263" s="269"/>
      <c r="B263" s="1"/>
      <c r="C263" s="1"/>
      <c r="D263" s="162"/>
      <c r="E263" s="1"/>
      <c r="F263" s="232"/>
      <c r="G263" s="163"/>
      <c r="H263" s="1"/>
      <c r="K263" s="27" t="str" cm="1">
        <f t="array" ref="K263">IF(OR($B263="",$F263=""),"",WORKDAY.INTL(IF(ISNUMBER($F263),$F263,FECHA.VALOR($F263)),IF(UPPER(TRIM($B263))="AUXILIAR DE COCINA",10,15),1,FESTIVOS!$A$3:$A$1000))</f>
        <v/>
      </c>
      <c r="L263" s="77" t="str">
        <f t="shared" si="24"/>
        <v/>
      </c>
      <c r="M263" s="25" t="str">
        <f t="shared" si="25"/>
        <v/>
      </c>
    </row>
    <row r="264" spans="1:13">
      <c r="A264" s="269"/>
      <c r="B264" s="1"/>
      <c r="C264" s="1"/>
      <c r="D264" s="162"/>
      <c r="E264" s="1"/>
      <c r="F264" s="232"/>
      <c r="G264" s="163"/>
      <c r="H264" s="1"/>
      <c r="K264" s="27" t="str" cm="1">
        <f t="array" ref="K264">IF(OR($B264="",$F264=""),"",WORKDAY.INTL(IF(ISNUMBER($F264),$F264,FECHA.VALOR($F264)),IF(UPPER(TRIM($B264))="AUXILIAR DE COCINA",10,15),1,FESTIVOS!$A$3:$A$1000))</f>
        <v/>
      </c>
      <c r="L264" s="77" t="str">
        <f t="shared" si="24"/>
        <v/>
      </c>
      <c r="M264" s="25" t="str">
        <f t="shared" si="25"/>
        <v/>
      </c>
    </row>
    <row r="265" spans="1:13">
      <c r="A265" s="269"/>
      <c r="B265" s="1"/>
      <c r="C265" s="1"/>
      <c r="D265" s="162"/>
      <c r="E265" s="1"/>
      <c r="F265" s="232"/>
      <c r="G265" s="163"/>
      <c r="H265" s="1"/>
      <c r="K265" s="27" t="str" cm="1">
        <f t="array" ref="K265">IF(OR($B265="",$F265=""),"",WORKDAY.INTL(IF(ISNUMBER($F265),$F265,FECHA.VALOR($F265)),IF(UPPER(TRIM($B265))="AUXILIAR DE COCINA",10,15),1,FESTIVOS!$A$3:$A$1000))</f>
        <v/>
      </c>
      <c r="L265" s="77" t="str">
        <f t="shared" si="24"/>
        <v/>
      </c>
      <c r="M265" s="25" t="str">
        <f t="shared" si="25"/>
        <v/>
      </c>
    </row>
    <row r="266" spans="1:13">
      <c r="A266" s="269"/>
      <c r="B266" s="1"/>
      <c r="C266" s="1"/>
      <c r="D266" s="162"/>
      <c r="E266" s="1"/>
      <c r="F266" s="232"/>
      <c r="G266" s="163"/>
      <c r="H266" s="1"/>
      <c r="K266" s="27" t="str" cm="1">
        <f t="array" ref="K266">IF(OR($B266="",$F266=""),"",WORKDAY.INTL(IF(ISNUMBER($F266),$F266,FECHA.VALOR($F266)),IF(UPPER(TRIM($B266))="AUXILIAR DE COCINA",10,15),1,FESTIVOS!$A$3:$A$1000))</f>
        <v/>
      </c>
      <c r="L266" s="77" t="str">
        <f t="shared" si="24"/>
        <v/>
      </c>
      <c r="M266" s="25" t="str">
        <f t="shared" si="25"/>
        <v/>
      </c>
    </row>
    <row r="267" spans="1:13">
      <c r="A267" s="269"/>
      <c r="B267" s="1"/>
      <c r="C267" s="1"/>
      <c r="D267" s="162"/>
      <c r="E267" s="1"/>
      <c r="F267" s="232"/>
      <c r="G267" s="163"/>
      <c r="H267" s="1"/>
      <c r="K267" s="27" t="str" cm="1">
        <f t="array" ref="K267">IF(OR($B267="",$F267=""),"",WORKDAY.INTL(IF(ISNUMBER($F267),$F267,FECHA.VALOR($F267)),IF(UPPER(TRIM($B267))="AUXILIAR DE COCINA",10,15),1,FESTIVOS!$A$3:$A$1000))</f>
        <v/>
      </c>
      <c r="L267" s="77" t="str">
        <f t="shared" si="24"/>
        <v/>
      </c>
      <c r="M267" s="25" t="str">
        <f t="shared" si="25"/>
        <v/>
      </c>
    </row>
    <row r="268" spans="1:13">
      <c r="A268" s="269"/>
      <c r="B268" s="1"/>
      <c r="C268" s="1"/>
      <c r="D268" s="162"/>
      <c r="E268" s="1"/>
      <c r="F268" s="232"/>
      <c r="G268" s="163"/>
      <c r="H268" s="1"/>
      <c r="K268" s="27" t="str" cm="1">
        <f t="array" ref="K268">IF(OR($B268="",$F268=""),"",WORKDAY.INTL(IF(ISNUMBER($F268),$F268,FECHA.VALOR($F268)),IF(UPPER(TRIM($B268))="AUXILIAR DE COCINA",10,15),1,FESTIVOS!$A$3:$A$1000))</f>
        <v/>
      </c>
      <c r="L268" s="77" t="str">
        <f t="shared" si="24"/>
        <v/>
      </c>
      <c r="M268" s="25" t="str">
        <f t="shared" si="25"/>
        <v/>
      </c>
    </row>
    <row r="269" spans="1:13">
      <c r="A269" s="269"/>
      <c r="B269" s="1"/>
      <c r="C269" s="1"/>
      <c r="D269" s="162"/>
      <c r="E269" s="1"/>
      <c r="F269" s="232"/>
      <c r="G269" s="163"/>
      <c r="H269" s="1"/>
      <c r="K269" s="27" t="str" cm="1">
        <f t="array" ref="K269">IF(OR($B269="",$F269=""),"",WORKDAY.INTL(IF(ISNUMBER($F269),$F269,FECHA.VALOR($F269)),IF(UPPER(TRIM($B269))="AUXILIAR DE COCINA",10,15),1,FESTIVOS!$A$3:$A$1000))</f>
        <v/>
      </c>
      <c r="L269" s="77" t="str">
        <f t="shared" si="24"/>
        <v/>
      </c>
      <c r="M269" s="25" t="str">
        <f t="shared" si="25"/>
        <v/>
      </c>
    </row>
    <row r="270" spans="1:13">
      <c r="A270" s="269"/>
      <c r="B270" s="1"/>
      <c r="C270" s="1"/>
      <c r="D270" s="162"/>
      <c r="E270" s="1"/>
      <c r="F270" s="232"/>
      <c r="G270" s="163"/>
      <c r="H270" s="1"/>
      <c r="K270" s="27" t="str" cm="1">
        <f t="array" ref="K270">IF(OR($B270="",$F270=""),"",WORKDAY.INTL(IF(ISNUMBER($F270),$F270,FECHA.VALOR($F270)),IF(UPPER(TRIM($B270))="AUXILIAR DE COCINA",10,15),1,FESTIVOS!$A$3:$A$1000))</f>
        <v/>
      </c>
      <c r="L270" s="77" t="str">
        <f t="shared" si="24"/>
        <v/>
      </c>
      <c r="M270" s="25" t="str">
        <f t="shared" si="25"/>
        <v/>
      </c>
    </row>
    <row r="271" spans="1:13">
      <c r="A271" s="269"/>
      <c r="B271" s="1"/>
      <c r="C271" s="1"/>
      <c r="D271" s="162"/>
      <c r="E271" s="1"/>
      <c r="F271" s="232"/>
      <c r="G271" s="163"/>
      <c r="H271" s="1"/>
      <c r="K271" s="27" t="str" cm="1">
        <f t="array" ref="K271">IF(OR($B271="",$F271=""),"",WORKDAY.INTL(IF(ISNUMBER($F271),$F271,FECHA.VALOR($F271)),IF(UPPER(TRIM($B271))="AUXILIAR DE COCINA",10,15),1,FESTIVOS!$A$3:$A$1000))</f>
        <v/>
      </c>
      <c r="L271" s="77" t="str">
        <f t="shared" si="24"/>
        <v/>
      </c>
      <c r="M271" s="25" t="str">
        <f t="shared" si="25"/>
        <v/>
      </c>
    </row>
    <row r="272" spans="1:13">
      <c r="A272" s="269"/>
      <c r="B272" s="1"/>
      <c r="C272" s="1"/>
      <c r="D272" s="162"/>
      <c r="E272" s="1"/>
      <c r="F272" s="232"/>
      <c r="G272" s="163"/>
      <c r="H272" s="1"/>
      <c r="K272" s="27" t="str" cm="1">
        <f t="array" ref="K272">IF(OR($B272="",$F272=""),"",WORKDAY.INTL(IF(ISNUMBER($F272),$F272,FECHA.VALOR($F272)),IF(UPPER(TRIM($B272))="AUXILIAR DE COCINA",10,15),1,FESTIVOS!$A$3:$A$1000))</f>
        <v/>
      </c>
      <c r="L272" s="77" t="str">
        <f t="shared" si="24"/>
        <v/>
      </c>
      <c r="M272" s="25" t="str">
        <f t="shared" si="25"/>
        <v/>
      </c>
    </row>
    <row r="273" spans="1:13">
      <c r="A273" s="269"/>
      <c r="B273" s="1"/>
      <c r="C273" s="1"/>
      <c r="D273" s="162"/>
      <c r="E273" s="1"/>
      <c r="F273" s="232"/>
      <c r="G273" s="163"/>
      <c r="H273" s="1"/>
      <c r="K273" s="27" t="str" cm="1">
        <f t="array" ref="K273">IF(OR($B273="",$F273=""),"",WORKDAY.INTL(IF(ISNUMBER($F273),$F273,FECHA.VALOR($F273)),IF(UPPER(TRIM($B273))="AUXILIAR DE COCINA",10,15),1,FESTIVOS!$A$3:$A$1000))</f>
        <v/>
      </c>
      <c r="L273" s="77" t="str">
        <f t="shared" si="24"/>
        <v/>
      </c>
      <c r="M273" s="25" t="str">
        <f t="shared" si="25"/>
        <v/>
      </c>
    </row>
    <row r="274" spans="1:13">
      <c r="A274" s="269"/>
      <c r="B274" s="1"/>
      <c r="C274" s="1"/>
      <c r="D274" s="162"/>
      <c r="E274" s="1"/>
      <c r="F274" s="232"/>
      <c r="G274" s="163"/>
      <c r="H274" s="1"/>
      <c r="K274" s="27" t="str" cm="1">
        <f t="array" ref="K274">IF(OR($B274="",$F274=""),"",WORKDAY.INTL(IF(ISNUMBER($F274),$F274,FECHA.VALOR($F274)),IF(UPPER(TRIM($B274))="AUXILIAR DE COCINA",10,15),1,FESTIVOS!$A$3:$A$1000))</f>
        <v/>
      </c>
      <c r="L274" s="77" t="str">
        <f>IF($F306="","",DATE(
    YEAR(EDATE($F306,IF(DAY($F306)&gt;=IF(UPPER(TRIM($B306))="AUXILIAR DE COCINA",17,11),1,0))),
    MONTH(EDATE($F306,IF(DAY($F306)&gt;=IF(UPPER(TRIM($B306))="AUXILIAR DE COCINA",17,11),1,0))),
    1
))</f>
        <v/>
      </c>
      <c r="M274" s="25" t="str">
        <f t="shared" si="25"/>
        <v/>
      </c>
    </row>
    <row r="275" spans="1:13">
      <c r="A275" s="269"/>
      <c r="B275" s="1"/>
      <c r="C275" s="1"/>
      <c r="D275" s="162"/>
      <c r="E275" s="1"/>
      <c r="F275" s="232"/>
      <c r="G275" s="163"/>
      <c r="H275" s="1"/>
      <c r="K275" s="27" t="str" cm="1">
        <f t="array" ref="K275">IF(OR($B275="",$F275=""),"",WORKDAY.INTL(IF(ISNUMBER($F275),$F275,FECHA.VALOR($F275)),IF(UPPER(TRIM($B275))="AUXILIAR DE COCINA",10,15),1,FESTIVOS!$A$3:$A$1000))</f>
        <v/>
      </c>
      <c r="L275" s="77" t="str">
        <f t="shared" ref="L275:L305" si="26">IF($F307="","",DATE(
    YEAR(EDATE($F307,IF(DAY($F307)&gt;=IF(UPPER(TRIM($B307))="AUXILIAR DE COCINA",17,11),1,0))),
    MONTH(EDATE($F307,IF(DAY($F307)&gt;=IF(UPPER(TRIM($B307))="AUXILIAR DE COCINA",17,11),1,0))),
    1
))</f>
        <v/>
      </c>
      <c r="M275" s="25" t="str">
        <f t="shared" si="25"/>
        <v/>
      </c>
    </row>
    <row r="276" spans="1:13">
      <c r="A276" s="269"/>
      <c r="B276" s="1"/>
      <c r="C276" s="1"/>
      <c r="D276" s="162"/>
      <c r="E276" s="1"/>
      <c r="F276" s="232"/>
      <c r="G276" s="163"/>
      <c r="H276" s="1"/>
      <c r="K276" s="27" t="str" cm="1">
        <f t="array" ref="K276">IF(OR($B276="",$F276=""),"",WORKDAY.INTL(IF(ISNUMBER($F276),$F276,FECHA.VALOR($F276)),IF(UPPER(TRIM($B276))="AUXILIAR DE COCINA",10,15),1,FESTIVOS!$A$3:$A$1000))</f>
        <v/>
      </c>
      <c r="L276" s="77" t="str">
        <f t="shared" si="26"/>
        <v/>
      </c>
      <c r="M276" s="25" t="str">
        <f t="shared" si="25"/>
        <v/>
      </c>
    </row>
    <row r="277" spans="1:13">
      <c r="A277" s="269"/>
      <c r="B277" s="1"/>
      <c r="C277" s="1"/>
      <c r="D277" s="162"/>
      <c r="E277" s="1"/>
      <c r="F277" s="232"/>
      <c r="G277" s="163"/>
      <c r="H277" s="1"/>
      <c r="K277" s="27" t="str" cm="1">
        <f t="array" ref="K277">IF(OR($B277="",$F277=""),"",WORKDAY.INTL(IF(ISNUMBER($F277),$F277,FECHA.VALOR($F277)),IF(UPPER(TRIM($B277))="AUXILIAR DE COCINA",10,15),1,FESTIVOS!$A$3:$A$1000))</f>
        <v/>
      </c>
      <c r="L277" s="77" t="str">
        <f t="shared" si="26"/>
        <v/>
      </c>
      <c r="M277" s="25" t="str">
        <f t="shared" si="25"/>
        <v/>
      </c>
    </row>
    <row r="278" spans="1:13">
      <c r="A278" s="269"/>
      <c r="B278" s="1"/>
      <c r="C278" s="1"/>
      <c r="D278" s="162"/>
      <c r="E278" s="1"/>
      <c r="F278" s="232"/>
      <c r="G278" s="163"/>
      <c r="H278" s="1"/>
      <c r="K278" s="27" t="str" cm="1">
        <f t="array" ref="K278">IF(OR($B278="",$F278=""),"",WORKDAY.INTL(IF(ISNUMBER($F278),$F278,FECHA.VALOR($F278)),IF(UPPER(TRIM($B278))="AUXILIAR DE COCINA",10,15),1,FESTIVOS!$A$3:$A$1000))</f>
        <v/>
      </c>
      <c r="L278" s="77" t="str">
        <f t="shared" si="26"/>
        <v/>
      </c>
      <c r="M278" s="25" t="str">
        <f t="shared" si="25"/>
        <v/>
      </c>
    </row>
    <row r="279" spans="1:13">
      <c r="A279" s="269"/>
      <c r="B279" s="1"/>
      <c r="C279" s="1"/>
      <c r="D279" s="162"/>
      <c r="E279" s="1"/>
      <c r="F279" s="232"/>
      <c r="G279" s="163"/>
      <c r="H279" s="1"/>
      <c r="K279" s="27" t="str" cm="1">
        <f t="array" ref="K279">IF(OR($B279="",$F279=""),"",WORKDAY.INTL(IF(ISNUMBER($F279),$F279,FECHA.VALOR($F279)),IF(UPPER(TRIM($B279))="AUXILIAR DE COCINA",10,15),1,FESTIVOS!$A$3:$A$1000))</f>
        <v/>
      </c>
      <c r="L279" s="77" t="str">
        <f t="shared" si="26"/>
        <v/>
      </c>
      <c r="M279" s="25" t="str">
        <f t="shared" si="25"/>
        <v/>
      </c>
    </row>
    <row r="280" spans="1:13">
      <c r="A280" s="269"/>
      <c r="B280" s="1"/>
      <c r="C280" s="1"/>
      <c r="D280" s="162"/>
      <c r="E280" s="1"/>
      <c r="F280" s="232"/>
      <c r="G280" s="163"/>
      <c r="H280" s="1"/>
      <c r="K280" s="27" t="str" cm="1">
        <f t="array" ref="K280">IF(OR($B280="",$F280=""),"",WORKDAY.INTL(IF(ISNUMBER($F280),$F280,FECHA.VALOR($F280)),IF(UPPER(TRIM($B280))="AUXILIAR DE COCINA",10,15),1,FESTIVOS!$A$3:$A$1000))</f>
        <v/>
      </c>
      <c r="L280" s="77" t="str">
        <f t="shared" si="26"/>
        <v/>
      </c>
      <c r="M280" s="25" t="str">
        <f t="shared" si="25"/>
        <v/>
      </c>
    </row>
    <row r="281" spans="1:13">
      <c r="A281" s="269"/>
      <c r="B281" s="1"/>
      <c r="C281" s="1"/>
      <c r="D281" s="162"/>
      <c r="E281" s="1"/>
      <c r="F281" s="232"/>
      <c r="G281" s="163"/>
      <c r="H281" s="1"/>
      <c r="K281" s="27" t="str" cm="1">
        <f t="array" ref="K281">IF(OR($B281="",$F281=""),"",WORKDAY.INTL(IF(ISNUMBER($F281),$F281,FECHA.VALOR($F281)),IF(UPPER(TRIM($B281))="AUXILIAR DE COCINA",10,15),1,FESTIVOS!$A$3:$A$1000))</f>
        <v/>
      </c>
      <c r="L281" s="77" t="str">
        <f t="shared" si="26"/>
        <v/>
      </c>
      <c r="M281" s="25" t="str">
        <f t="shared" si="25"/>
        <v/>
      </c>
    </row>
    <row r="282" spans="1:13">
      <c r="A282" s="269"/>
      <c r="B282" s="1"/>
      <c r="C282" s="1"/>
      <c r="D282" s="162"/>
      <c r="E282" s="1"/>
      <c r="F282" s="232"/>
      <c r="G282" s="163"/>
      <c r="H282" s="1"/>
      <c r="K282" s="27" t="str" cm="1">
        <f t="array" ref="K282">IF(OR($B282="",$F282=""),"",WORKDAY.INTL(IF(ISNUMBER($F282),$F282,FECHA.VALOR($F282)),IF(UPPER(TRIM($B282))="AUXILIAR DE COCINA",10,15),1,FESTIVOS!$A$3:$A$1000))</f>
        <v/>
      </c>
      <c r="L282" s="77" t="str">
        <f t="shared" si="26"/>
        <v/>
      </c>
      <c r="M282" s="25" t="str">
        <f t="shared" si="25"/>
        <v/>
      </c>
    </row>
    <row r="283" spans="1:13">
      <c r="A283" s="269"/>
      <c r="B283" s="1"/>
      <c r="C283" s="1"/>
      <c r="D283" s="162"/>
      <c r="E283" s="1"/>
      <c r="F283" s="232"/>
      <c r="G283" s="163"/>
      <c r="H283" s="1"/>
      <c r="K283" s="27" t="str" cm="1">
        <f t="array" ref="K283">IF(OR($B283="",$F283=""),"",WORKDAY.INTL(IF(ISNUMBER($F283),$F283,FECHA.VALOR($F283)),IF(UPPER(TRIM($B283))="AUXILIAR DE COCINA",10,15),1,FESTIVOS!$A$3:$A$1000))</f>
        <v/>
      </c>
      <c r="L283" s="77" t="str">
        <f t="shared" si="26"/>
        <v/>
      </c>
      <c r="M283" s="25" t="str">
        <f t="shared" si="25"/>
        <v/>
      </c>
    </row>
    <row r="284" spans="1:13">
      <c r="A284" s="269"/>
      <c r="B284" s="1"/>
      <c r="C284" s="1"/>
      <c r="D284" s="162"/>
      <c r="E284" s="1"/>
      <c r="F284" s="232"/>
      <c r="G284" s="163"/>
      <c r="H284" s="1"/>
      <c r="K284" s="27" t="str" cm="1">
        <f t="array" ref="K284">IF(OR($B284="",$F284=""),"",WORKDAY.INTL(IF(ISNUMBER($F284),$F284,FECHA.VALOR($F284)),IF(UPPER(TRIM($B284))="AUXILIAR DE COCINA",10,15),1,FESTIVOS!$A$3:$A$1000))</f>
        <v/>
      </c>
      <c r="L284" s="77" t="str">
        <f t="shared" si="26"/>
        <v/>
      </c>
      <c r="M284" s="25" t="str">
        <f t="shared" si="25"/>
        <v/>
      </c>
    </row>
    <row r="285" spans="1:13">
      <c r="A285" s="269"/>
      <c r="B285" s="1"/>
      <c r="C285" s="1"/>
      <c r="D285" s="162"/>
      <c r="E285" s="1"/>
      <c r="F285" s="232"/>
      <c r="G285" s="163"/>
      <c r="H285" s="1"/>
      <c r="K285" s="27" t="str" cm="1">
        <f t="array" ref="K285">IF(OR($B285="",$F285=""),"",WORKDAY.INTL(IF(ISNUMBER($F285),$F285,FECHA.VALOR($F285)),IF(UPPER(TRIM($B285))="AUXILIAR DE COCINA",10,15),1,FESTIVOS!$A$3:$A$1000))</f>
        <v/>
      </c>
      <c r="L285" s="77" t="str">
        <f t="shared" si="26"/>
        <v/>
      </c>
      <c r="M285" s="25" t="str">
        <f t="shared" si="25"/>
        <v/>
      </c>
    </row>
    <row r="286" spans="1:13">
      <c r="A286" s="269"/>
      <c r="B286" s="1"/>
      <c r="C286" s="1"/>
      <c r="D286" s="162"/>
      <c r="E286" s="1"/>
      <c r="F286" s="232"/>
      <c r="G286" s="163"/>
      <c r="H286" s="1"/>
      <c r="K286" s="27" t="str" cm="1">
        <f t="array" ref="K286">IF(OR($B286="",$F286=""),"",WORKDAY.INTL(IF(ISNUMBER($F286),$F286,FECHA.VALOR($F286)),IF(UPPER(TRIM($B286))="AUXILIAR DE COCINA",10,15),1,FESTIVOS!$A$3:$A$1000))</f>
        <v/>
      </c>
      <c r="L286" s="77" t="str">
        <f t="shared" si="26"/>
        <v/>
      </c>
      <c r="M286" s="25" t="str">
        <f t="shared" si="25"/>
        <v/>
      </c>
    </row>
    <row r="287" spans="1:13">
      <c r="A287" s="269"/>
      <c r="B287" s="1"/>
      <c r="C287" s="1"/>
      <c r="D287" s="162"/>
      <c r="E287" s="1"/>
      <c r="F287" s="232"/>
      <c r="G287" s="163"/>
      <c r="H287" s="1"/>
      <c r="K287" s="27" t="str" cm="1">
        <f t="array" ref="K287">IF(OR($B287="",$F287=""),"",WORKDAY.INTL(IF(ISNUMBER($F287),$F287,FECHA.VALOR($F287)),IF(UPPER(TRIM($B287))="AUXILIAR DE COCINA",10,15),1,FESTIVOS!$A$3:$A$1000))</f>
        <v/>
      </c>
      <c r="L287" s="77" t="str">
        <f t="shared" si="26"/>
        <v/>
      </c>
      <c r="M287" s="25" t="str">
        <f t="shared" si="25"/>
        <v/>
      </c>
    </row>
    <row r="288" spans="1:13">
      <c r="A288" s="269"/>
      <c r="B288" s="1"/>
      <c r="C288" s="1"/>
      <c r="D288" s="162"/>
      <c r="E288" s="1"/>
      <c r="F288" s="232"/>
      <c r="G288" s="163"/>
      <c r="H288" s="1"/>
      <c r="K288" s="27" t="str" cm="1">
        <f t="array" ref="K288">IF(OR($B288="",$F288=""),"",WORKDAY.INTL(IF(ISNUMBER($F288),$F288,FECHA.VALOR($F288)),IF(UPPER(TRIM($B288))="AUXILIAR DE COCINA",10,15),1,FESTIVOS!$A$3:$A$1000))</f>
        <v/>
      </c>
      <c r="L288" s="77" t="str">
        <f t="shared" si="26"/>
        <v/>
      </c>
      <c r="M288" s="25" t="str">
        <f t="shared" si="25"/>
        <v/>
      </c>
    </row>
    <row r="289" spans="1:13">
      <c r="A289" s="269"/>
      <c r="B289" s="1"/>
      <c r="C289" s="1"/>
      <c r="D289" s="162"/>
      <c r="E289" s="1"/>
      <c r="F289" s="232"/>
      <c r="G289" s="163"/>
      <c r="H289" s="1"/>
      <c r="K289" s="27" t="str" cm="1">
        <f t="array" ref="K289">IF(OR($B289="",$F289=""),"",WORKDAY.INTL(IF(ISNUMBER($F289),$F289,FECHA.VALOR($F289)),IF(UPPER(TRIM($B289))="AUXILIAR DE COCINA",10,15),1,FESTIVOS!$A$3:$A$1000))</f>
        <v/>
      </c>
      <c r="L289" s="77" t="str">
        <f t="shared" si="26"/>
        <v/>
      </c>
      <c r="M289" s="25" t="str">
        <f t="shared" si="25"/>
        <v/>
      </c>
    </row>
    <row r="290" spans="1:13">
      <c r="A290" s="269"/>
      <c r="B290" s="1"/>
      <c r="C290" s="1"/>
      <c r="D290" s="162"/>
      <c r="E290" s="1"/>
      <c r="F290" s="232"/>
      <c r="G290" s="163"/>
      <c r="H290" s="1"/>
      <c r="K290" s="27" t="str" cm="1">
        <f t="array" ref="K290">IF(OR($B290="",$F290=""),"",WORKDAY.INTL(IF(ISNUMBER($F290),$F290,FECHA.VALOR($F290)),IF(UPPER(TRIM($B290))="AUXILIAR DE COCINA",10,15),1,FESTIVOS!$A$3:$A$1000))</f>
        <v/>
      </c>
      <c r="L290" s="77" t="str">
        <f t="shared" si="26"/>
        <v/>
      </c>
      <c r="M290" s="25" t="str">
        <f t="shared" si="25"/>
        <v/>
      </c>
    </row>
    <row r="291" spans="1:13">
      <c r="A291" s="269"/>
      <c r="B291" s="1"/>
      <c r="C291" s="1"/>
      <c r="D291" s="162"/>
      <c r="E291" s="1"/>
      <c r="F291" s="232"/>
      <c r="G291" s="163"/>
      <c r="H291" s="1"/>
      <c r="K291" s="27" t="str" cm="1">
        <f t="array" ref="K291">IF(OR($B291="",$F291=""),"",WORKDAY.INTL(IF(ISNUMBER($F291),$F291,FECHA.VALOR($F291)),IF(UPPER(TRIM($B291))="AUXILIAR DE COCINA",10,15),1,FESTIVOS!$A$3:$A$1000))</f>
        <v/>
      </c>
      <c r="L291" s="77" t="str">
        <f t="shared" si="26"/>
        <v/>
      </c>
      <c r="M291" s="25" t="str">
        <f t="shared" si="25"/>
        <v/>
      </c>
    </row>
    <row r="292" spans="1:13">
      <c r="A292" s="269"/>
      <c r="B292" s="1"/>
      <c r="C292" s="1"/>
      <c r="D292" s="162"/>
      <c r="E292" s="1"/>
      <c r="F292" s="232"/>
      <c r="G292" s="163"/>
      <c r="H292" s="1"/>
      <c r="K292" s="27" t="str" cm="1">
        <f t="array" ref="K292">IF(OR($B292="",$F292=""),"",WORKDAY.INTL(IF(ISNUMBER($F292),$F292,FECHA.VALOR($F292)),IF(UPPER(TRIM($B292))="AUXILIAR DE COCINA",10,15),1,FESTIVOS!$A$3:$A$1000))</f>
        <v/>
      </c>
      <c r="L292" s="77" t="str">
        <f t="shared" si="26"/>
        <v/>
      </c>
      <c r="M292" s="25" t="str">
        <f t="shared" si="25"/>
        <v/>
      </c>
    </row>
    <row r="293" spans="1:13">
      <c r="A293" s="269"/>
      <c r="B293" s="1"/>
      <c r="C293" s="1"/>
      <c r="D293" s="162"/>
      <c r="E293" s="1"/>
      <c r="F293" s="232"/>
      <c r="G293" s="163"/>
      <c r="H293" s="1"/>
      <c r="K293" s="27" t="str" cm="1">
        <f t="array" ref="K293">IF(OR($B293="",$F293=""),"",WORKDAY.INTL(IF(ISNUMBER($F293),$F293,FECHA.VALOR($F293)),IF(UPPER(TRIM($B293))="AUXILIAR DE COCINA",10,15),1,FESTIVOS!$A$3:$A$1000))</f>
        <v/>
      </c>
      <c r="L293" s="77" t="str">
        <f t="shared" si="26"/>
        <v/>
      </c>
      <c r="M293" s="25" t="str">
        <f t="shared" si="25"/>
        <v/>
      </c>
    </row>
    <row r="294" spans="1:13">
      <c r="A294" s="269"/>
      <c r="B294" s="1"/>
      <c r="C294" s="1"/>
      <c r="D294" s="162"/>
      <c r="E294" s="1"/>
      <c r="F294" s="232"/>
      <c r="G294" s="163"/>
      <c r="H294" s="1"/>
      <c r="K294" s="27" t="str" cm="1">
        <f t="array" ref="K294">IF(OR($B294="",$F294=""),"",WORKDAY.INTL(IF(ISNUMBER($F294),$F294,FECHA.VALOR($F294)),IF(UPPER(TRIM($B294))="AUXILIAR DE COCINA",10,15),1,FESTIVOS!$A$3:$A$1000))</f>
        <v/>
      </c>
      <c r="L294" s="77" t="str">
        <f t="shared" si="26"/>
        <v/>
      </c>
      <c r="M294" s="25" t="str">
        <f t="shared" si="25"/>
        <v/>
      </c>
    </row>
    <row r="295" spans="1:13">
      <c r="A295" s="269"/>
      <c r="B295" s="1"/>
      <c r="C295" s="1"/>
      <c r="D295" s="162"/>
      <c r="E295" s="1"/>
      <c r="F295" s="232"/>
      <c r="G295" s="163"/>
      <c r="H295" s="1"/>
      <c r="K295" s="27" t="str" cm="1">
        <f t="array" ref="K295">IF(OR($B295="",$F295=""),"",WORKDAY.INTL(IF(ISNUMBER($F295),$F295,FECHA.VALOR($F295)),IF(UPPER(TRIM($B295))="AUXILIAR DE COCINA",10,15),1,FESTIVOS!$A$3:$A$1000))</f>
        <v/>
      </c>
      <c r="L295" s="77" t="str">
        <f t="shared" si="26"/>
        <v/>
      </c>
      <c r="M295" s="25" t="str">
        <f t="shared" si="25"/>
        <v/>
      </c>
    </row>
    <row r="296" spans="1:13">
      <c r="A296" s="269"/>
      <c r="B296" s="1"/>
      <c r="C296" s="1"/>
      <c r="D296" s="162"/>
      <c r="E296" s="1"/>
      <c r="F296" s="232"/>
      <c r="G296" s="163"/>
      <c r="H296" s="1"/>
      <c r="K296" s="27" t="str" cm="1">
        <f t="array" ref="K296">IF(OR($B296="",$F296=""),"",WORKDAY.INTL(IF(ISNUMBER($F296),$F296,FECHA.VALOR($F296)),IF(UPPER(TRIM($B296))="AUXILIAR DE COCINA",10,15),1,FESTIVOS!$A$3:$A$1000))</f>
        <v/>
      </c>
      <c r="L296" s="77" t="str">
        <f t="shared" si="26"/>
        <v/>
      </c>
      <c r="M296" s="25" t="str">
        <f t="shared" si="25"/>
        <v/>
      </c>
    </row>
    <row r="297" spans="1:13">
      <c r="A297" s="269"/>
      <c r="B297" s="1"/>
      <c r="C297" s="1"/>
      <c r="D297" s="162"/>
      <c r="E297" s="1"/>
      <c r="F297" s="232"/>
      <c r="G297" s="163"/>
      <c r="H297" s="1"/>
      <c r="K297" s="27" t="str" cm="1">
        <f t="array" ref="K297">IF(OR($B297="",$F297=""),"",WORKDAY.INTL(IF(ISNUMBER($F297),$F297,FECHA.VALOR($F297)),IF(UPPER(TRIM($B297))="AUXILIAR DE COCINA",10,15),1,FESTIVOS!$A$3:$A$1000))</f>
        <v/>
      </c>
      <c r="L297" s="77" t="str">
        <f t="shared" si="26"/>
        <v/>
      </c>
      <c r="M297" s="25" t="str">
        <f t="shared" si="25"/>
        <v/>
      </c>
    </row>
    <row r="298" spans="1:13">
      <c r="A298" s="269"/>
      <c r="B298" s="1"/>
      <c r="C298" s="1"/>
      <c r="D298" s="162"/>
      <c r="E298" s="1"/>
      <c r="F298" s="232"/>
      <c r="G298" s="163"/>
      <c r="H298" s="1"/>
      <c r="K298" s="27" t="str" cm="1">
        <f t="array" ref="K298">IF(OR($B298="",$F298=""),"",WORKDAY.INTL(IF(ISNUMBER($F298),$F298,FECHA.VALOR($F298)),IF(UPPER(TRIM($B298))="AUXILIAR DE COCINA",10,15),1,FESTIVOS!$A$3:$A$1000))</f>
        <v/>
      </c>
      <c r="L298" s="77" t="str">
        <f t="shared" si="26"/>
        <v/>
      </c>
      <c r="M298" s="25" t="str">
        <f t="shared" si="25"/>
        <v/>
      </c>
    </row>
    <row r="299" spans="1:13">
      <c r="A299" s="269"/>
      <c r="B299" s="1"/>
      <c r="C299" s="1"/>
      <c r="D299" s="162"/>
      <c r="E299" s="1"/>
      <c r="F299" s="232"/>
      <c r="G299" s="163"/>
      <c r="H299" s="1"/>
      <c r="K299" s="27" t="str" cm="1">
        <f t="array" ref="K299">IF(OR($B299="",$F299=""),"",WORKDAY.INTL(IF(ISNUMBER($F299),$F299,FECHA.VALOR($F299)),IF(UPPER(TRIM($B299))="AUXILIAR DE COCINA",10,15),1,FESTIVOS!$A$3:$A$1000))</f>
        <v/>
      </c>
      <c r="L299" s="77" t="str">
        <f t="shared" si="26"/>
        <v/>
      </c>
      <c r="M299" s="25" t="str">
        <f t="shared" si="25"/>
        <v/>
      </c>
    </row>
    <row r="300" spans="1:13">
      <c r="A300" s="269"/>
      <c r="B300" s="1"/>
      <c r="C300" s="1"/>
      <c r="D300" s="162"/>
      <c r="E300" s="1"/>
      <c r="F300" s="232"/>
      <c r="G300" s="163"/>
      <c r="H300" s="1"/>
      <c r="K300" s="27" t="str" cm="1">
        <f t="array" ref="K300">IF(OR($B300="",$F300=""),"",WORKDAY.INTL(IF(ISNUMBER($F300),$F300,FECHA.VALOR($F300)),IF(UPPER(TRIM($B300))="AUXILIAR DE COCINA",10,15),1,FESTIVOS!$A$3:$A$1000))</f>
        <v/>
      </c>
      <c r="L300" s="77" t="str">
        <f t="shared" si="26"/>
        <v/>
      </c>
      <c r="M300" s="25" t="str">
        <f t="shared" si="25"/>
        <v/>
      </c>
    </row>
    <row r="301" spans="1:13">
      <c r="A301" s="269"/>
      <c r="B301" s="1"/>
      <c r="C301" s="1"/>
      <c r="D301" s="162"/>
      <c r="E301" s="1"/>
      <c r="F301" s="232"/>
      <c r="G301" s="163"/>
      <c r="H301" s="1"/>
      <c r="K301" s="27" t="str" cm="1">
        <f t="array" ref="K301">IF(OR($B301="",$F301=""),"",WORKDAY.INTL(IF(ISNUMBER($F301),$F301,FECHA.VALOR($F301)),IF(UPPER(TRIM($B301))="AUXILIAR DE COCINA",10,15),1,FESTIVOS!$A$3:$A$1000))</f>
        <v/>
      </c>
      <c r="L301" s="77" t="str">
        <f t="shared" si="26"/>
        <v/>
      </c>
      <c r="M301" s="25" t="str">
        <f t="shared" si="25"/>
        <v/>
      </c>
    </row>
    <row r="302" spans="1:13">
      <c r="A302" s="269"/>
      <c r="B302" s="1"/>
      <c r="C302" s="1"/>
      <c r="D302" s="162"/>
      <c r="E302" s="1"/>
      <c r="F302" s="232"/>
      <c r="G302" s="163"/>
      <c r="H302" s="1"/>
      <c r="K302" s="27" t="str" cm="1">
        <f t="array" ref="K302">IF(OR($B302="",$F302=""),"",WORKDAY.INTL(IF(ISNUMBER($F302),$F302,FECHA.VALOR($F302)),IF(UPPER(TRIM($B302))="AUXILIAR DE COCINA",10,15),1,FESTIVOS!$A$3:$A$1000))</f>
        <v/>
      </c>
      <c r="L302" s="77" t="str">
        <f t="shared" si="26"/>
        <v/>
      </c>
      <c r="M302" s="25" t="str">
        <f t="shared" si="25"/>
        <v/>
      </c>
    </row>
    <row r="303" spans="1:13">
      <c r="A303" s="269"/>
      <c r="B303" s="1"/>
      <c r="C303" s="1"/>
      <c r="D303" s="162"/>
      <c r="E303" s="1"/>
      <c r="F303" s="232"/>
      <c r="G303" s="163"/>
      <c r="H303" s="1"/>
      <c r="K303" s="27" t="str" cm="1">
        <f t="array" ref="K303">IF(OR($B303="",$F303=""),"",WORKDAY.INTL(IF(ISNUMBER($F303),$F303,FECHA.VALOR($F303)),IF(UPPER(TRIM($B303))="AUXILIAR DE COCINA",10,15),1,FESTIVOS!$A$3:$A$1000))</f>
        <v/>
      </c>
      <c r="L303" s="77" t="str">
        <f t="shared" si="26"/>
        <v/>
      </c>
      <c r="M303" s="25" t="str">
        <f t="shared" si="25"/>
        <v/>
      </c>
    </row>
    <row r="304" spans="1:13">
      <c r="A304" s="269"/>
      <c r="B304" s="1"/>
      <c r="C304" s="1"/>
      <c r="D304" s="162"/>
      <c r="E304" s="1"/>
      <c r="F304" s="232"/>
      <c r="G304" s="163"/>
      <c r="H304" s="1"/>
      <c r="K304" s="27" t="str" cm="1">
        <f t="array" ref="K304">IF(OR($B304="",$F304=""),"",WORKDAY.INTL(IF(ISNUMBER($F304),$F304,FECHA.VALOR($F304)),IF(UPPER(TRIM($B304))="AUXILIAR DE COCINA",10,15),1,FESTIVOS!$A$3:$A$1000))</f>
        <v/>
      </c>
      <c r="L304" s="77" t="str">
        <f t="shared" si="26"/>
        <v/>
      </c>
      <c r="M304" s="25" t="str">
        <f t="shared" si="25"/>
        <v/>
      </c>
    </row>
    <row r="305" spans="1:13">
      <c r="A305" s="269"/>
      <c r="B305" s="1"/>
      <c r="C305" s="1"/>
      <c r="D305" s="162"/>
      <c r="E305" s="1"/>
      <c r="F305" s="232"/>
      <c r="G305" s="163"/>
      <c r="H305" s="1"/>
      <c r="K305" s="27" t="str" cm="1">
        <f t="array" ref="K305">IF(OR($B305="",$F305=""),"",WORKDAY.INTL(IF(ISNUMBER($F305),$F305,FECHA.VALOR($F305)),IF(UPPER(TRIM($B305))="AUXILIAR DE COCINA",10,15),1,FESTIVOS!$A$3:$A$1000))</f>
        <v/>
      </c>
      <c r="L305" s="77" t="str">
        <f t="shared" si="26"/>
        <v/>
      </c>
      <c r="M305" s="25" t="str">
        <f t="shared" si="25"/>
        <v/>
      </c>
    </row>
    <row r="306" spans="1:13">
      <c r="A306" s="44"/>
      <c r="B306" s="45"/>
      <c r="C306" s="46"/>
      <c r="D306" s="66"/>
      <c r="E306" s="46"/>
      <c r="F306" s="63"/>
      <c r="G306" s="47"/>
      <c r="H306" s="46"/>
    </row>
    <row r="307" spans="1:13">
      <c r="A307" s="44"/>
      <c r="B307" s="45"/>
      <c r="C307" s="46"/>
      <c r="D307" s="66"/>
      <c r="E307" s="46"/>
      <c r="F307" s="63"/>
      <c r="G307" s="47"/>
      <c r="H307" s="46"/>
    </row>
    <row r="308" spans="1:13">
      <c r="A308" s="44"/>
      <c r="B308" s="45"/>
      <c r="C308" s="46"/>
      <c r="D308" s="66"/>
      <c r="E308" s="46"/>
      <c r="F308" s="63"/>
      <c r="G308" s="47"/>
      <c r="H308" s="46"/>
    </row>
    <row r="309" spans="1:13">
      <c r="A309" s="44"/>
      <c r="B309" s="45"/>
      <c r="C309" s="46"/>
      <c r="D309" s="66"/>
      <c r="E309" s="46"/>
      <c r="F309" s="63"/>
      <c r="G309" s="47"/>
      <c r="H309" s="46"/>
    </row>
    <row r="310" spans="1:13">
      <c r="A310" s="44"/>
      <c r="B310" s="45"/>
      <c r="C310" s="46"/>
      <c r="D310" s="66"/>
      <c r="E310" s="46"/>
      <c r="F310" s="63"/>
      <c r="G310" s="47"/>
      <c r="H310" s="46"/>
    </row>
    <row r="311" spans="1:13">
      <c r="A311" s="44"/>
      <c r="B311" s="45"/>
      <c r="C311" s="46"/>
      <c r="D311" s="66"/>
      <c r="E311" s="46"/>
      <c r="F311" s="63"/>
      <c r="G311" s="47"/>
      <c r="H311" s="46"/>
    </row>
    <row r="312" spans="1:13">
      <c r="A312" s="44"/>
      <c r="B312" s="45"/>
      <c r="C312" s="46"/>
      <c r="D312" s="66"/>
      <c r="E312" s="46"/>
      <c r="F312" s="63"/>
      <c r="G312" s="47"/>
      <c r="H312" s="46"/>
    </row>
    <row r="313" spans="1:13">
      <c r="A313" s="44"/>
      <c r="B313" s="45"/>
      <c r="C313" s="46"/>
      <c r="D313" s="66"/>
      <c r="E313" s="46"/>
      <c r="F313" s="63"/>
      <c r="G313" s="47"/>
      <c r="H313" s="46"/>
    </row>
    <row r="314" spans="1:13">
      <c r="A314" s="44"/>
      <c r="B314" s="45"/>
      <c r="C314" s="46"/>
      <c r="D314" s="66"/>
      <c r="E314" s="46"/>
      <c r="F314" s="63"/>
      <c r="G314" s="47"/>
      <c r="H314" s="46"/>
    </row>
    <row r="315" spans="1:13">
      <c r="A315" s="48"/>
      <c r="B315" s="49"/>
      <c r="C315" s="46"/>
      <c r="D315" s="66"/>
      <c r="E315" s="46"/>
      <c r="F315" s="64"/>
      <c r="G315" s="47"/>
      <c r="H315" s="46"/>
    </row>
    <row r="316" spans="1:13">
      <c r="A316" s="48"/>
      <c r="B316" s="49"/>
      <c r="C316" s="46"/>
      <c r="D316" s="66"/>
      <c r="E316" s="46"/>
      <c r="F316" s="64"/>
      <c r="G316" s="47"/>
      <c r="H316" s="46"/>
    </row>
    <row r="317" spans="1:13">
      <c r="A317" s="48"/>
      <c r="B317" s="49"/>
      <c r="C317" s="46"/>
      <c r="D317" s="66"/>
      <c r="E317" s="46"/>
      <c r="F317" s="64"/>
      <c r="G317" s="47"/>
      <c r="H317" s="46"/>
    </row>
    <row r="318" spans="1:13">
      <c r="A318" s="48"/>
      <c r="B318" s="49"/>
      <c r="C318" s="46"/>
      <c r="D318" s="66"/>
      <c r="E318" s="46"/>
      <c r="F318" s="64"/>
      <c r="G318" s="47"/>
      <c r="H318" s="46"/>
    </row>
    <row r="319" spans="1:13">
      <c r="A319" s="48"/>
      <c r="B319" s="49"/>
      <c r="C319" s="46"/>
      <c r="D319" s="66"/>
      <c r="E319" s="46"/>
      <c r="F319" s="64"/>
      <c r="G319" s="47"/>
      <c r="H319" s="46"/>
    </row>
    <row r="320" spans="1:13">
      <c r="A320" s="48"/>
      <c r="B320" s="49"/>
      <c r="C320" s="46"/>
      <c r="D320" s="66"/>
      <c r="E320" s="46"/>
      <c r="F320" s="64"/>
      <c r="G320" s="47"/>
      <c r="H320" s="46"/>
    </row>
    <row r="321" spans="1:8">
      <c r="A321" s="48"/>
      <c r="B321" s="49"/>
      <c r="C321" s="46"/>
      <c r="D321" s="66"/>
      <c r="E321" s="46"/>
      <c r="F321" s="64"/>
      <c r="G321" s="47"/>
      <c r="H321" s="46"/>
    </row>
    <row r="322" spans="1:8">
      <c r="A322" s="48"/>
      <c r="B322" s="49"/>
      <c r="C322" s="46"/>
      <c r="D322" s="66"/>
      <c r="E322" s="46"/>
      <c r="F322" s="64"/>
      <c r="G322" s="47"/>
      <c r="H322" s="46"/>
    </row>
    <row r="323" spans="1:8">
      <c r="A323" s="48"/>
      <c r="B323" s="49"/>
      <c r="C323" s="46"/>
      <c r="D323" s="66"/>
      <c r="E323" s="46"/>
      <c r="F323" s="64"/>
      <c r="G323" s="47"/>
      <c r="H323" s="46"/>
    </row>
    <row r="324" spans="1:8" ht="15">
      <c r="A324" s="71"/>
      <c r="B324" s="46"/>
      <c r="C324" s="72"/>
      <c r="D324" s="66"/>
      <c r="E324" s="46"/>
      <c r="F324" s="69"/>
      <c r="G324" s="47"/>
      <c r="H324" s="72"/>
    </row>
    <row r="325" spans="1:8">
      <c r="A325" s="48"/>
      <c r="B325" s="49"/>
      <c r="C325" s="46"/>
      <c r="D325" s="66"/>
      <c r="E325" s="46"/>
      <c r="F325" s="64"/>
      <c r="G325" s="47"/>
      <c r="H325" s="46"/>
    </row>
    <row r="326" spans="1:8">
      <c r="A326" s="48"/>
      <c r="B326" s="49"/>
      <c r="C326" s="46"/>
      <c r="D326" s="66"/>
      <c r="E326" s="46"/>
      <c r="F326" s="64"/>
      <c r="G326" s="47"/>
      <c r="H326" s="46"/>
    </row>
    <row r="327" spans="1:8">
      <c r="A327" s="48"/>
      <c r="B327" s="49"/>
      <c r="C327" s="46"/>
      <c r="D327" s="66"/>
      <c r="E327" s="46"/>
      <c r="F327" s="64"/>
      <c r="G327" s="47"/>
      <c r="H327" s="46"/>
    </row>
    <row r="328" spans="1:8">
      <c r="A328" s="48"/>
      <c r="B328" s="49"/>
      <c r="C328" s="46"/>
      <c r="D328" s="66"/>
      <c r="E328" s="46"/>
      <c r="F328" s="64"/>
      <c r="G328" s="47"/>
      <c r="H328" s="46"/>
    </row>
    <row r="329" spans="1:8">
      <c r="A329" s="48"/>
      <c r="B329" s="49"/>
      <c r="C329" s="46"/>
      <c r="D329" s="66"/>
      <c r="E329" s="46"/>
      <c r="F329" s="64"/>
      <c r="G329" s="47"/>
      <c r="H329" s="46"/>
    </row>
    <row r="330" spans="1:8">
      <c r="A330" s="48"/>
      <c r="B330" s="49"/>
      <c r="C330" s="46"/>
      <c r="D330" s="66"/>
      <c r="E330" s="46"/>
      <c r="F330" s="64"/>
      <c r="G330" s="47"/>
      <c r="H330" s="46"/>
    </row>
    <row r="331" spans="1:8">
      <c r="A331" s="48"/>
      <c r="B331" s="49"/>
      <c r="C331" s="46"/>
      <c r="D331" s="66"/>
      <c r="E331" s="46"/>
      <c r="F331" s="64"/>
      <c r="G331" s="47"/>
      <c r="H331" s="46"/>
    </row>
    <row r="332" spans="1:8">
      <c r="A332" s="48"/>
      <c r="B332" s="49"/>
      <c r="C332" s="46"/>
      <c r="D332" s="66"/>
      <c r="E332" s="46"/>
      <c r="F332" s="64"/>
      <c r="G332" s="47"/>
      <c r="H332" s="46"/>
    </row>
    <row r="333" spans="1:8">
      <c r="A333" s="48"/>
      <c r="B333" s="49"/>
      <c r="C333" s="46"/>
      <c r="D333" s="66"/>
      <c r="E333" s="46"/>
      <c r="F333" s="64"/>
      <c r="G333" s="47"/>
      <c r="H333" s="46"/>
    </row>
    <row r="334" spans="1:8">
      <c r="A334" s="48"/>
      <c r="B334" s="49"/>
      <c r="C334" s="46"/>
      <c r="D334" s="66"/>
      <c r="E334" s="46"/>
      <c r="F334" s="64"/>
      <c r="G334" s="47"/>
      <c r="H334" s="46"/>
    </row>
    <row r="335" spans="1:8">
      <c r="A335" s="48"/>
      <c r="B335" s="49"/>
      <c r="C335" s="46"/>
      <c r="D335" s="66"/>
      <c r="E335" s="46"/>
      <c r="F335" s="64"/>
      <c r="G335" s="47"/>
      <c r="H335" s="46"/>
    </row>
    <row r="336" spans="1:8">
      <c r="A336" s="48"/>
      <c r="B336" s="49"/>
      <c r="C336" s="46"/>
      <c r="D336" s="66"/>
      <c r="E336" s="46"/>
      <c r="F336" s="64"/>
      <c r="G336" s="47"/>
      <c r="H336" s="46"/>
    </row>
    <row r="337" spans="1:8">
      <c r="A337" s="48"/>
      <c r="B337" s="49"/>
      <c r="C337" s="46"/>
      <c r="D337" s="66"/>
      <c r="E337" s="46"/>
      <c r="F337" s="64"/>
      <c r="G337" s="47"/>
      <c r="H337" s="46"/>
    </row>
    <row r="338" spans="1:8">
      <c r="A338" s="48"/>
      <c r="B338" s="49"/>
      <c r="C338" s="46"/>
      <c r="D338" s="66"/>
      <c r="E338" s="46"/>
      <c r="F338" s="64"/>
      <c r="G338" s="47"/>
      <c r="H338" s="46"/>
    </row>
    <row r="339" spans="1:8">
      <c r="A339" s="48"/>
      <c r="B339" s="49"/>
      <c r="C339" s="46"/>
      <c r="D339" s="66"/>
      <c r="E339" s="46"/>
      <c r="F339" s="64"/>
      <c r="G339" s="47"/>
      <c r="H339" s="46"/>
    </row>
    <row r="340" spans="1:8">
      <c r="A340" s="48"/>
      <c r="B340" s="49"/>
      <c r="C340" s="46"/>
      <c r="D340" s="66"/>
      <c r="E340" s="46"/>
      <c r="F340" s="64"/>
      <c r="G340" s="47"/>
      <c r="H340" s="46"/>
    </row>
    <row r="341" spans="1:8">
      <c r="A341" s="48"/>
      <c r="B341" s="49"/>
      <c r="C341" s="46"/>
      <c r="D341" s="66"/>
      <c r="E341" s="46"/>
      <c r="F341" s="64"/>
      <c r="G341" s="47"/>
      <c r="H341" s="46"/>
    </row>
    <row r="342" spans="1:8">
      <c r="A342" s="48"/>
      <c r="B342" s="49"/>
      <c r="C342" s="46"/>
      <c r="D342" s="66"/>
      <c r="E342" s="46"/>
      <c r="F342" s="64"/>
      <c r="G342" s="47"/>
      <c r="H342" s="46"/>
    </row>
    <row r="343" spans="1:8">
      <c r="A343" s="48"/>
      <c r="B343" s="49"/>
      <c r="C343" s="46"/>
      <c r="D343" s="66"/>
      <c r="E343" s="46"/>
      <c r="F343" s="64"/>
      <c r="G343" s="47"/>
      <c r="H343" s="46"/>
    </row>
    <row r="344" spans="1:8">
      <c r="A344" s="48"/>
      <c r="B344" s="49"/>
      <c r="C344" s="46"/>
      <c r="D344" s="66"/>
      <c r="E344" s="46"/>
      <c r="F344" s="64"/>
      <c r="G344" s="47"/>
      <c r="H344" s="46"/>
    </row>
    <row r="345" spans="1:8">
      <c r="A345" s="48"/>
      <c r="B345" s="49"/>
      <c r="C345" s="46"/>
      <c r="D345" s="66"/>
      <c r="E345" s="46"/>
      <c r="F345" s="64"/>
      <c r="G345" s="47"/>
      <c r="H345" s="46"/>
    </row>
    <row r="346" spans="1:8">
      <c r="A346" s="48"/>
      <c r="B346" s="49"/>
      <c r="C346" s="46"/>
      <c r="D346" s="66"/>
      <c r="E346" s="46"/>
      <c r="F346" s="64"/>
      <c r="G346" s="47"/>
      <c r="H346" s="46"/>
    </row>
    <row r="347" spans="1:8">
      <c r="A347" s="48"/>
      <c r="B347" s="49"/>
      <c r="C347" s="46"/>
      <c r="D347" s="66"/>
      <c r="E347" s="46"/>
      <c r="F347" s="64"/>
      <c r="G347" s="47"/>
      <c r="H347" s="46"/>
    </row>
    <row r="348" spans="1:8">
      <c r="A348" s="48"/>
      <c r="B348" s="49"/>
      <c r="C348" s="46"/>
      <c r="D348" s="66"/>
      <c r="E348" s="46"/>
      <c r="F348" s="64"/>
      <c r="G348" s="47"/>
      <c r="H348" s="46"/>
    </row>
    <row r="349" spans="1:8">
      <c r="A349" s="48"/>
      <c r="B349" s="49"/>
      <c r="C349" s="46"/>
      <c r="D349" s="66"/>
      <c r="E349" s="46"/>
      <c r="F349" s="64"/>
      <c r="G349" s="47"/>
      <c r="H349" s="46"/>
    </row>
    <row r="350" spans="1:8">
      <c r="A350" s="48"/>
      <c r="B350" s="49"/>
      <c r="C350" s="46"/>
      <c r="D350" s="66"/>
      <c r="E350" s="46"/>
      <c r="F350" s="64"/>
      <c r="G350" s="47"/>
      <c r="H350" s="46"/>
    </row>
    <row r="351" spans="1:8">
      <c r="A351" s="48"/>
      <c r="B351" s="49"/>
      <c r="C351" s="46"/>
      <c r="D351" s="66"/>
      <c r="E351" s="46"/>
      <c r="F351" s="64"/>
      <c r="G351" s="47"/>
      <c r="H351" s="46"/>
    </row>
    <row r="352" spans="1:8">
      <c r="A352" s="48"/>
      <c r="B352" s="49"/>
      <c r="C352" s="46"/>
      <c r="D352" s="66"/>
      <c r="E352" s="46"/>
      <c r="F352" s="64"/>
      <c r="G352" s="47"/>
      <c r="H352" s="46"/>
    </row>
    <row r="353" spans="1:8">
      <c r="A353" s="48"/>
      <c r="B353" s="49"/>
      <c r="C353" s="46"/>
      <c r="D353" s="66"/>
      <c r="E353" s="46"/>
      <c r="F353" s="64"/>
      <c r="G353" s="47"/>
      <c r="H353" s="46"/>
    </row>
    <row r="354" spans="1:8">
      <c r="A354" s="48"/>
      <c r="B354" s="49"/>
      <c r="C354" s="46"/>
      <c r="D354" s="66"/>
      <c r="E354" s="46"/>
      <c r="F354" s="64"/>
      <c r="G354" s="47"/>
      <c r="H354" s="46"/>
    </row>
    <row r="355" spans="1:8">
      <c r="A355" s="48"/>
      <c r="B355" s="49"/>
      <c r="C355" s="46"/>
      <c r="D355" s="66"/>
      <c r="E355" s="46"/>
      <c r="F355" s="64"/>
      <c r="G355" s="47"/>
      <c r="H355" s="46"/>
    </row>
    <row r="356" spans="1:8">
      <c r="A356" s="48"/>
      <c r="B356" s="49"/>
      <c r="C356" s="46"/>
      <c r="D356" s="66"/>
      <c r="E356" s="46"/>
      <c r="F356" s="64"/>
      <c r="G356" s="47"/>
      <c r="H356" s="46"/>
    </row>
    <row r="357" spans="1:8">
      <c r="A357" s="48"/>
      <c r="B357" s="49"/>
      <c r="C357" s="46"/>
      <c r="D357" s="66"/>
      <c r="E357" s="46"/>
      <c r="F357" s="64"/>
      <c r="G357" s="47"/>
      <c r="H357" s="46"/>
    </row>
    <row r="358" spans="1:8">
      <c r="A358" s="48"/>
      <c r="B358" s="49"/>
      <c r="C358" s="46"/>
      <c r="D358" s="66"/>
      <c r="E358" s="46"/>
      <c r="F358" s="64"/>
      <c r="G358" s="47"/>
      <c r="H358" s="46"/>
    </row>
    <row r="359" spans="1:8">
      <c r="A359" s="48"/>
      <c r="B359" s="49"/>
      <c r="C359" s="46"/>
      <c r="D359" s="66"/>
      <c r="E359" s="46"/>
      <c r="F359" s="64"/>
      <c r="G359" s="47"/>
      <c r="H359" s="46"/>
    </row>
    <row r="360" spans="1:8">
      <c r="A360" s="48"/>
      <c r="B360" s="49"/>
      <c r="C360" s="46"/>
      <c r="D360" s="66"/>
      <c r="E360" s="46"/>
      <c r="F360" s="64"/>
      <c r="G360" s="47"/>
      <c r="H360" s="46"/>
    </row>
    <row r="361" spans="1:8">
      <c r="A361" s="48"/>
      <c r="B361" s="49"/>
      <c r="C361" s="46"/>
      <c r="D361" s="66"/>
      <c r="E361" s="46"/>
      <c r="F361" s="64"/>
      <c r="G361" s="47"/>
      <c r="H361" s="46"/>
    </row>
    <row r="362" spans="1:8">
      <c r="A362" s="48"/>
      <c r="B362" s="49"/>
      <c r="C362" s="46"/>
      <c r="D362" s="66"/>
      <c r="E362" s="46"/>
      <c r="F362" s="64"/>
      <c r="G362" s="47"/>
      <c r="H362" s="46"/>
    </row>
    <row r="363" spans="1:8">
      <c r="A363" s="48"/>
      <c r="B363" s="49"/>
      <c r="C363" s="46"/>
      <c r="D363" s="66"/>
      <c r="E363" s="46"/>
      <c r="F363" s="64"/>
      <c r="G363" s="47"/>
      <c r="H363" s="46"/>
    </row>
    <row r="364" spans="1:8">
      <c r="A364" s="48"/>
      <c r="B364" s="49"/>
      <c r="C364" s="46"/>
      <c r="D364" s="66"/>
      <c r="E364" s="46"/>
      <c r="F364" s="64"/>
      <c r="G364" s="47"/>
      <c r="H364" s="46"/>
    </row>
    <row r="365" spans="1:8">
      <c r="A365" s="48"/>
      <c r="B365" s="49"/>
      <c r="C365" s="46"/>
      <c r="D365" s="66"/>
      <c r="E365" s="46"/>
      <c r="F365" s="64"/>
      <c r="G365" s="47"/>
      <c r="H365" s="46"/>
    </row>
    <row r="366" spans="1:8">
      <c r="A366" s="48"/>
      <c r="B366" s="49"/>
      <c r="C366" s="46"/>
      <c r="D366" s="66"/>
      <c r="E366" s="46"/>
      <c r="F366" s="64"/>
      <c r="G366" s="47"/>
      <c r="H366" s="46"/>
    </row>
    <row r="367" spans="1:8">
      <c r="A367" s="48"/>
      <c r="B367" s="49"/>
      <c r="C367" s="46"/>
      <c r="D367" s="66"/>
      <c r="E367" s="46"/>
      <c r="F367" s="64"/>
      <c r="G367" s="47"/>
      <c r="H367" s="46"/>
    </row>
    <row r="368" spans="1:8">
      <c r="A368" s="48"/>
      <c r="B368" s="49"/>
      <c r="C368" s="46"/>
      <c r="D368" s="66"/>
      <c r="E368" s="46"/>
      <c r="F368" s="64"/>
      <c r="G368" s="47"/>
      <c r="H368" s="46"/>
    </row>
    <row r="369" spans="1:8">
      <c r="A369" s="48"/>
      <c r="B369" s="49"/>
      <c r="C369" s="46"/>
      <c r="D369" s="66"/>
      <c r="E369" s="46"/>
      <c r="F369" s="64"/>
      <c r="G369" s="47"/>
      <c r="H369" s="46"/>
    </row>
    <row r="370" spans="1:8">
      <c r="A370" s="48"/>
      <c r="B370" s="49"/>
      <c r="C370" s="46"/>
      <c r="D370" s="66"/>
      <c r="E370" s="46"/>
      <c r="F370" s="64"/>
      <c r="G370" s="47"/>
      <c r="H370" s="46"/>
    </row>
    <row r="371" spans="1:8">
      <c r="A371" s="48"/>
      <c r="B371" s="49"/>
      <c r="C371" s="46"/>
      <c r="D371" s="66"/>
      <c r="E371" s="46"/>
      <c r="F371" s="64"/>
      <c r="G371" s="47"/>
      <c r="H371" s="46"/>
    </row>
    <row r="372" spans="1:8">
      <c r="A372" s="48"/>
      <c r="B372" s="49"/>
      <c r="C372" s="46"/>
      <c r="D372" s="66"/>
      <c r="E372" s="46"/>
      <c r="F372" s="64"/>
      <c r="G372" s="47"/>
      <c r="H372" s="46"/>
    </row>
    <row r="373" spans="1:8">
      <c r="A373" s="48"/>
      <c r="B373" s="49"/>
      <c r="C373" s="46"/>
      <c r="D373" s="66"/>
      <c r="E373" s="46"/>
      <c r="F373" s="64"/>
      <c r="G373" s="47"/>
      <c r="H373" s="46"/>
    </row>
    <row r="374" spans="1:8">
      <c r="A374" s="48"/>
      <c r="B374" s="49"/>
      <c r="C374" s="46"/>
      <c r="D374" s="66"/>
      <c r="E374" s="46"/>
      <c r="F374" s="64"/>
      <c r="G374" s="47"/>
      <c r="H374" s="46"/>
    </row>
    <row r="375" spans="1:8">
      <c r="A375" s="48"/>
      <c r="B375" s="49"/>
      <c r="C375" s="46"/>
      <c r="D375" s="66"/>
      <c r="E375" s="46"/>
      <c r="F375" s="64"/>
      <c r="G375" s="47"/>
      <c r="H375" s="46"/>
    </row>
    <row r="376" spans="1:8">
      <c r="A376" s="48"/>
      <c r="B376" s="49"/>
      <c r="C376" s="46"/>
      <c r="D376" s="66"/>
      <c r="E376" s="46"/>
      <c r="F376" s="64"/>
      <c r="G376" s="47"/>
      <c r="H376" s="46"/>
    </row>
    <row r="377" spans="1:8">
      <c r="A377" s="48"/>
      <c r="B377" s="49"/>
      <c r="C377" s="46"/>
      <c r="D377" s="66"/>
      <c r="E377" s="46"/>
      <c r="F377" s="64"/>
      <c r="G377" s="47"/>
      <c r="H377" s="46"/>
    </row>
    <row r="378" spans="1:8">
      <c r="A378" s="48"/>
      <c r="B378" s="49"/>
      <c r="C378" s="46"/>
      <c r="D378" s="66"/>
      <c r="E378" s="46"/>
      <c r="F378" s="64"/>
      <c r="G378" s="47"/>
      <c r="H378" s="46"/>
    </row>
    <row r="379" spans="1:8">
      <c r="A379" s="48"/>
      <c r="B379" s="49"/>
      <c r="C379" s="46"/>
      <c r="D379" s="66"/>
      <c r="E379" s="46"/>
      <c r="F379" s="64"/>
      <c r="G379" s="47"/>
      <c r="H379" s="46"/>
    </row>
    <row r="380" spans="1:8">
      <c r="A380" s="48"/>
      <c r="B380" s="49"/>
      <c r="C380" s="46"/>
      <c r="D380" s="66"/>
      <c r="E380" s="46"/>
      <c r="F380" s="64"/>
      <c r="G380" s="47"/>
      <c r="H380" s="46"/>
    </row>
    <row r="381" spans="1:8">
      <c r="A381" s="48"/>
      <c r="B381" s="49"/>
      <c r="C381" s="46"/>
      <c r="D381" s="66"/>
      <c r="E381" s="46"/>
      <c r="F381" s="64"/>
      <c r="G381" s="47"/>
      <c r="H381" s="46"/>
    </row>
    <row r="382" spans="1:8">
      <c r="A382" s="48"/>
      <c r="B382" s="49"/>
      <c r="C382" s="46"/>
      <c r="D382" s="66"/>
      <c r="E382" s="46"/>
      <c r="F382" s="64"/>
      <c r="G382" s="47"/>
      <c r="H382" s="46"/>
    </row>
    <row r="383" spans="1:8">
      <c r="A383" s="48"/>
      <c r="B383" s="49"/>
      <c r="C383" s="46"/>
      <c r="D383" s="66"/>
      <c r="E383" s="46"/>
      <c r="F383" s="64"/>
      <c r="G383" s="47"/>
      <c r="H383" s="46"/>
    </row>
    <row r="384" spans="1:8">
      <c r="A384" s="48"/>
      <c r="B384" s="49"/>
      <c r="C384" s="46"/>
      <c r="D384" s="66"/>
      <c r="E384" s="46"/>
      <c r="F384" s="64"/>
      <c r="G384" s="47"/>
      <c r="H384" s="46"/>
    </row>
    <row r="385" spans="1:8">
      <c r="A385" s="48"/>
      <c r="B385" s="49"/>
      <c r="C385" s="46"/>
      <c r="D385" s="66"/>
      <c r="E385" s="46"/>
      <c r="F385" s="64"/>
      <c r="G385" s="47"/>
      <c r="H385" s="46"/>
    </row>
    <row r="386" spans="1:8">
      <c r="A386" s="48"/>
      <c r="B386" s="49"/>
      <c r="C386" s="50"/>
      <c r="D386" s="67"/>
      <c r="E386" s="50"/>
      <c r="F386" s="64"/>
      <c r="G386" s="50"/>
      <c r="H386" s="50"/>
    </row>
    <row r="387" spans="1:8">
      <c r="A387" s="48"/>
      <c r="B387" s="49"/>
      <c r="C387" s="50"/>
      <c r="D387" s="67"/>
      <c r="E387" s="50"/>
      <c r="F387" s="64"/>
      <c r="G387" s="50"/>
      <c r="H387" s="50"/>
    </row>
    <row r="388" spans="1:8">
      <c r="A388" s="48"/>
      <c r="B388" s="49"/>
      <c r="C388" s="50"/>
      <c r="D388" s="67"/>
      <c r="E388" s="50"/>
      <c r="F388" s="64"/>
      <c r="G388" s="50"/>
      <c r="H388" s="50"/>
    </row>
    <row r="389" spans="1:8">
      <c r="A389" s="48"/>
      <c r="B389" s="49"/>
      <c r="C389" s="50"/>
      <c r="D389" s="67"/>
      <c r="E389" s="50"/>
      <c r="F389" s="64"/>
      <c r="G389" s="50"/>
      <c r="H389" s="50"/>
    </row>
    <row r="390" spans="1:8">
      <c r="A390" s="48"/>
      <c r="B390" s="49"/>
      <c r="C390" s="50"/>
      <c r="D390" s="67"/>
      <c r="E390" s="50"/>
      <c r="F390" s="64"/>
      <c r="G390" s="50"/>
      <c r="H390" s="50"/>
    </row>
    <row r="391" spans="1:8">
      <c r="A391" s="48"/>
      <c r="B391" s="49"/>
      <c r="C391" s="50"/>
      <c r="D391" s="67"/>
      <c r="E391" s="50"/>
      <c r="F391" s="64"/>
      <c r="G391" s="50"/>
      <c r="H391" s="50"/>
    </row>
    <row r="392" spans="1:8">
      <c r="A392" s="48"/>
      <c r="B392" s="49"/>
      <c r="C392" s="50"/>
      <c r="D392" s="67"/>
      <c r="E392" s="50"/>
      <c r="F392" s="64"/>
      <c r="G392" s="50"/>
      <c r="H392" s="50"/>
    </row>
    <row r="393" spans="1:8">
      <c r="A393" s="48"/>
      <c r="B393" s="49"/>
      <c r="C393" s="50"/>
      <c r="D393" s="67"/>
      <c r="E393" s="50"/>
      <c r="F393" s="64"/>
      <c r="G393" s="50"/>
      <c r="H393" s="50"/>
    </row>
    <row r="394" spans="1:8">
      <c r="A394" s="48"/>
      <c r="B394" s="49"/>
      <c r="C394" s="50"/>
      <c r="D394" s="67"/>
      <c r="E394" s="50"/>
      <c r="F394" s="64"/>
      <c r="G394" s="50"/>
      <c r="H394" s="50"/>
    </row>
    <row r="395" spans="1:8">
      <c r="A395" s="48"/>
      <c r="B395" s="49"/>
      <c r="C395" s="50"/>
      <c r="D395" s="67"/>
      <c r="E395" s="50"/>
      <c r="F395" s="64"/>
      <c r="G395" s="50"/>
      <c r="H395" s="50"/>
    </row>
    <row r="396" spans="1:8">
      <c r="A396" s="48"/>
      <c r="B396" s="49"/>
      <c r="C396" s="50"/>
      <c r="D396" s="67"/>
      <c r="E396" s="50"/>
      <c r="F396" s="64"/>
      <c r="G396" s="50"/>
      <c r="H396" s="50"/>
    </row>
    <row r="397" spans="1:8">
      <c r="A397" s="48"/>
      <c r="B397" s="49"/>
      <c r="C397" s="50"/>
      <c r="D397" s="67"/>
      <c r="E397" s="50"/>
      <c r="F397" s="64"/>
      <c r="G397" s="50"/>
      <c r="H397" s="50"/>
    </row>
    <row r="398" spans="1:8">
      <c r="A398" s="48"/>
      <c r="B398" s="49"/>
      <c r="C398" s="50"/>
      <c r="D398" s="67"/>
      <c r="E398" s="50"/>
      <c r="F398" s="64"/>
      <c r="G398" s="50"/>
      <c r="H398" s="50"/>
    </row>
    <row r="399" spans="1:8">
      <c r="A399" s="48"/>
      <c r="B399" s="49"/>
      <c r="C399" s="50"/>
      <c r="D399" s="67"/>
      <c r="E399" s="50"/>
      <c r="F399" s="64"/>
      <c r="G399" s="50"/>
      <c r="H399" s="50"/>
    </row>
    <row r="400" spans="1:8">
      <c r="A400" s="48"/>
      <c r="B400" s="49"/>
      <c r="C400" s="50"/>
      <c r="D400" s="67"/>
      <c r="E400" s="50"/>
      <c r="F400" s="64"/>
      <c r="G400" s="50"/>
      <c r="H400" s="50"/>
    </row>
    <row r="401" spans="1:8">
      <c r="A401" s="48"/>
      <c r="B401" s="49"/>
      <c r="C401" s="50"/>
      <c r="D401" s="67"/>
      <c r="E401" s="50"/>
      <c r="F401" s="64"/>
      <c r="G401" s="50"/>
      <c r="H401" s="50"/>
    </row>
    <row r="402" spans="1:8">
      <c r="A402" s="48"/>
      <c r="B402" s="49"/>
      <c r="C402" s="50"/>
      <c r="D402" s="67"/>
      <c r="E402" s="50"/>
      <c r="F402" s="64"/>
      <c r="G402" s="50"/>
      <c r="H402" s="50"/>
    </row>
    <row r="403" spans="1:8">
      <c r="A403" s="48"/>
      <c r="B403" s="49"/>
      <c r="C403" s="50"/>
      <c r="D403" s="67"/>
      <c r="E403" s="50"/>
      <c r="F403" s="64"/>
      <c r="G403" s="50"/>
      <c r="H403" s="50"/>
    </row>
    <row r="404" spans="1:8">
      <c r="A404" s="48"/>
      <c r="B404" s="49"/>
      <c r="C404" s="50"/>
      <c r="D404" s="67"/>
      <c r="E404" s="50"/>
      <c r="F404" s="64"/>
      <c r="G404" s="50"/>
      <c r="H404" s="50"/>
    </row>
    <row r="405" spans="1:8">
      <c r="A405" s="48"/>
      <c r="B405" s="49"/>
      <c r="C405" s="50"/>
      <c r="D405" s="67"/>
      <c r="E405" s="50"/>
      <c r="F405" s="64"/>
      <c r="G405" s="50"/>
      <c r="H405" s="50"/>
    </row>
    <row r="406" spans="1:8">
      <c r="A406" s="48"/>
      <c r="B406" s="49"/>
      <c r="C406" s="50"/>
      <c r="D406" s="67"/>
      <c r="E406" s="50"/>
      <c r="F406" s="64"/>
      <c r="G406" s="50"/>
      <c r="H406" s="50"/>
    </row>
    <row r="407" spans="1:8">
      <c r="A407" s="48"/>
      <c r="B407" s="49"/>
      <c r="C407" s="50"/>
      <c r="D407" s="67"/>
      <c r="E407" s="50"/>
      <c r="F407" s="64"/>
      <c r="G407" s="50"/>
      <c r="H407" s="50"/>
    </row>
    <row r="408" spans="1:8">
      <c r="A408" s="48"/>
      <c r="B408" s="49"/>
      <c r="C408" s="50"/>
      <c r="D408" s="67"/>
      <c r="E408" s="50"/>
      <c r="F408" s="64"/>
      <c r="G408" s="50"/>
      <c r="H408" s="50"/>
    </row>
    <row r="409" spans="1:8">
      <c r="A409" s="48"/>
      <c r="B409" s="49"/>
      <c r="C409" s="50"/>
      <c r="D409" s="67"/>
      <c r="E409" s="50"/>
      <c r="F409" s="64"/>
      <c r="G409" s="50"/>
      <c r="H409" s="50"/>
    </row>
    <row r="410" spans="1:8">
      <c r="A410" s="48"/>
      <c r="B410" s="49"/>
      <c r="C410" s="50"/>
      <c r="D410" s="67"/>
      <c r="E410" s="50"/>
      <c r="F410" s="64"/>
      <c r="G410" s="50"/>
      <c r="H410" s="50"/>
    </row>
    <row r="411" spans="1:8">
      <c r="A411" s="48"/>
      <c r="B411" s="49"/>
      <c r="C411" s="50"/>
      <c r="D411" s="67"/>
      <c r="E411" s="50"/>
      <c r="F411" s="64"/>
      <c r="G411" s="50"/>
      <c r="H411" s="50"/>
    </row>
    <row r="412" spans="1:8">
      <c r="A412" s="48"/>
      <c r="B412" s="49"/>
      <c r="C412" s="50"/>
      <c r="D412" s="67"/>
      <c r="E412" s="50"/>
      <c r="F412" s="64"/>
      <c r="G412" s="50"/>
      <c r="H412" s="50"/>
    </row>
    <row r="413" spans="1:8">
      <c r="A413" s="48"/>
      <c r="B413" s="49"/>
      <c r="C413" s="50"/>
      <c r="D413" s="67"/>
      <c r="E413" s="50"/>
      <c r="F413" s="64"/>
      <c r="G413" s="50"/>
      <c r="H413" s="50"/>
    </row>
    <row r="414" spans="1:8">
      <c r="A414" s="48"/>
      <c r="B414" s="49"/>
      <c r="C414" s="50"/>
      <c r="D414" s="67"/>
      <c r="E414" s="50"/>
      <c r="F414" s="64"/>
      <c r="G414" s="50"/>
      <c r="H414" s="50"/>
    </row>
    <row r="415" spans="1:8">
      <c r="A415" s="48"/>
      <c r="B415" s="49"/>
      <c r="C415" s="50"/>
      <c r="D415" s="67"/>
      <c r="E415" s="50"/>
      <c r="F415" s="64"/>
      <c r="G415" s="50"/>
      <c r="H415" s="50"/>
    </row>
    <row r="416" spans="1:8">
      <c r="A416" s="48"/>
      <c r="B416" s="49"/>
      <c r="C416" s="50"/>
      <c r="D416" s="67"/>
      <c r="E416" s="50"/>
      <c r="F416" s="64"/>
      <c r="G416" s="50"/>
      <c r="H416" s="50"/>
    </row>
    <row r="417" spans="1:8">
      <c r="A417" s="48"/>
      <c r="B417" s="49"/>
      <c r="C417" s="50"/>
      <c r="D417" s="67"/>
      <c r="E417" s="50"/>
      <c r="F417" s="64"/>
      <c r="G417" s="50"/>
      <c r="H417" s="50"/>
    </row>
    <row r="418" spans="1:8">
      <c r="A418" s="48"/>
      <c r="B418" s="49"/>
      <c r="C418" s="50"/>
      <c r="D418" s="67"/>
      <c r="E418" s="50"/>
      <c r="F418" s="64"/>
      <c r="G418" s="50"/>
      <c r="H418" s="50"/>
    </row>
    <row r="419" spans="1:8">
      <c r="A419" s="48"/>
      <c r="B419" s="49"/>
      <c r="C419" s="50"/>
      <c r="D419" s="67"/>
      <c r="E419" s="50"/>
      <c r="F419" s="64"/>
      <c r="G419" s="50"/>
      <c r="H419" s="50"/>
    </row>
    <row r="420" spans="1:8">
      <c r="A420" s="48"/>
      <c r="B420" s="49"/>
      <c r="C420" s="50"/>
      <c r="D420" s="67"/>
      <c r="E420" s="50"/>
      <c r="F420" s="64"/>
      <c r="G420" s="50"/>
      <c r="H420" s="50"/>
    </row>
    <row r="421" spans="1:8">
      <c r="A421" s="48"/>
      <c r="B421" s="49"/>
      <c r="C421" s="50"/>
      <c r="D421" s="67"/>
      <c r="E421" s="50"/>
      <c r="F421" s="64"/>
      <c r="G421" s="50"/>
      <c r="H421" s="50"/>
    </row>
    <row r="422" spans="1:8">
      <c r="A422" s="48"/>
      <c r="B422" s="49"/>
      <c r="C422" s="50"/>
      <c r="D422" s="67"/>
      <c r="E422" s="50"/>
      <c r="F422" s="64"/>
      <c r="G422" s="50"/>
      <c r="H422" s="50"/>
    </row>
    <row r="423" spans="1:8">
      <c r="A423" s="48"/>
      <c r="B423" s="49"/>
      <c r="C423" s="50"/>
      <c r="D423" s="67"/>
      <c r="E423" s="50"/>
      <c r="F423" s="64"/>
      <c r="G423" s="50"/>
      <c r="H423" s="50"/>
    </row>
    <row r="424" spans="1:8">
      <c r="A424" s="48"/>
      <c r="B424" s="49"/>
      <c r="C424" s="50"/>
      <c r="D424" s="67"/>
      <c r="E424" s="50"/>
      <c r="F424" s="64"/>
      <c r="G424" s="50"/>
      <c r="H424" s="50"/>
    </row>
    <row r="425" spans="1:8">
      <c r="A425" s="48"/>
      <c r="B425" s="49"/>
      <c r="C425" s="50"/>
      <c r="D425" s="67"/>
      <c r="E425" s="50"/>
      <c r="F425" s="64"/>
      <c r="G425" s="50"/>
      <c r="H425" s="50"/>
    </row>
    <row r="426" spans="1:8">
      <c r="A426" s="48"/>
      <c r="B426" s="49"/>
      <c r="C426" s="50"/>
      <c r="D426" s="67"/>
      <c r="E426" s="50"/>
      <c r="F426" s="64"/>
      <c r="G426" s="50"/>
      <c r="H426" s="50"/>
    </row>
    <row r="427" spans="1:8">
      <c r="A427" s="48"/>
      <c r="B427" s="49"/>
      <c r="C427" s="50"/>
      <c r="D427" s="67"/>
      <c r="E427" s="50"/>
      <c r="F427" s="64"/>
      <c r="G427" s="50"/>
      <c r="H427" s="50"/>
    </row>
    <row r="428" spans="1:8">
      <c r="A428" s="48"/>
      <c r="B428" s="49"/>
      <c r="C428" s="50"/>
      <c r="D428" s="67"/>
      <c r="E428" s="50"/>
      <c r="F428" s="64"/>
      <c r="G428" s="50"/>
      <c r="H428" s="50"/>
    </row>
    <row r="429" spans="1:8">
      <c r="A429" s="48"/>
      <c r="B429" s="49"/>
      <c r="C429" s="50"/>
      <c r="D429" s="67"/>
      <c r="E429" s="50"/>
      <c r="F429" s="64"/>
      <c r="G429" s="50"/>
      <c r="H429" s="50"/>
    </row>
    <row r="430" spans="1:8">
      <c r="A430" s="48"/>
      <c r="B430" s="49"/>
      <c r="C430" s="50"/>
      <c r="D430" s="67"/>
      <c r="E430" s="50"/>
      <c r="F430" s="64"/>
      <c r="G430" s="50"/>
      <c r="H430" s="50"/>
    </row>
    <row r="431" spans="1:8">
      <c r="A431" s="48"/>
      <c r="B431" s="49"/>
      <c r="C431" s="50"/>
      <c r="D431" s="67"/>
      <c r="E431" s="50"/>
      <c r="F431" s="64"/>
      <c r="G431" s="50"/>
      <c r="H431" s="50"/>
    </row>
    <row r="432" spans="1:8">
      <c r="A432" s="48"/>
      <c r="B432" s="49"/>
      <c r="C432" s="50"/>
      <c r="D432" s="67"/>
      <c r="E432" s="50"/>
      <c r="F432" s="64"/>
      <c r="G432" s="50"/>
      <c r="H432" s="50"/>
    </row>
    <row r="433" spans="1:8">
      <c r="A433" s="48"/>
      <c r="B433" s="49"/>
      <c r="C433" s="50"/>
      <c r="D433" s="67"/>
      <c r="E433" s="50"/>
      <c r="F433" s="64"/>
      <c r="G433" s="50"/>
      <c r="H433" s="50"/>
    </row>
    <row r="434" spans="1:8">
      <c r="A434" s="48"/>
      <c r="B434" s="49"/>
      <c r="C434" s="50"/>
      <c r="D434" s="67"/>
      <c r="E434" s="50"/>
      <c r="F434" s="64"/>
      <c r="G434" s="50"/>
      <c r="H434" s="50"/>
    </row>
    <row r="435" spans="1:8">
      <c r="A435" s="48"/>
      <c r="B435" s="49"/>
      <c r="C435" s="50"/>
      <c r="D435" s="67"/>
      <c r="E435" s="50"/>
      <c r="F435" s="64"/>
      <c r="G435" s="50"/>
      <c r="H435" s="50"/>
    </row>
    <row r="436" spans="1:8">
      <c r="A436" s="48"/>
      <c r="B436" s="49"/>
      <c r="C436" s="50"/>
      <c r="D436" s="67"/>
      <c r="E436" s="50"/>
      <c r="F436" s="64"/>
      <c r="G436" s="50"/>
      <c r="H436" s="50"/>
    </row>
    <row r="437" spans="1:8">
      <c r="A437" s="48"/>
      <c r="B437" s="49"/>
      <c r="C437" s="50"/>
      <c r="D437" s="67"/>
      <c r="E437" s="50"/>
      <c r="F437" s="64"/>
      <c r="G437" s="50"/>
      <c r="H437" s="50"/>
    </row>
    <row r="438" spans="1:8">
      <c r="A438" s="48"/>
      <c r="B438" s="49"/>
      <c r="C438" s="50"/>
      <c r="D438" s="67"/>
      <c r="E438" s="50"/>
      <c r="F438" s="64"/>
      <c r="G438" s="50"/>
      <c r="H438" s="50"/>
    </row>
    <row r="439" spans="1:8">
      <c r="A439" s="48"/>
      <c r="B439" s="49"/>
      <c r="C439" s="50"/>
      <c r="D439" s="67"/>
      <c r="E439" s="50"/>
      <c r="F439" s="64"/>
      <c r="G439" s="50"/>
      <c r="H439" s="50"/>
    </row>
    <row r="440" spans="1:8">
      <c r="A440" s="48"/>
      <c r="B440" s="49"/>
      <c r="C440" s="50"/>
      <c r="D440" s="67"/>
      <c r="E440" s="50"/>
      <c r="F440" s="64"/>
      <c r="G440" s="50"/>
      <c r="H440" s="50"/>
    </row>
    <row r="441" spans="1:8">
      <c r="A441" s="48"/>
      <c r="B441" s="49"/>
      <c r="C441" s="50"/>
      <c r="D441" s="67"/>
      <c r="E441" s="50"/>
      <c r="F441" s="64"/>
      <c r="G441" s="50"/>
      <c r="H441" s="50"/>
    </row>
    <row r="442" spans="1:8">
      <c r="A442" s="48"/>
      <c r="B442" s="49"/>
      <c r="C442" s="50"/>
      <c r="D442" s="67"/>
      <c r="E442" s="50"/>
      <c r="F442" s="64"/>
      <c r="G442" s="50"/>
      <c r="H442" s="50"/>
    </row>
    <row r="443" spans="1:8">
      <c r="A443" s="48"/>
      <c r="B443" s="49"/>
      <c r="C443" s="50"/>
      <c r="D443" s="67"/>
      <c r="E443" s="50"/>
      <c r="F443" s="64"/>
      <c r="G443" s="50"/>
      <c r="H443" s="50"/>
    </row>
    <row r="444" spans="1:8">
      <c r="A444" s="48"/>
      <c r="B444" s="49"/>
      <c r="C444" s="50"/>
      <c r="D444" s="67"/>
      <c r="E444" s="50"/>
      <c r="F444" s="64"/>
      <c r="G444" s="50"/>
      <c r="H444" s="50"/>
    </row>
    <row r="445" spans="1:8">
      <c r="A445" s="48"/>
      <c r="B445" s="49"/>
      <c r="C445" s="50"/>
      <c r="D445" s="67"/>
      <c r="E445" s="50"/>
      <c r="F445" s="64"/>
      <c r="G445" s="50"/>
      <c r="H445" s="50"/>
    </row>
    <row r="446" spans="1:8">
      <c r="A446" s="48"/>
      <c r="B446" s="49"/>
      <c r="C446" s="50"/>
      <c r="D446" s="67"/>
      <c r="E446" s="50"/>
      <c r="F446" s="64"/>
      <c r="G446" s="50"/>
      <c r="H446" s="50"/>
    </row>
    <row r="447" spans="1:8">
      <c r="A447" s="48"/>
      <c r="B447" s="49"/>
      <c r="C447" s="50"/>
      <c r="D447" s="67"/>
      <c r="E447" s="50"/>
      <c r="F447" s="64"/>
      <c r="G447" s="50"/>
      <c r="H447" s="50"/>
    </row>
    <row r="448" spans="1:8">
      <c r="A448" s="48"/>
      <c r="B448" s="49"/>
      <c r="C448" s="50"/>
      <c r="D448" s="67"/>
      <c r="E448" s="50"/>
      <c r="F448" s="64"/>
      <c r="G448" s="50"/>
      <c r="H448" s="50"/>
    </row>
    <row r="449" spans="1:8">
      <c r="A449" s="48"/>
      <c r="B449" s="49"/>
      <c r="C449" s="50"/>
      <c r="D449" s="67"/>
      <c r="E449" s="50"/>
      <c r="F449" s="64"/>
      <c r="G449" s="50"/>
      <c r="H449" s="50"/>
    </row>
    <row r="450" spans="1:8">
      <c r="A450" s="48"/>
      <c r="B450" s="49"/>
      <c r="C450" s="50"/>
      <c r="D450" s="67"/>
      <c r="E450" s="50"/>
      <c r="F450" s="64"/>
      <c r="G450" s="50"/>
      <c r="H450" s="50"/>
    </row>
    <row r="451" spans="1:8">
      <c r="A451" s="48"/>
      <c r="B451" s="49"/>
      <c r="C451" s="50"/>
      <c r="D451" s="67"/>
      <c r="E451" s="50"/>
      <c r="F451" s="64"/>
      <c r="G451" s="50"/>
      <c r="H451" s="50"/>
    </row>
    <row r="452" spans="1:8">
      <c r="A452" s="48"/>
      <c r="B452" s="49"/>
      <c r="C452" s="50"/>
      <c r="D452" s="67"/>
      <c r="E452" s="50"/>
      <c r="F452" s="64"/>
      <c r="G452" s="50"/>
      <c r="H452" s="50"/>
    </row>
    <row r="453" spans="1:8">
      <c r="A453" s="48"/>
      <c r="B453" s="49"/>
      <c r="C453" s="50"/>
      <c r="D453" s="67"/>
      <c r="E453" s="50"/>
      <c r="F453" s="64"/>
      <c r="G453" s="50"/>
      <c r="H453" s="50"/>
    </row>
    <row r="454" spans="1:8">
      <c r="A454" s="48"/>
      <c r="B454" s="49"/>
      <c r="C454" s="50"/>
      <c r="D454" s="67"/>
      <c r="E454" s="50"/>
      <c r="F454" s="64"/>
      <c r="G454" s="50"/>
      <c r="H454" s="50"/>
    </row>
    <row r="455" spans="1:8">
      <c r="A455" s="48"/>
      <c r="B455" s="49"/>
      <c r="C455" s="50"/>
      <c r="D455" s="67"/>
      <c r="E455" s="50"/>
      <c r="F455" s="64"/>
      <c r="G455" s="50"/>
      <c r="H455" s="50"/>
    </row>
    <row r="456" spans="1:8">
      <c r="A456" s="48"/>
      <c r="B456" s="49"/>
      <c r="C456" s="50"/>
      <c r="D456" s="67"/>
      <c r="E456" s="50"/>
      <c r="F456" s="64"/>
      <c r="G456" s="50"/>
      <c r="H456" s="50"/>
    </row>
    <row r="457" spans="1:8">
      <c r="A457" s="48"/>
      <c r="B457" s="49"/>
      <c r="C457" s="50"/>
      <c r="D457" s="67"/>
      <c r="E457" s="50"/>
      <c r="F457" s="64"/>
      <c r="G457" s="50"/>
      <c r="H457" s="50"/>
    </row>
    <row r="458" spans="1:8">
      <c r="A458" s="48"/>
      <c r="B458" s="49"/>
      <c r="C458" s="50"/>
      <c r="D458" s="67"/>
      <c r="E458" s="50"/>
      <c r="F458" s="64"/>
      <c r="G458" s="50"/>
      <c r="H458" s="50"/>
    </row>
    <row r="459" spans="1:8">
      <c r="A459" s="48"/>
      <c r="B459" s="49"/>
      <c r="C459" s="50"/>
      <c r="D459" s="67"/>
      <c r="E459" s="50"/>
      <c r="F459" s="64"/>
      <c r="G459" s="50"/>
      <c r="H459" s="50"/>
    </row>
    <row r="460" spans="1:8">
      <c r="A460" s="48"/>
      <c r="B460" s="49"/>
      <c r="C460" s="50"/>
      <c r="D460" s="67"/>
      <c r="E460" s="50"/>
      <c r="F460" s="64"/>
      <c r="G460" s="50"/>
      <c r="H460" s="50"/>
    </row>
    <row r="461" spans="1:8">
      <c r="A461" s="48"/>
      <c r="B461" s="49"/>
      <c r="C461" s="50"/>
      <c r="D461" s="67"/>
      <c r="E461" s="50"/>
      <c r="F461" s="64"/>
      <c r="G461" s="50"/>
      <c r="H461" s="50"/>
    </row>
    <row r="462" spans="1:8">
      <c r="A462" s="48"/>
      <c r="B462" s="49"/>
      <c r="C462" s="50"/>
      <c r="D462" s="67"/>
      <c r="E462" s="50"/>
      <c r="F462" s="64"/>
      <c r="G462" s="50"/>
      <c r="H462" s="50"/>
    </row>
    <row r="463" spans="1:8">
      <c r="A463" s="48"/>
      <c r="B463" s="49"/>
      <c r="C463" s="50"/>
      <c r="D463" s="67"/>
      <c r="E463" s="50"/>
      <c r="F463" s="64"/>
      <c r="G463" s="50"/>
      <c r="H463" s="50"/>
    </row>
    <row r="464" spans="1:8">
      <c r="A464" s="48"/>
      <c r="B464" s="49"/>
      <c r="C464" s="50"/>
      <c r="D464" s="67"/>
      <c r="E464" s="50"/>
      <c r="F464" s="64"/>
      <c r="G464" s="50"/>
      <c r="H464" s="50"/>
    </row>
    <row r="465" spans="1:8">
      <c r="A465" s="48"/>
      <c r="B465" s="49"/>
      <c r="C465" s="50"/>
      <c r="D465" s="67"/>
      <c r="E465" s="50"/>
      <c r="F465" s="64"/>
      <c r="G465" s="50"/>
      <c r="H465" s="50"/>
    </row>
    <row r="466" spans="1:8">
      <c r="A466" s="48"/>
      <c r="B466" s="49"/>
      <c r="C466" s="50"/>
      <c r="D466" s="67"/>
      <c r="E466" s="50"/>
      <c r="F466" s="64"/>
      <c r="G466" s="50"/>
      <c r="H466" s="50"/>
    </row>
    <row r="467" spans="1:8">
      <c r="A467" s="48"/>
      <c r="B467" s="49"/>
      <c r="C467" s="50"/>
      <c r="D467" s="67"/>
      <c r="E467" s="50"/>
      <c r="F467" s="64"/>
      <c r="G467" s="50"/>
      <c r="H467" s="50"/>
    </row>
    <row r="468" spans="1:8">
      <c r="A468" s="48"/>
      <c r="B468" s="49"/>
      <c r="C468" s="50"/>
      <c r="D468" s="67"/>
      <c r="E468" s="50"/>
      <c r="F468" s="64"/>
      <c r="G468" s="50"/>
      <c r="H468" s="50"/>
    </row>
    <row r="469" spans="1:8">
      <c r="A469" s="48"/>
      <c r="B469" s="49"/>
      <c r="C469" s="50"/>
      <c r="D469" s="67"/>
      <c r="E469" s="50"/>
      <c r="F469" s="64"/>
      <c r="G469" s="50"/>
      <c r="H469" s="50"/>
    </row>
    <row r="470" spans="1:8">
      <c r="A470" s="48"/>
      <c r="B470" s="49"/>
      <c r="C470" s="50"/>
      <c r="D470" s="67"/>
      <c r="E470" s="50"/>
      <c r="F470" s="64"/>
      <c r="G470" s="50"/>
      <c r="H470" s="50"/>
    </row>
    <row r="471" spans="1:8">
      <c r="A471" s="48"/>
      <c r="B471" s="49"/>
      <c r="C471" s="50"/>
      <c r="D471" s="67"/>
      <c r="E471" s="50"/>
      <c r="F471" s="64"/>
      <c r="G471" s="50"/>
      <c r="H471" s="50"/>
    </row>
    <row r="472" spans="1:8">
      <c r="A472" s="48"/>
      <c r="B472" s="49"/>
      <c r="C472" s="50"/>
      <c r="D472" s="67"/>
      <c r="E472" s="50"/>
      <c r="F472" s="64"/>
      <c r="G472" s="50"/>
      <c r="H472" s="50"/>
    </row>
    <row r="473" spans="1:8">
      <c r="A473" s="48"/>
      <c r="B473" s="49"/>
      <c r="C473" s="50"/>
      <c r="D473" s="67"/>
      <c r="E473" s="50"/>
      <c r="F473" s="64"/>
      <c r="G473" s="50"/>
      <c r="H473" s="50"/>
    </row>
    <row r="474" spans="1:8">
      <c r="A474" s="48"/>
      <c r="B474" s="49"/>
      <c r="C474" s="50"/>
      <c r="D474" s="67"/>
      <c r="E474" s="50"/>
      <c r="F474" s="64"/>
      <c r="G474" s="50"/>
      <c r="H474" s="50"/>
    </row>
    <row r="475" spans="1:8">
      <c r="A475" s="48"/>
      <c r="B475" s="49"/>
      <c r="C475" s="50"/>
      <c r="D475" s="67"/>
      <c r="E475" s="50"/>
      <c r="F475" s="64"/>
      <c r="G475" s="50"/>
      <c r="H475" s="50"/>
    </row>
    <row r="476" spans="1:8">
      <c r="A476" s="48"/>
      <c r="B476" s="49"/>
      <c r="C476" s="50"/>
      <c r="D476" s="67"/>
      <c r="E476" s="50"/>
      <c r="F476" s="64"/>
      <c r="G476" s="50"/>
      <c r="H476" s="50"/>
    </row>
    <row r="477" spans="1:8">
      <c r="A477" s="48"/>
      <c r="B477" s="49"/>
      <c r="C477" s="50"/>
      <c r="D477" s="67"/>
      <c r="E477" s="50"/>
      <c r="F477" s="64"/>
      <c r="G477" s="50"/>
      <c r="H477" s="50"/>
    </row>
    <row r="478" spans="1:8">
      <c r="A478" s="48"/>
      <c r="B478" s="49"/>
      <c r="C478" s="50"/>
      <c r="D478" s="67"/>
      <c r="E478" s="50"/>
      <c r="F478" s="64"/>
      <c r="G478" s="50"/>
      <c r="H478" s="50"/>
    </row>
    <row r="479" spans="1:8">
      <c r="A479" s="48"/>
      <c r="B479" s="49"/>
      <c r="C479" s="50"/>
      <c r="D479" s="67"/>
      <c r="E479" s="50"/>
      <c r="F479" s="64"/>
      <c r="G479" s="50"/>
      <c r="H479" s="50"/>
    </row>
    <row r="480" spans="1:8">
      <c r="A480" s="48"/>
      <c r="B480" s="49"/>
      <c r="C480" s="50"/>
      <c r="D480" s="67"/>
      <c r="E480" s="50"/>
      <c r="F480" s="64"/>
      <c r="G480" s="50"/>
      <c r="H480" s="50"/>
    </row>
    <row r="481" spans="1:8">
      <c r="A481" s="48"/>
      <c r="B481" s="49"/>
      <c r="C481" s="50"/>
      <c r="D481" s="67"/>
      <c r="E481" s="50"/>
      <c r="F481" s="64"/>
      <c r="G481" s="50"/>
      <c r="H481" s="50"/>
    </row>
    <row r="482" spans="1:8">
      <c r="A482" s="48"/>
      <c r="B482" s="49"/>
      <c r="C482" s="50"/>
      <c r="D482" s="67"/>
      <c r="E482" s="50"/>
      <c r="F482" s="64"/>
      <c r="G482" s="50"/>
      <c r="H482" s="50"/>
    </row>
    <row r="483" spans="1:8">
      <c r="A483" s="48"/>
      <c r="B483" s="49"/>
      <c r="C483" s="50"/>
      <c r="D483" s="67"/>
      <c r="E483" s="50"/>
      <c r="F483" s="64"/>
      <c r="G483" s="50"/>
      <c r="H483" s="50"/>
    </row>
    <row r="484" spans="1:8">
      <c r="A484" s="48"/>
      <c r="B484" s="49"/>
      <c r="C484" s="50"/>
      <c r="D484" s="67"/>
      <c r="E484" s="50"/>
      <c r="F484" s="64"/>
      <c r="G484" s="50"/>
      <c r="H484" s="50"/>
    </row>
    <row r="485" spans="1:8">
      <c r="A485" s="48"/>
      <c r="B485" s="49"/>
      <c r="C485" s="50"/>
      <c r="D485" s="67"/>
      <c r="E485" s="50"/>
      <c r="F485" s="64"/>
      <c r="G485" s="50"/>
      <c r="H485" s="50"/>
    </row>
    <row r="486" spans="1:8">
      <c r="A486" s="48"/>
      <c r="B486" s="49"/>
      <c r="C486" s="50"/>
      <c r="D486" s="67"/>
      <c r="E486" s="50"/>
      <c r="F486" s="64"/>
      <c r="G486" s="50"/>
      <c r="H486" s="50"/>
    </row>
    <row r="487" spans="1:8">
      <c r="A487" s="48"/>
      <c r="B487" s="49"/>
      <c r="C487" s="50"/>
      <c r="D487" s="67"/>
      <c r="E487" s="50"/>
      <c r="F487" s="64"/>
      <c r="G487" s="50"/>
      <c r="H487" s="50"/>
    </row>
    <row r="488" spans="1:8">
      <c r="A488" s="48"/>
      <c r="B488" s="49"/>
      <c r="C488" s="50"/>
      <c r="D488" s="67"/>
      <c r="E488" s="50"/>
      <c r="F488" s="64"/>
      <c r="G488" s="50"/>
      <c r="H488" s="50"/>
    </row>
    <row r="489" spans="1:8">
      <c r="A489" s="48"/>
      <c r="B489" s="49"/>
      <c r="C489" s="50"/>
      <c r="D489" s="67"/>
      <c r="E489" s="50"/>
      <c r="F489" s="64"/>
      <c r="G489" s="50"/>
      <c r="H489" s="50"/>
    </row>
    <row r="490" spans="1:8">
      <c r="A490" s="48"/>
      <c r="B490" s="49"/>
      <c r="C490" s="50"/>
      <c r="D490" s="67"/>
      <c r="E490" s="50"/>
      <c r="F490" s="64"/>
      <c r="G490" s="50"/>
      <c r="H490" s="50"/>
    </row>
    <row r="491" spans="1:8">
      <c r="A491" s="48"/>
      <c r="B491" s="49"/>
      <c r="C491" s="50"/>
      <c r="D491" s="67"/>
      <c r="E491" s="50"/>
      <c r="F491" s="64"/>
      <c r="G491" s="50"/>
      <c r="H491" s="50"/>
    </row>
    <row r="492" spans="1:8">
      <c r="A492" s="48"/>
      <c r="B492" s="49"/>
      <c r="C492" s="50"/>
      <c r="D492" s="67"/>
      <c r="E492" s="50"/>
      <c r="F492" s="64"/>
      <c r="G492" s="50"/>
      <c r="H492" s="50"/>
    </row>
    <row r="493" spans="1:8">
      <c r="A493" s="48"/>
      <c r="B493" s="49"/>
      <c r="C493" s="50"/>
      <c r="D493" s="67"/>
      <c r="E493" s="50"/>
      <c r="F493" s="64"/>
      <c r="G493" s="50"/>
      <c r="H493" s="50"/>
    </row>
    <row r="494" spans="1:8">
      <c r="A494" s="48"/>
      <c r="B494" s="49"/>
      <c r="C494" s="50"/>
      <c r="D494" s="67"/>
      <c r="E494" s="50"/>
      <c r="F494" s="64"/>
      <c r="G494" s="50"/>
      <c r="H494" s="50"/>
    </row>
    <row r="495" spans="1:8">
      <c r="A495" s="48"/>
      <c r="B495" s="49"/>
      <c r="C495" s="50"/>
      <c r="D495" s="67"/>
      <c r="E495" s="50"/>
      <c r="F495" s="64"/>
      <c r="G495" s="50"/>
      <c r="H495" s="50"/>
    </row>
    <row r="496" spans="1:8">
      <c r="A496" s="48"/>
      <c r="B496" s="49"/>
      <c r="C496" s="50"/>
      <c r="D496" s="67"/>
      <c r="E496" s="50"/>
      <c r="F496" s="64"/>
      <c r="G496" s="50"/>
      <c r="H496" s="50"/>
    </row>
    <row r="497" spans="1:8">
      <c r="A497" s="48"/>
      <c r="B497" s="49"/>
      <c r="C497" s="50"/>
      <c r="D497" s="67"/>
      <c r="E497" s="50"/>
      <c r="F497" s="64"/>
      <c r="G497" s="50"/>
      <c r="H497" s="50"/>
    </row>
    <row r="498" spans="1:8">
      <c r="A498" s="48"/>
      <c r="B498" s="49"/>
      <c r="C498" s="50"/>
      <c r="D498" s="67"/>
      <c r="E498" s="50"/>
      <c r="F498" s="64"/>
      <c r="G498" s="50"/>
      <c r="H498" s="50"/>
    </row>
    <row r="499" spans="1:8">
      <c r="A499" s="48"/>
      <c r="B499" s="49"/>
      <c r="C499" s="50"/>
      <c r="D499" s="67"/>
      <c r="E499" s="50"/>
      <c r="F499" s="64"/>
      <c r="G499" s="50"/>
      <c r="H499" s="50"/>
    </row>
    <row r="500" spans="1:8">
      <c r="A500" s="48"/>
      <c r="B500" s="49"/>
      <c r="C500" s="50"/>
      <c r="D500" s="67"/>
      <c r="E500" s="50"/>
      <c r="F500" s="64"/>
      <c r="G500" s="50"/>
      <c r="H500" s="50"/>
    </row>
    <row r="501" spans="1:8">
      <c r="A501" s="48"/>
      <c r="B501" s="49"/>
      <c r="C501" s="50"/>
      <c r="D501" s="67"/>
      <c r="E501" s="50"/>
      <c r="F501" s="64"/>
      <c r="G501" s="50"/>
      <c r="H501" s="50"/>
    </row>
    <row r="502" spans="1:8">
      <c r="A502" s="48"/>
      <c r="B502" s="49"/>
      <c r="C502" s="50"/>
      <c r="D502" s="67"/>
      <c r="E502" s="50"/>
      <c r="F502" s="64"/>
      <c r="G502" s="50"/>
      <c r="H502" s="50"/>
    </row>
    <row r="503" spans="1:8">
      <c r="A503" s="48"/>
      <c r="B503" s="49"/>
      <c r="C503" s="50"/>
      <c r="D503" s="67"/>
      <c r="E503" s="50"/>
      <c r="F503" s="64"/>
      <c r="G503" s="50"/>
      <c r="H503" s="50"/>
    </row>
    <row r="504" spans="1:8">
      <c r="A504" s="48"/>
      <c r="B504" s="49"/>
      <c r="C504" s="50"/>
      <c r="D504" s="67"/>
      <c r="E504" s="50"/>
      <c r="F504" s="64"/>
      <c r="G504" s="50"/>
      <c r="H504" s="50"/>
    </row>
    <row r="505" spans="1:8">
      <c r="A505" s="48"/>
      <c r="B505" s="49"/>
      <c r="C505" s="50"/>
      <c r="D505" s="67"/>
      <c r="E505" s="50"/>
      <c r="F505" s="64"/>
      <c r="G505" s="50"/>
      <c r="H505" s="50"/>
    </row>
    <row r="506" spans="1:8">
      <c r="A506" s="48"/>
      <c r="B506" s="49"/>
      <c r="C506" s="50"/>
      <c r="D506" s="67"/>
      <c r="E506" s="50"/>
      <c r="F506" s="64"/>
      <c r="G506" s="50"/>
      <c r="H506" s="50"/>
    </row>
    <row r="507" spans="1:8">
      <c r="A507" s="48"/>
      <c r="B507" s="49"/>
      <c r="C507" s="50"/>
      <c r="D507" s="67"/>
      <c r="E507" s="50"/>
      <c r="F507" s="64"/>
      <c r="G507" s="50"/>
      <c r="H507" s="50"/>
    </row>
    <row r="508" spans="1:8">
      <c r="A508" s="48"/>
      <c r="B508" s="49"/>
      <c r="C508" s="50"/>
      <c r="D508" s="67"/>
      <c r="E508" s="50"/>
      <c r="F508" s="64"/>
      <c r="G508" s="50"/>
      <c r="H508" s="50"/>
    </row>
    <row r="509" spans="1:8">
      <c r="A509" s="48"/>
      <c r="B509" s="49"/>
      <c r="C509" s="50"/>
      <c r="D509" s="67"/>
      <c r="E509" s="50"/>
      <c r="F509" s="64"/>
      <c r="G509" s="50"/>
      <c r="H509" s="50"/>
    </row>
    <row r="510" spans="1:8">
      <c r="A510" s="48"/>
      <c r="B510" s="49"/>
      <c r="C510" s="50"/>
      <c r="D510" s="67"/>
      <c r="E510" s="50"/>
      <c r="F510" s="64"/>
      <c r="G510" s="50"/>
      <c r="H510" s="50"/>
    </row>
    <row r="511" spans="1:8">
      <c r="A511" s="48"/>
      <c r="B511" s="49"/>
      <c r="C511" s="50"/>
      <c r="D511" s="67"/>
      <c r="E511" s="50"/>
      <c r="F511" s="64"/>
      <c r="G511" s="50"/>
      <c r="H511" s="50"/>
    </row>
    <row r="512" spans="1:8">
      <c r="A512" s="48"/>
      <c r="B512" s="49"/>
      <c r="C512" s="50"/>
      <c r="D512" s="67"/>
      <c r="E512" s="50"/>
      <c r="F512" s="64"/>
      <c r="G512" s="50"/>
      <c r="H512" s="50"/>
    </row>
    <row r="513" spans="1:8">
      <c r="A513" s="48"/>
      <c r="B513" s="49"/>
      <c r="C513" s="50"/>
      <c r="D513" s="67"/>
      <c r="E513" s="50"/>
      <c r="F513" s="64"/>
      <c r="G513" s="50"/>
      <c r="H513" s="50"/>
    </row>
    <row r="514" spans="1:8">
      <c r="A514" s="48"/>
      <c r="B514" s="49"/>
      <c r="C514" s="50"/>
      <c r="D514" s="67"/>
      <c r="E514" s="50"/>
      <c r="F514" s="64"/>
      <c r="G514" s="50"/>
      <c r="H514" s="50"/>
    </row>
    <row r="515" spans="1:8">
      <c r="A515" s="48"/>
      <c r="B515" s="49"/>
      <c r="C515" s="50"/>
      <c r="D515" s="67"/>
      <c r="E515" s="50"/>
      <c r="F515" s="64"/>
      <c r="G515" s="50"/>
      <c r="H515" s="50"/>
    </row>
    <row r="516" spans="1:8">
      <c r="A516" s="48"/>
      <c r="B516" s="49"/>
      <c r="C516" s="50"/>
      <c r="D516" s="67"/>
      <c r="E516" s="50"/>
      <c r="F516" s="64"/>
      <c r="G516" s="50"/>
      <c r="H516" s="50"/>
    </row>
    <row r="517" spans="1:8">
      <c r="A517" s="48"/>
      <c r="B517" s="49"/>
      <c r="C517" s="50"/>
      <c r="D517" s="67"/>
      <c r="E517" s="50"/>
      <c r="F517" s="64"/>
      <c r="G517" s="50"/>
      <c r="H517" s="50"/>
    </row>
    <row r="518" spans="1:8">
      <c r="A518" s="48"/>
      <c r="B518" s="49"/>
      <c r="C518" s="50"/>
      <c r="D518" s="67"/>
      <c r="E518" s="50"/>
      <c r="F518" s="64"/>
      <c r="G518" s="50"/>
      <c r="H518" s="50"/>
    </row>
    <row r="519" spans="1:8">
      <c r="A519" s="48"/>
      <c r="B519" s="49"/>
      <c r="C519" s="50"/>
      <c r="D519" s="67"/>
      <c r="E519" s="50"/>
      <c r="F519" s="64"/>
      <c r="G519" s="50"/>
      <c r="H519" s="50"/>
    </row>
    <row r="520" spans="1:8">
      <c r="A520" s="48"/>
      <c r="B520" s="49"/>
      <c r="C520" s="50"/>
      <c r="D520" s="67"/>
      <c r="E520" s="50"/>
      <c r="F520" s="64"/>
      <c r="G520" s="50"/>
      <c r="H520" s="50"/>
    </row>
    <row r="521" spans="1:8">
      <c r="A521" s="48"/>
      <c r="B521" s="49"/>
      <c r="C521" s="50"/>
      <c r="D521" s="67"/>
      <c r="E521" s="50"/>
      <c r="F521" s="64"/>
      <c r="G521" s="50"/>
      <c r="H521" s="50"/>
    </row>
    <row r="522" spans="1:8">
      <c r="A522" s="48"/>
      <c r="B522" s="49"/>
      <c r="C522" s="50"/>
      <c r="D522" s="67"/>
      <c r="E522" s="50"/>
      <c r="F522" s="64"/>
      <c r="G522" s="50"/>
      <c r="H522" s="50"/>
    </row>
    <row r="523" spans="1:8">
      <c r="A523" s="48"/>
      <c r="B523" s="49"/>
      <c r="C523" s="50"/>
      <c r="D523" s="67"/>
      <c r="E523" s="50"/>
      <c r="F523" s="64"/>
      <c r="G523" s="50"/>
      <c r="H523" s="50"/>
    </row>
    <row r="524" spans="1:8">
      <c r="A524" s="48"/>
      <c r="B524" s="49"/>
      <c r="C524" s="50"/>
      <c r="D524" s="67"/>
      <c r="E524" s="50"/>
      <c r="F524" s="64"/>
      <c r="G524" s="50"/>
      <c r="H524" s="50"/>
    </row>
    <row r="525" spans="1:8">
      <c r="A525" s="48"/>
      <c r="B525" s="49"/>
      <c r="C525" s="50"/>
      <c r="D525" s="67"/>
      <c r="E525" s="50"/>
      <c r="F525" s="64"/>
      <c r="G525" s="50"/>
      <c r="H525" s="50"/>
    </row>
    <row r="526" spans="1:8">
      <c r="A526" s="48"/>
      <c r="B526" s="49"/>
      <c r="C526" s="50"/>
      <c r="D526" s="67"/>
      <c r="E526" s="50"/>
      <c r="F526" s="64"/>
      <c r="G526" s="50"/>
      <c r="H526" s="50"/>
    </row>
    <row r="527" spans="1:8">
      <c r="A527" s="48"/>
      <c r="B527" s="49"/>
      <c r="C527" s="50"/>
      <c r="D527" s="67"/>
      <c r="E527" s="50"/>
      <c r="F527" s="64"/>
      <c r="G527" s="50"/>
      <c r="H527" s="50"/>
    </row>
    <row r="528" spans="1:8">
      <c r="A528" s="48"/>
      <c r="B528" s="49"/>
      <c r="C528" s="50"/>
      <c r="D528" s="67"/>
      <c r="E528" s="50"/>
      <c r="F528" s="64"/>
      <c r="G528" s="50"/>
      <c r="H528" s="50"/>
    </row>
    <row r="529" spans="1:8">
      <c r="A529" s="48"/>
      <c r="B529" s="49"/>
      <c r="C529" s="50"/>
      <c r="D529" s="67"/>
      <c r="E529" s="50"/>
      <c r="F529" s="64"/>
      <c r="G529" s="50"/>
      <c r="H529" s="50"/>
    </row>
    <row r="530" spans="1:8">
      <c r="A530" s="48"/>
      <c r="B530" s="49"/>
      <c r="C530" s="50"/>
      <c r="D530" s="67"/>
      <c r="E530" s="50"/>
      <c r="F530" s="64"/>
      <c r="G530" s="50"/>
      <c r="H530" s="50"/>
    </row>
    <row r="531" spans="1:8">
      <c r="A531" s="48"/>
      <c r="B531" s="49"/>
      <c r="C531" s="50"/>
      <c r="D531" s="67"/>
      <c r="E531" s="50"/>
      <c r="F531" s="64"/>
      <c r="G531" s="50"/>
      <c r="H531" s="50"/>
    </row>
    <row r="532" spans="1:8">
      <c r="A532" s="48"/>
      <c r="B532" s="49"/>
      <c r="C532" s="50"/>
      <c r="D532" s="67"/>
      <c r="E532" s="50"/>
      <c r="F532" s="64"/>
      <c r="G532" s="50"/>
      <c r="H532" s="50"/>
    </row>
    <row r="533" spans="1:8">
      <c r="A533" s="48"/>
      <c r="B533" s="49"/>
      <c r="C533" s="50"/>
      <c r="D533" s="67"/>
      <c r="E533" s="50"/>
      <c r="F533" s="64"/>
      <c r="G533" s="50"/>
      <c r="H533" s="50"/>
    </row>
    <row r="534" spans="1:8">
      <c r="A534" s="48"/>
      <c r="B534" s="49"/>
      <c r="C534" s="50"/>
      <c r="D534" s="67"/>
      <c r="E534" s="50"/>
      <c r="F534" s="64"/>
      <c r="G534" s="50"/>
      <c r="H534" s="50"/>
    </row>
    <row r="535" spans="1:8">
      <c r="A535" s="48"/>
      <c r="B535" s="49"/>
      <c r="C535" s="50"/>
      <c r="D535" s="67"/>
      <c r="E535" s="50"/>
      <c r="F535" s="64"/>
      <c r="G535" s="50"/>
      <c r="H535" s="50"/>
    </row>
    <row r="536" spans="1:8">
      <c r="A536" s="48"/>
      <c r="B536" s="49"/>
      <c r="C536" s="50"/>
      <c r="D536" s="67"/>
      <c r="E536" s="50"/>
      <c r="F536" s="64"/>
      <c r="G536" s="50"/>
      <c r="H536" s="50"/>
    </row>
    <row r="537" spans="1:8">
      <c r="A537" s="48"/>
      <c r="B537" s="49"/>
      <c r="C537" s="50"/>
      <c r="D537" s="67"/>
      <c r="E537" s="50"/>
      <c r="F537" s="64"/>
      <c r="G537" s="50"/>
      <c r="H537" s="50"/>
    </row>
    <row r="538" spans="1:8">
      <c r="A538" s="48"/>
      <c r="B538" s="49"/>
      <c r="C538" s="50"/>
      <c r="D538" s="67"/>
      <c r="E538" s="50"/>
      <c r="F538" s="64"/>
      <c r="G538" s="50"/>
      <c r="H538" s="50"/>
    </row>
    <row r="539" spans="1:8">
      <c r="A539" s="48"/>
      <c r="B539" s="49"/>
      <c r="C539" s="50"/>
      <c r="D539" s="67"/>
      <c r="E539" s="50"/>
      <c r="F539" s="64"/>
      <c r="G539" s="50"/>
      <c r="H539" s="50"/>
    </row>
    <row r="540" spans="1:8">
      <c r="A540" s="48"/>
      <c r="B540" s="49"/>
      <c r="C540" s="50"/>
      <c r="D540" s="67"/>
      <c r="E540" s="50"/>
      <c r="F540" s="64"/>
      <c r="G540" s="50"/>
      <c r="H540" s="50"/>
    </row>
    <row r="541" spans="1:8">
      <c r="A541" s="48"/>
      <c r="B541" s="49"/>
      <c r="C541" s="50"/>
      <c r="D541" s="67"/>
      <c r="E541" s="50"/>
      <c r="F541" s="64"/>
      <c r="G541" s="50"/>
      <c r="H541" s="50"/>
    </row>
    <row r="542" spans="1:8">
      <c r="A542" s="48"/>
      <c r="B542" s="49"/>
      <c r="C542" s="50"/>
      <c r="D542" s="67"/>
      <c r="E542" s="50"/>
      <c r="F542" s="64"/>
      <c r="G542" s="50"/>
      <c r="H542" s="50"/>
    </row>
    <row r="543" spans="1:8">
      <c r="A543" s="48"/>
      <c r="B543" s="49"/>
      <c r="C543" s="50"/>
      <c r="D543" s="67"/>
      <c r="E543" s="50"/>
      <c r="F543" s="64"/>
      <c r="G543" s="50"/>
      <c r="H543" s="50"/>
    </row>
    <row r="544" spans="1:8">
      <c r="A544" s="48"/>
      <c r="B544" s="49"/>
      <c r="C544" s="50"/>
      <c r="D544" s="67"/>
      <c r="E544" s="50"/>
      <c r="F544" s="64"/>
      <c r="G544" s="50"/>
      <c r="H544" s="50"/>
    </row>
    <row r="545" spans="1:8">
      <c r="A545" s="48"/>
      <c r="B545" s="49"/>
      <c r="C545" s="50"/>
      <c r="D545" s="67"/>
      <c r="E545" s="50"/>
      <c r="F545" s="64"/>
      <c r="G545" s="50"/>
      <c r="H545" s="50"/>
    </row>
    <row r="546" spans="1:8">
      <c r="A546" s="48"/>
      <c r="B546" s="49"/>
      <c r="C546" s="50"/>
      <c r="D546" s="67"/>
      <c r="E546" s="50"/>
      <c r="F546" s="64"/>
      <c r="G546" s="50"/>
      <c r="H546" s="50"/>
    </row>
    <row r="547" spans="1:8">
      <c r="A547" s="48"/>
      <c r="B547" s="49"/>
      <c r="C547" s="50"/>
      <c r="D547" s="67"/>
      <c r="E547" s="50"/>
      <c r="F547" s="64"/>
      <c r="G547" s="50"/>
      <c r="H547" s="50"/>
    </row>
    <row r="548" spans="1:8">
      <c r="A548" s="48"/>
      <c r="B548" s="49"/>
      <c r="C548" s="50"/>
      <c r="D548" s="67"/>
      <c r="E548" s="50"/>
      <c r="F548" s="64"/>
      <c r="G548" s="50"/>
      <c r="H548" s="50"/>
    </row>
    <row r="549" spans="1:8">
      <c r="A549" s="48"/>
      <c r="B549" s="49"/>
      <c r="C549" s="50"/>
      <c r="D549" s="67"/>
      <c r="E549" s="50"/>
      <c r="F549" s="64"/>
      <c r="G549" s="50"/>
      <c r="H549" s="50"/>
    </row>
    <row r="550" spans="1:8">
      <c r="A550" s="48"/>
      <c r="B550" s="49"/>
      <c r="C550" s="50"/>
      <c r="D550" s="67"/>
      <c r="E550" s="50"/>
      <c r="F550" s="64"/>
      <c r="G550" s="50"/>
      <c r="H550" s="50"/>
    </row>
    <row r="551" spans="1:8">
      <c r="A551" s="48"/>
      <c r="B551" s="49"/>
      <c r="C551" s="50"/>
      <c r="D551" s="67"/>
      <c r="E551" s="50"/>
      <c r="F551" s="64"/>
      <c r="G551" s="50"/>
      <c r="H551" s="50"/>
    </row>
    <row r="552" spans="1:8">
      <c r="A552" s="48"/>
      <c r="B552" s="49"/>
      <c r="C552" s="50"/>
      <c r="D552" s="67"/>
      <c r="E552" s="50"/>
      <c r="F552" s="64"/>
      <c r="G552" s="50"/>
      <c r="H552" s="50"/>
    </row>
    <row r="553" spans="1:8">
      <c r="A553" s="48"/>
      <c r="B553" s="49"/>
      <c r="C553" s="50"/>
      <c r="D553" s="67"/>
      <c r="E553" s="50"/>
      <c r="F553" s="64"/>
      <c r="G553" s="50"/>
      <c r="H553" s="50"/>
    </row>
    <row r="554" spans="1:8">
      <c r="A554" s="48"/>
      <c r="B554" s="49"/>
      <c r="C554" s="50"/>
      <c r="D554" s="67"/>
      <c r="E554" s="50"/>
      <c r="F554" s="64"/>
      <c r="G554" s="50"/>
      <c r="H554" s="50"/>
    </row>
    <row r="555" spans="1:8">
      <c r="A555" s="48"/>
      <c r="B555" s="49"/>
      <c r="C555" s="50"/>
      <c r="D555" s="67"/>
      <c r="E555" s="50"/>
      <c r="F555" s="64"/>
      <c r="G555" s="50"/>
      <c r="H555" s="50"/>
    </row>
    <row r="556" spans="1:8">
      <c r="A556" s="48"/>
      <c r="B556" s="49"/>
      <c r="C556" s="50"/>
      <c r="D556" s="67"/>
      <c r="E556" s="50"/>
      <c r="F556" s="64"/>
      <c r="G556" s="50"/>
      <c r="H556" s="50"/>
    </row>
    <row r="557" spans="1:8">
      <c r="A557" s="48"/>
      <c r="B557" s="49"/>
      <c r="C557" s="50"/>
      <c r="D557" s="67"/>
      <c r="E557" s="50"/>
      <c r="F557" s="64"/>
      <c r="G557" s="50"/>
      <c r="H557" s="50"/>
    </row>
    <row r="558" spans="1:8">
      <c r="A558" s="48"/>
      <c r="B558" s="49"/>
      <c r="C558" s="50"/>
      <c r="D558" s="67"/>
      <c r="E558" s="50"/>
      <c r="F558" s="64"/>
      <c r="G558" s="50"/>
      <c r="H558" s="50"/>
    </row>
    <row r="559" spans="1:8">
      <c r="A559" s="48"/>
      <c r="B559" s="49"/>
      <c r="C559" s="50"/>
      <c r="D559" s="67"/>
      <c r="E559" s="50"/>
      <c r="F559" s="64"/>
      <c r="G559" s="50"/>
      <c r="H559" s="50"/>
    </row>
    <row r="560" spans="1:8">
      <c r="A560" s="48"/>
      <c r="B560" s="49"/>
      <c r="C560" s="50"/>
      <c r="D560" s="67"/>
      <c r="E560" s="50"/>
      <c r="F560" s="64"/>
      <c r="G560" s="50"/>
      <c r="H560" s="50"/>
    </row>
    <row r="561" spans="1:8">
      <c r="A561" s="48"/>
      <c r="B561" s="49"/>
      <c r="C561" s="50"/>
      <c r="D561" s="67"/>
      <c r="E561" s="50"/>
      <c r="F561" s="64"/>
      <c r="G561" s="50"/>
      <c r="H561" s="50"/>
    </row>
    <row r="562" spans="1:8">
      <c r="A562" s="48"/>
      <c r="B562" s="49"/>
      <c r="C562" s="50"/>
      <c r="D562" s="67"/>
      <c r="E562" s="50"/>
      <c r="F562" s="64"/>
      <c r="G562" s="50"/>
      <c r="H562" s="50"/>
    </row>
    <row r="563" spans="1:8">
      <c r="A563" s="48"/>
      <c r="B563" s="49"/>
      <c r="C563" s="50"/>
      <c r="D563" s="67"/>
      <c r="E563" s="50"/>
      <c r="F563" s="64"/>
      <c r="G563" s="50"/>
      <c r="H563" s="50"/>
    </row>
    <row r="564" spans="1:8">
      <c r="A564" s="48"/>
      <c r="B564" s="49"/>
      <c r="C564" s="50"/>
      <c r="D564" s="67"/>
      <c r="E564" s="50"/>
      <c r="F564" s="64"/>
      <c r="G564" s="50"/>
      <c r="H564" s="50"/>
    </row>
    <row r="565" spans="1:8">
      <c r="A565" s="48"/>
      <c r="B565" s="49"/>
      <c r="C565" s="50"/>
      <c r="D565" s="67"/>
      <c r="E565" s="50"/>
      <c r="F565" s="64"/>
      <c r="G565" s="50"/>
      <c r="H565" s="50"/>
    </row>
    <row r="566" spans="1:8">
      <c r="A566" s="48"/>
      <c r="B566" s="49"/>
      <c r="C566" s="50"/>
      <c r="D566" s="67"/>
      <c r="E566" s="50"/>
      <c r="F566" s="64"/>
      <c r="G566" s="50"/>
      <c r="H566" s="50"/>
    </row>
    <row r="567" spans="1:8">
      <c r="A567" s="48"/>
      <c r="B567" s="49"/>
      <c r="C567" s="50"/>
      <c r="D567" s="67"/>
      <c r="E567" s="50"/>
      <c r="F567" s="64"/>
      <c r="G567" s="50"/>
      <c r="H567" s="50"/>
    </row>
    <row r="568" spans="1:8">
      <c r="A568" s="48"/>
      <c r="B568" s="49"/>
      <c r="C568" s="50"/>
      <c r="D568" s="67"/>
      <c r="E568" s="50"/>
      <c r="F568" s="64"/>
      <c r="G568" s="50"/>
      <c r="H568" s="50"/>
    </row>
    <row r="569" spans="1:8">
      <c r="A569" s="48"/>
      <c r="B569" s="49"/>
      <c r="C569" s="50"/>
      <c r="D569" s="67"/>
      <c r="E569" s="50"/>
      <c r="F569" s="64"/>
      <c r="G569" s="50"/>
      <c r="H569" s="50"/>
    </row>
    <row r="570" spans="1:8">
      <c r="A570" s="48"/>
      <c r="B570" s="49"/>
      <c r="C570" s="50"/>
      <c r="D570" s="67"/>
      <c r="E570" s="50"/>
      <c r="F570" s="64"/>
      <c r="G570" s="50"/>
      <c r="H570" s="50"/>
    </row>
    <row r="571" spans="1:8">
      <c r="A571" s="48"/>
      <c r="B571" s="49"/>
      <c r="C571" s="50"/>
      <c r="D571" s="67"/>
      <c r="E571" s="50"/>
      <c r="F571" s="64"/>
      <c r="G571" s="50"/>
      <c r="H571" s="50"/>
    </row>
    <row r="572" spans="1:8">
      <c r="A572" s="48"/>
      <c r="B572" s="49"/>
      <c r="C572" s="50"/>
      <c r="D572" s="67"/>
      <c r="E572" s="50"/>
      <c r="F572" s="64"/>
      <c r="G572" s="50"/>
      <c r="H572" s="50"/>
    </row>
    <row r="573" spans="1:8">
      <c r="A573" s="48"/>
      <c r="B573" s="49"/>
      <c r="C573" s="50"/>
      <c r="D573" s="67"/>
      <c r="E573" s="50"/>
      <c r="F573" s="64"/>
      <c r="G573" s="50"/>
      <c r="H573" s="50"/>
    </row>
    <row r="574" spans="1:8">
      <c r="A574" s="48"/>
      <c r="B574" s="49"/>
      <c r="C574" s="50"/>
      <c r="D574" s="67"/>
      <c r="E574" s="50"/>
      <c r="F574" s="64"/>
      <c r="G574" s="50"/>
      <c r="H574" s="50"/>
    </row>
    <row r="575" spans="1:8">
      <c r="A575" s="48"/>
      <c r="B575" s="49"/>
      <c r="C575" s="50"/>
      <c r="D575" s="67"/>
      <c r="E575" s="50"/>
      <c r="F575" s="64"/>
      <c r="G575" s="50"/>
      <c r="H575" s="50"/>
    </row>
    <row r="576" spans="1:8">
      <c r="A576" s="48"/>
      <c r="B576" s="49"/>
      <c r="C576" s="50"/>
      <c r="D576" s="67"/>
      <c r="E576" s="50"/>
      <c r="F576" s="64"/>
      <c r="G576" s="50"/>
      <c r="H576" s="50"/>
    </row>
    <row r="577" spans="1:8">
      <c r="A577" s="48"/>
      <c r="B577" s="49"/>
      <c r="C577" s="50"/>
      <c r="D577" s="67"/>
      <c r="E577" s="50"/>
      <c r="F577" s="64"/>
      <c r="G577" s="50"/>
      <c r="H577" s="50"/>
    </row>
    <row r="578" spans="1:8">
      <c r="A578" s="48"/>
      <c r="B578" s="49"/>
      <c r="C578" s="50"/>
      <c r="D578" s="67"/>
      <c r="E578" s="50"/>
      <c r="F578" s="64"/>
      <c r="G578" s="50"/>
      <c r="H578" s="50"/>
    </row>
    <row r="579" spans="1:8">
      <c r="A579" s="48"/>
      <c r="B579" s="49"/>
      <c r="C579" s="50"/>
      <c r="D579" s="67"/>
      <c r="E579" s="50"/>
      <c r="F579" s="64"/>
      <c r="G579" s="50"/>
      <c r="H579" s="50"/>
    </row>
    <row r="580" spans="1:8">
      <c r="A580" s="48"/>
      <c r="B580" s="49"/>
      <c r="C580" s="50"/>
      <c r="D580" s="67"/>
      <c r="E580" s="50"/>
      <c r="F580" s="64"/>
      <c r="G580" s="50"/>
      <c r="H580" s="50"/>
    </row>
    <row r="581" spans="1:8">
      <c r="A581" s="48"/>
      <c r="B581" s="49"/>
      <c r="C581" s="50"/>
      <c r="D581" s="67"/>
      <c r="E581" s="50"/>
      <c r="F581" s="64"/>
      <c r="G581" s="50"/>
      <c r="H581" s="50"/>
    </row>
    <row r="582" spans="1:8">
      <c r="A582" s="48"/>
      <c r="B582" s="49"/>
      <c r="C582" s="50"/>
      <c r="D582" s="67"/>
      <c r="E582" s="50"/>
      <c r="F582" s="64"/>
      <c r="G582" s="50"/>
      <c r="H582" s="50"/>
    </row>
    <row r="583" spans="1:8">
      <c r="A583" s="48"/>
      <c r="B583" s="49"/>
      <c r="C583" s="50"/>
      <c r="D583" s="67"/>
      <c r="E583" s="50"/>
      <c r="F583" s="64"/>
      <c r="G583" s="50"/>
      <c r="H583" s="50"/>
    </row>
    <row r="584" spans="1:8">
      <c r="A584" s="48"/>
      <c r="B584" s="49"/>
      <c r="C584" s="50"/>
      <c r="D584" s="67"/>
      <c r="E584" s="50"/>
      <c r="F584" s="64"/>
      <c r="G584" s="50"/>
      <c r="H584" s="50"/>
    </row>
    <row r="585" spans="1:8">
      <c r="A585" s="48"/>
      <c r="B585" s="49"/>
      <c r="C585" s="50"/>
      <c r="D585" s="67"/>
      <c r="E585" s="50"/>
      <c r="F585" s="64"/>
      <c r="G585" s="50"/>
      <c r="H585" s="50"/>
    </row>
    <row r="586" spans="1:8">
      <c r="A586" s="48"/>
      <c r="B586" s="49"/>
      <c r="C586" s="50"/>
      <c r="D586" s="67"/>
      <c r="E586" s="50"/>
      <c r="F586" s="64"/>
      <c r="G586" s="50"/>
      <c r="H586" s="50"/>
    </row>
    <row r="587" spans="1:8">
      <c r="A587" s="48"/>
      <c r="B587" s="49"/>
      <c r="C587" s="50"/>
      <c r="D587" s="67"/>
      <c r="E587" s="50"/>
      <c r="F587" s="64"/>
      <c r="G587" s="50"/>
      <c r="H587" s="50"/>
    </row>
    <row r="588" spans="1:8">
      <c r="A588" s="48"/>
      <c r="B588" s="49"/>
      <c r="C588" s="50"/>
      <c r="D588" s="67"/>
      <c r="E588" s="50"/>
      <c r="F588" s="64"/>
      <c r="G588" s="50"/>
      <c r="H588" s="50"/>
    </row>
    <row r="589" spans="1:8">
      <c r="A589" s="48"/>
      <c r="B589" s="49"/>
      <c r="C589" s="50"/>
      <c r="D589" s="67"/>
      <c r="E589" s="50"/>
      <c r="F589" s="64"/>
      <c r="G589" s="50"/>
      <c r="H589" s="50"/>
    </row>
    <row r="590" spans="1:8">
      <c r="A590" s="48"/>
      <c r="B590" s="49"/>
      <c r="C590" s="50"/>
      <c r="D590" s="67"/>
      <c r="E590" s="50"/>
      <c r="F590" s="64"/>
      <c r="G590" s="50"/>
      <c r="H590" s="50"/>
    </row>
    <row r="591" spans="1:8">
      <c r="A591" s="48"/>
      <c r="B591" s="49"/>
      <c r="C591" s="50"/>
      <c r="D591" s="67"/>
      <c r="E591" s="50"/>
      <c r="F591" s="64"/>
      <c r="G591" s="50"/>
      <c r="H591" s="50"/>
    </row>
    <row r="592" spans="1:8">
      <c r="A592" s="48"/>
      <c r="B592" s="49"/>
      <c r="C592" s="50"/>
      <c r="D592" s="67"/>
      <c r="E592" s="50"/>
      <c r="F592" s="64"/>
      <c r="G592" s="50"/>
      <c r="H592" s="50"/>
    </row>
    <row r="593" spans="1:8">
      <c r="A593" s="48"/>
      <c r="B593" s="49"/>
      <c r="C593" s="50"/>
      <c r="D593" s="67"/>
      <c r="E593" s="50"/>
      <c r="F593" s="64"/>
      <c r="G593" s="50"/>
      <c r="H593" s="50"/>
    </row>
    <row r="594" spans="1:8">
      <c r="A594" s="48"/>
      <c r="B594" s="49"/>
      <c r="C594" s="50"/>
      <c r="D594" s="67"/>
      <c r="E594" s="50"/>
      <c r="F594" s="64"/>
      <c r="G594" s="50"/>
      <c r="H594" s="50"/>
    </row>
    <row r="595" spans="1:8">
      <c r="A595" s="48"/>
      <c r="B595" s="49"/>
      <c r="C595" s="50"/>
      <c r="D595" s="67"/>
      <c r="E595" s="50"/>
      <c r="F595" s="64"/>
      <c r="G595" s="50"/>
      <c r="H595" s="50"/>
    </row>
    <row r="596" spans="1:8">
      <c r="A596" s="48"/>
      <c r="B596" s="49"/>
      <c r="C596" s="50"/>
      <c r="D596" s="67"/>
      <c r="E596" s="50"/>
      <c r="F596" s="64"/>
      <c r="G596" s="50"/>
      <c r="H596" s="50"/>
    </row>
    <row r="597" spans="1:8">
      <c r="A597" s="48"/>
      <c r="B597" s="49"/>
      <c r="C597" s="50"/>
      <c r="D597" s="67"/>
      <c r="E597" s="50"/>
      <c r="F597" s="64"/>
      <c r="G597" s="50"/>
      <c r="H597" s="50"/>
    </row>
    <row r="598" spans="1:8">
      <c r="A598" s="48"/>
      <c r="B598" s="49"/>
      <c r="C598" s="50"/>
      <c r="D598" s="67"/>
      <c r="E598" s="50"/>
      <c r="F598" s="64"/>
      <c r="G598" s="50"/>
      <c r="H598" s="50"/>
    </row>
    <row r="599" spans="1:8">
      <c r="A599" s="48"/>
      <c r="B599" s="49"/>
      <c r="C599" s="50"/>
      <c r="D599" s="67"/>
      <c r="E599" s="50"/>
      <c r="F599" s="64"/>
      <c r="G599" s="50"/>
      <c r="H599" s="50"/>
    </row>
    <row r="600" spans="1:8">
      <c r="A600" s="48"/>
      <c r="B600" s="49"/>
      <c r="C600" s="50"/>
      <c r="D600" s="67"/>
      <c r="E600" s="50"/>
      <c r="F600" s="64"/>
      <c r="G600" s="50"/>
      <c r="H600" s="50"/>
    </row>
    <row r="601" spans="1:8">
      <c r="A601" s="48"/>
      <c r="B601" s="49"/>
      <c r="C601" s="50"/>
      <c r="D601" s="67"/>
      <c r="E601" s="50"/>
      <c r="F601" s="64"/>
      <c r="G601" s="50"/>
      <c r="H601" s="50"/>
    </row>
    <row r="602" spans="1:8">
      <c r="A602" s="48"/>
      <c r="B602" s="49"/>
      <c r="C602" s="50"/>
      <c r="D602" s="67"/>
      <c r="E602" s="50"/>
      <c r="F602" s="64"/>
      <c r="G602" s="50"/>
      <c r="H602" s="50"/>
    </row>
    <row r="603" spans="1:8">
      <c r="A603" s="48"/>
      <c r="B603" s="49"/>
      <c r="C603" s="50"/>
      <c r="D603" s="67"/>
      <c r="E603" s="50"/>
      <c r="F603" s="64"/>
      <c r="G603" s="50"/>
      <c r="H603" s="50"/>
    </row>
    <row r="604" spans="1:8">
      <c r="A604" s="48"/>
      <c r="B604" s="49"/>
      <c r="C604" s="50"/>
      <c r="D604" s="67"/>
      <c r="E604" s="50"/>
      <c r="F604" s="64"/>
      <c r="G604" s="50"/>
      <c r="H604" s="50"/>
    </row>
    <row r="605" spans="1:8">
      <c r="A605" s="48"/>
      <c r="B605" s="49"/>
      <c r="C605" s="50"/>
      <c r="D605" s="67"/>
      <c r="E605" s="50"/>
      <c r="F605" s="64"/>
      <c r="G605" s="50"/>
      <c r="H605" s="50"/>
    </row>
    <row r="606" spans="1:8">
      <c r="A606" s="48"/>
      <c r="B606" s="49"/>
      <c r="C606" s="50"/>
      <c r="D606" s="67"/>
      <c r="E606" s="50"/>
      <c r="F606" s="64"/>
      <c r="G606" s="50"/>
      <c r="H606" s="50"/>
    </row>
    <row r="607" spans="1:8">
      <c r="A607" s="48"/>
      <c r="B607" s="49"/>
      <c r="C607" s="50"/>
      <c r="D607" s="67"/>
      <c r="E607" s="50"/>
      <c r="F607" s="64"/>
      <c r="G607" s="50"/>
      <c r="H607" s="50"/>
    </row>
    <row r="608" spans="1:8">
      <c r="A608" s="48"/>
      <c r="B608" s="49"/>
      <c r="C608" s="50"/>
      <c r="D608" s="67"/>
      <c r="E608" s="50"/>
      <c r="F608" s="64"/>
      <c r="G608" s="50"/>
      <c r="H608" s="50"/>
    </row>
    <row r="609" spans="1:8">
      <c r="A609" s="48"/>
      <c r="B609" s="49"/>
      <c r="C609" s="50"/>
      <c r="D609" s="67"/>
      <c r="E609" s="50"/>
      <c r="F609" s="64"/>
      <c r="G609" s="50"/>
      <c r="H609" s="50"/>
    </row>
    <row r="610" spans="1:8">
      <c r="A610" s="48"/>
      <c r="B610" s="49"/>
      <c r="C610" s="50"/>
      <c r="D610" s="67"/>
      <c r="E610" s="50"/>
      <c r="F610" s="64"/>
      <c r="G610" s="50"/>
      <c r="H610" s="50"/>
    </row>
    <row r="611" spans="1:8">
      <c r="A611" s="48"/>
      <c r="B611" s="49"/>
      <c r="C611" s="50"/>
      <c r="D611" s="67"/>
      <c r="E611" s="50"/>
      <c r="F611" s="64"/>
      <c r="G611" s="50"/>
      <c r="H611" s="50"/>
    </row>
    <row r="612" spans="1:8">
      <c r="A612" s="48"/>
      <c r="B612" s="49"/>
      <c r="C612" s="50"/>
      <c r="D612" s="67"/>
      <c r="E612" s="50"/>
      <c r="F612" s="64"/>
      <c r="G612" s="50"/>
      <c r="H612" s="50"/>
    </row>
    <row r="613" spans="1:8">
      <c r="A613" s="48"/>
      <c r="B613" s="49"/>
      <c r="C613" s="50"/>
      <c r="D613" s="67"/>
      <c r="E613" s="50"/>
      <c r="F613" s="64"/>
      <c r="G613" s="50"/>
      <c r="H613" s="50"/>
    </row>
    <row r="614" spans="1:8">
      <c r="A614" s="48"/>
      <c r="B614" s="49"/>
      <c r="C614" s="50"/>
      <c r="D614" s="67"/>
      <c r="E614" s="50"/>
      <c r="F614" s="64"/>
      <c r="G614" s="50"/>
      <c r="H614" s="50"/>
    </row>
    <row r="615" spans="1:8">
      <c r="A615" s="48"/>
      <c r="B615" s="49"/>
      <c r="C615" s="50"/>
      <c r="D615" s="67"/>
      <c r="E615" s="50"/>
      <c r="F615" s="64"/>
      <c r="G615" s="50"/>
      <c r="H615" s="50"/>
    </row>
    <row r="616" spans="1:8">
      <c r="A616" s="48"/>
      <c r="B616" s="49"/>
      <c r="C616" s="50"/>
      <c r="D616" s="67"/>
      <c r="E616" s="50"/>
      <c r="F616" s="64"/>
      <c r="G616" s="50"/>
      <c r="H616" s="50"/>
    </row>
    <row r="617" spans="1:8">
      <c r="A617" s="48"/>
      <c r="B617" s="49"/>
      <c r="C617" s="50"/>
      <c r="D617" s="67"/>
      <c r="E617" s="50"/>
      <c r="F617" s="64"/>
      <c r="G617" s="50"/>
      <c r="H617" s="50"/>
    </row>
    <row r="618" spans="1:8">
      <c r="A618" s="48"/>
      <c r="B618" s="49"/>
      <c r="C618" s="50"/>
      <c r="D618" s="67"/>
      <c r="E618" s="50"/>
      <c r="F618" s="64"/>
      <c r="G618" s="50"/>
      <c r="H618" s="50"/>
    </row>
    <row r="619" spans="1:8">
      <c r="A619" s="48"/>
      <c r="B619" s="49"/>
      <c r="C619" s="50"/>
      <c r="D619" s="67"/>
      <c r="E619" s="50"/>
      <c r="F619" s="64"/>
      <c r="G619" s="50"/>
      <c r="H619" s="50"/>
    </row>
    <row r="620" spans="1:8">
      <c r="A620" s="48"/>
      <c r="B620" s="49"/>
      <c r="C620" s="50"/>
      <c r="D620" s="67"/>
      <c r="E620" s="50"/>
      <c r="F620" s="64"/>
      <c r="G620" s="50"/>
      <c r="H620" s="50"/>
    </row>
    <row r="621" spans="1:8">
      <c r="A621" s="48"/>
      <c r="B621" s="49"/>
      <c r="C621" s="50"/>
      <c r="D621" s="67"/>
      <c r="E621" s="50"/>
      <c r="F621" s="64"/>
      <c r="G621" s="50"/>
      <c r="H621" s="50"/>
    </row>
    <row r="622" spans="1:8">
      <c r="A622" s="48"/>
      <c r="B622" s="49"/>
      <c r="C622" s="50"/>
      <c r="D622" s="67"/>
      <c r="E622" s="50"/>
      <c r="F622" s="64"/>
      <c r="G622" s="50"/>
      <c r="H622" s="50"/>
    </row>
    <row r="623" spans="1:8">
      <c r="A623" s="48"/>
      <c r="B623" s="49"/>
      <c r="C623" s="50"/>
      <c r="D623" s="67"/>
      <c r="E623" s="50"/>
      <c r="F623" s="64"/>
      <c r="G623" s="50"/>
      <c r="H623" s="50"/>
    </row>
    <row r="624" spans="1:8">
      <c r="A624" s="48"/>
      <c r="B624" s="49"/>
      <c r="C624" s="50"/>
      <c r="D624" s="67"/>
      <c r="E624" s="50"/>
      <c r="F624" s="64"/>
      <c r="G624" s="50"/>
      <c r="H624" s="50"/>
    </row>
    <row r="625" spans="1:8">
      <c r="A625" s="48"/>
      <c r="B625" s="49"/>
      <c r="C625" s="50"/>
      <c r="D625" s="67"/>
      <c r="E625" s="50"/>
      <c r="F625" s="64"/>
      <c r="G625" s="50"/>
      <c r="H625" s="50"/>
    </row>
    <row r="626" spans="1:8">
      <c r="A626" s="48"/>
      <c r="B626" s="49"/>
      <c r="C626" s="50"/>
      <c r="D626" s="67"/>
      <c r="E626" s="50"/>
      <c r="F626" s="64"/>
      <c r="G626" s="50"/>
      <c r="H626" s="50"/>
    </row>
    <row r="627" spans="1:8">
      <c r="A627" s="48"/>
      <c r="B627" s="49"/>
      <c r="C627" s="50"/>
      <c r="D627" s="67"/>
      <c r="E627" s="50"/>
      <c r="F627" s="64"/>
      <c r="G627" s="50"/>
      <c r="H627" s="50"/>
    </row>
    <row r="628" spans="1:8">
      <c r="A628" s="48"/>
      <c r="B628" s="49"/>
      <c r="C628" s="50"/>
      <c r="D628" s="67"/>
      <c r="E628" s="50"/>
      <c r="F628" s="64"/>
      <c r="G628" s="50"/>
      <c r="H628" s="50"/>
    </row>
    <row r="629" spans="1:8">
      <c r="A629" s="48"/>
      <c r="B629" s="49"/>
      <c r="C629" s="50"/>
      <c r="D629" s="67"/>
      <c r="E629" s="50"/>
      <c r="F629" s="64"/>
      <c r="G629" s="50"/>
      <c r="H629" s="50"/>
    </row>
    <row r="630" spans="1:8">
      <c r="A630" s="48"/>
      <c r="B630" s="49"/>
      <c r="C630" s="50"/>
      <c r="D630" s="67"/>
      <c r="E630" s="50"/>
      <c r="F630" s="64"/>
      <c r="G630" s="50"/>
      <c r="H630" s="50"/>
    </row>
    <row r="631" spans="1:8">
      <c r="A631" s="48"/>
      <c r="B631" s="49"/>
      <c r="C631" s="50"/>
      <c r="D631" s="67"/>
      <c r="E631" s="50"/>
      <c r="F631" s="64"/>
      <c r="G631" s="50"/>
      <c r="H631" s="50"/>
    </row>
    <row r="632" spans="1:8">
      <c r="A632" s="48"/>
      <c r="B632" s="49"/>
      <c r="C632" s="50"/>
      <c r="D632" s="67"/>
      <c r="E632" s="50"/>
      <c r="F632" s="64"/>
      <c r="G632" s="50"/>
      <c r="H632" s="50"/>
    </row>
    <row r="633" spans="1:8">
      <c r="A633" s="48"/>
      <c r="B633" s="49"/>
      <c r="C633" s="50"/>
      <c r="D633" s="67"/>
      <c r="E633" s="50"/>
      <c r="F633" s="64"/>
      <c r="G633" s="50"/>
      <c r="H633" s="50"/>
    </row>
    <row r="634" spans="1:8">
      <c r="A634" s="48"/>
      <c r="B634" s="49"/>
      <c r="C634" s="50"/>
      <c r="D634" s="67"/>
      <c r="E634" s="50"/>
      <c r="F634" s="64"/>
      <c r="G634" s="50"/>
      <c r="H634" s="50"/>
    </row>
    <row r="635" spans="1:8">
      <c r="A635" s="48"/>
      <c r="B635" s="49"/>
      <c r="C635" s="50"/>
      <c r="D635" s="67"/>
      <c r="E635" s="50"/>
      <c r="F635" s="64"/>
      <c r="G635" s="50"/>
      <c r="H635" s="50"/>
    </row>
    <row r="636" spans="1:8">
      <c r="A636" s="48"/>
      <c r="B636" s="49"/>
      <c r="C636" s="50"/>
      <c r="D636" s="67"/>
      <c r="E636" s="50"/>
      <c r="F636" s="64"/>
      <c r="G636" s="50"/>
      <c r="H636" s="50"/>
    </row>
    <row r="637" spans="1:8">
      <c r="A637" s="48"/>
      <c r="B637" s="49"/>
      <c r="C637" s="50"/>
      <c r="D637" s="67"/>
      <c r="E637" s="50"/>
      <c r="F637" s="64"/>
      <c r="G637" s="50"/>
      <c r="H637" s="50"/>
    </row>
    <row r="638" spans="1:8">
      <c r="A638" s="48"/>
      <c r="B638" s="49"/>
      <c r="C638" s="50"/>
      <c r="D638" s="67"/>
      <c r="E638" s="50"/>
      <c r="F638" s="64"/>
      <c r="G638" s="50"/>
      <c r="H638" s="50"/>
    </row>
    <row r="639" spans="1:8">
      <c r="A639" s="48"/>
      <c r="B639" s="49"/>
      <c r="C639" s="50"/>
      <c r="D639" s="67"/>
      <c r="E639" s="50"/>
      <c r="F639" s="64"/>
      <c r="G639" s="50"/>
      <c r="H639" s="50"/>
    </row>
    <row r="640" spans="1:8">
      <c r="A640" s="48"/>
      <c r="B640" s="49"/>
      <c r="C640" s="50"/>
      <c r="D640" s="67"/>
      <c r="E640" s="50"/>
      <c r="F640" s="64"/>
      <c r="G640" s="50"/>
      <c r="H640" s="50"/>
    </row>
    <row r="641" spans="1:8">
      <c r="A641" s="48"/>
      <c r="B641" s="49"/>
      <c r="C641" s="50"/>
      <c r="D641" s="67"/>
      <c r="E641" s="50"/>
      <c r="F641" s="64"/>
      <c r="G641" s="50"/>
      <c r="H641" s="50"/>
    </row>
    <row r="642" spans="1:8">
      <c r="A642" s="48"/>
      <c r="B642" s="49"/>
      <c r="C642" s="50"/>
      <c r="D642" s="67"/>
      <c r="E642" s="50"/>
      <c r="F642" s="64"/>
      <c r="G642" s="50"/>
      <c r="H642" s="50"/>
    </row>
    <row r="643" spans="1:8">
      <c r="A643" s="48"/>
      <c r="B643" s="49"/>
      <c r="C643" s="50"/>
      <c r="D643" s="67"/>
      <c r="E643" s="50"/>
      <c r="F643" s="64"/>
      <c r="G643" s="50"/>
      <c r="H643" s="50"/>
    </row>
    <row r="644" spans="1:8">
      <c r="A644" s="48"/>
      <c r="B644" s="49"/>
      <c r="C644" s="50"/>
      <c r="D644" s="67"/>
      <c r="E644" s="50"/>
      <c r="F644" s="64"/>
      <c r="G644" s="50"/>
      <c r="H644" s="50"/>
    </row>
    <row r="645" spans="1:8">
      <c r="A645" s="48"/>
      <c r="B645" s="49"/>
      <c r="C645" s="50"/>
      <c r="D645" s="67"/>
      <c r="E645" s="50"/>
      <c r="F645" s="64"/>
      <c r="G645" s="50"/>
      <c r="H645" s="50"/>
    </row>
    <row r="646" spans="1:8">
      <c r="A646" s="48"/>
      <c r="B646" s="49"/>
      <c r="C646" s="50"/>
      <c r="D646" s="67"/>
      <c r="E646" s="50"/>
      <c r="F646" s="64"/>
      <c r="G646" s="50"/>
      <c r="H646" s="50"/>
    </row>
    <row r="647" spans="1:8">
      <c r="A647" s="48"/>
      <c r="B647" s="49"/>
      <c r="C647" s="50"/>
      <c r="D647" s="67"/>
      <c r="E647" s="50"/>
      <c r="F647" s="64"/>
      <c r="G647" s="50"/>
      <c r="H647" s="50"/>
    </row>
    <row r="648" spans="1:8">
      <c r="A648" s="48"/>
      <c r="B648" s="49"/>
      <c r="C648" s="50"/>
      <c r="D648" s="67"/>
      <c r="E648" s="50"/>
      <c r="F648" s="64"/>
      <c r="G648" s="50"/>
      <c r="H648" s="50"/>
    </row>
    <row r="649" spans="1:8">
      <c r="A649" s="48"/>
      <c r="B649" s="49"/>
      <c r="C649" s="50"/>
      <c r="D649" s="67"/>
      <c r="E649" s="50"/>
      <c r="F649" s="64"/>
      <c r="G649" s="50"/>
      <c r="H649" s="50"/>
    </row>
    <row r="650" spans="1:8">
      <c r="A650" s="48"/>
      <c r="B650" s="49"/>
      <c r="C650" s="50"/>
      <c r="D650" s="67"/>
      <c r="E650" s="50"/>
      <c r="F650" s="64"/>
      <c r="G650" s="50"/>
      <c r="H650" s="50"/>
    </row>
    <row r="651" spans="1:8">
      <c r="A651" s="48"/>
      <c r="B651" s="49"/>
      <c r="C651" s="50"/>
      <c r="D651" s="67"/>
      <c r="E651" s="50"/>
      <c r="F651" s="64"/>
      <c r="G651" s="50"/>
      <c r="H651" s="50"/>
    </row>
    <row r="652" spans="1:8">
      <c r="A652" s="48"/>
      <c r="B652" s="49"/>
      <c r="C652" s="50"/>
      <c r="D652" s="67"/>
      <c r="E652" s="50"/>
      <c r="F652" s="64"/>
      <c r="G652" s="50"/>
      <c r="H652" s="50"/>
    </row>
    <row r="653" spans="1:8">
      <c r="A653" s="48"/>
      <c r="B653" s="49"/>
      <c r="C653" s="50"/>
      <c r="D653" s="67"/>
      <c r="E653" s="50"/>
      <c r="F653" s="64"/>
      <c r="G653" s="50"/>
      <c r="H653" s="50"/>
    </row>
    <row r="654" spans="1:8">
      <c r="A654" s="48"/>
      <c r="B654" s="49"/>
      <c r="C654" s="50"/>
      <c r="D654" s="67"/>
      <c r="E654" s="50"/>
      <c r="F654" s="64"/>
      <c r="G654" s="50"/>
      <c r="H654" s="50"/>
    </row>
    <row r="655" spans="1:8">
      <c r="A655" s="48"/>
      <c r="B655" s="49"/>
      <c r="C655" s="50"/>
      <c r="D655" s="67"/>
      <c r="E655" s="50"/>
      <c r="F655" s="64"/>
      <c r="G655" s="50"/>
      <c r="H655" s="50"/>
    </row>
    <row r="656" spans="1:8">
      <c r="A656" s="48"/>
      <c r="B656" s="49"/>
      <c r="C656" s="50"/>
      <c r="D656" s="67"/>
      <c r="E656" s="50"/>
      <c r="F656" s="64"/>
      <c r="G656" s="50"/>
      <c r="H656" s="50"/>
    </row>
    <row r="657" spans="1:8">
      <c r="A657" s="48"/>
      <c r="B657" s="49"/>
      <c r="C657" s="50"/>
      <c r="D657" s="67"/>
      <c r="E657" s="50"/>
      <c r="F657" s="64"/>
      <c r="G657" s="50"/>
      <c r="H657" s="50"/>
    </row>
    <row r="658" spans="1:8">
      <c r="A658" s="48"/>
      <c r="B658" s="49"/>
      <c r="C658" s="50"/>
      <c r="D658" s="67"/>
      <c r="E658" s="50"/>
      <c r="F658" s="64"/>
      <c r="G658" s="50"/>
      <c r="H658" s="50"/>
    </row>
    <row r="659" spans="1:8">
      <c r="A659" s="48"/>
      <c r="B659" s="49"/>
      <c r="C659" s="50"/>
      <c r="D659" s="67"/>
      <c r="E659" s="50"/>
      <c r="F659" s="64"/>
      <c r="G659" s="50"/>
      <c r="H659" s="50"/>
    </row>
    <row r="660" spans="1:8">
      <c r="A660" s="48"/>
      <c r="B660" s="49"/>
      <c r="C660" s="50"/>
      <c r="D660" s="67"/>
      <c r="E660" s="50"/>
      <c r="F660" s="64"/>
      <c r="G660" s="50"/>
      <c r="H660" s="50"/>
    </row>
    <row r="661" spans="1:8">
      <c r="A661" s="48"/>
      <c r="B661" s="49"/>
      <c r="C661" s="50"/>
      <c r="D661" s="67"/>
      <c r="E661" s="50"/>
      <c r="F661" s="64"/>
      <c r="G661" s="50"/>
      <c r="H661" s="50"/>
    </row>
    <row r="662" spans="1:8">
      <c r="A662" s="48"/>
      <c r="B662" s="49"/>
      <c r="C662" s="50"/>
      <c r="D662" s="67"/>
      <c r="E662" s="50"/>
      <c r="F662" s="64"/>
      <c r="G662" s="50"/>
      <c r="H662" s="50"/>
    </row>
    <row r="663" spans="1:8">
      <c r="A663" s="48"/>
      <c r="B663" s="49"/>
      <c r="C663" s="50"/>
      <c r="D663" s="67"/>
      <c r="E663" s="50"/>
      <c r="F663" s="64"/>
      <c r="G663" s="50"/>
      <c r="H663" s="50"/>
    </row>
    <row r="664" spans="1:8">
      <c r="A664" s="48"/>
      <c r="B664" s="49"/>
      <c r="C664" s="50"/>
      <c r="D664" s="67"/>
      <c r="E664" s="50"/>
      <c r="F664" s="64"/>
      <c r="G664" s="50"/>
      <c r="H664" s="50"/>
    </row>
    <row r="665" spans="1:8">
      <c r="A665" s="48"/>
      <c r="B665" s="49"/>
      <c r="C665" s="50"/>
      <c r="D665" s="67"/>
      <c r="E665" s="50"/>
      <c r="F665" s="64"/>
      <c r="G665" s="50"/>
      <c r="H665" s="50"/>
    </row>
    <row r="666" spans="1:8">
      <c r="A666" s="48"/>
      <c r="B666" s="49"/>
      <c r="C666" s="50"/>
      <c r="D666" s="67"/>
      <c r="E666" s="50"/>
      <c r="F666" s="64"/>
      <c r="G666" s="50"/>
      <c r="H666" s="50"/>
    </row>
    <row r="667" spans="1:8">
      <c r="A667" s="48"/>
      <c r="B667" s="49"/>
      <c r="C667" s="50"/>
      <c r="D667" s="67"/>
      <c r="E667" s="50"/>
      <c r="F667" s="64"/>
      <c r="G667" s="50"/>
      <c r="H667" s="50"/>
    </row>
    <row r="668" spans="1:8">
      <c r="A668" s="48"/>
      <c r="B668" s="49"/>
      <c r="C668" s="50"/>
      <c r="D668" s="67"/>
      <c r="E668" s="50"/>
      <c r="F668" s="64"/>
      <c r="G668" s="50"/>
      <c r="H668" s="50"/>
    </row>
    <row r="669" spans="1:8">
      <c r="A669" s="48"/>
      <c r="B669" s="49"/>
      <c r="C669" s="50"/>
      <c r="D669" s="67"/>
      <c r="E669" s="50"/>
      <c r="F669" s="64"/>
      <c r="G669" s="50"/>
      <c r="H669" s="50"/>
    </row>
    <row r="670" spans="1:8">
      <c r="A670" s="48"/>
      <c r="B670" s="49"/>
      <c r="C670" s="50"/>
      <c r="D670" s="67"/>
      <c r="E670" s="50"/>
      <c r="F670" s="64"/>
      <c r="G670" s="50"/>
      <c r="H670" s="50"/>
    </row>
    <row r="671" spans="1:8">
      <c r="A671" s="48"/>
      <c r="B671" s="49"/>
      <c r="C671" s="50"/>
      <c r="D671" s="67"/>
      <c r="E671" s="50"/>
      <c r="F671" s="64"/>
      <c r="G671" s="50"/>
      <c r="H671" s="50"/>
    </row>
    <row r="672" spans="1:8">
      <c r="A672" s="48"/>
      <c r="B672" s="49"/>
      <c r="C672" s="50"/>
      <c r="D672" s="67"/>
      <c r="E672" s="50"/>
      <c r="F672" s="64"/>
      <c r="G672" s="50"/>
      <c r="H672" s="50"/>
    </row>
    <row r="673" spans="1:8">
      <c r="A673" s="48"/>
      <c r="B673" s="49"/>
      <c r="C673" s="50"/>
      <c r="D673" s="67"/>
      <c r="E673" s="50"/>
      <c r="F673" s="64"/>
      <c r="G673" s="50"/>
      <c r="H673" s="50"/>
    </row>
    <row r="674" spans="1:8">
      <c r="A674" s="48"/>
      <c r="B674" s="49"/>
      <c r="C674" s="50"/>
      <c r="D674" s="67"/>
      <c r="E674" s="50"/>
      <c r="F674" s="64"/>
      <c r="G674" s="50"/>
      <c r="H674" s="50"/>
    </row>
    <row r="675" spans="1:8">
      <c r="A675" s="48"/>
      <c r="B675" s="49"/>
      <c r="C675" s="50"/>
      <c r="D675" s="67"/>
      <c r="E675" s="50"/>
      <c r="F675" s="64"/>
      <c r="G675" s="50"/>
      <c r="H675" s="50"/>
    </row>
    <row r="676" spans="1:8">
      <c r="A676" s="48"/>
      <c r="B676" s="49"/>
      <c r="C676" s="50"/>
      <c r="D676" s="67"/>
      <c r="E676" s="50"/>
      <c r="F676" s="64"/>
      <c r="G676" s="50"/>
      <c r="H676" s="50"/>
    </row>
    <row r="677" spans="1:8">
      <c r="A677" s="48"/>
      <c r="B677" s="49"/>
      <c r="C677" s="50"/>
      <c r="D677" s="67"/>
      <c r="E677" s="50"/>
      <c r="F677" s="64"/>
      <c r="G677" s="50"/>
      <c r="H677" s="50"/>
    </row>
    <row r="678" spans="1:8">
      <c r="A678" s="48"/>
      <c r="B678" s="49"/>
      <c r="C678" s="50"/>
      <c r="D678" s="67"/>
      <c r="E678" s="50"/>
      <c r="F678" s="64"/>
      <c r="G678" s="50"/>
      <c r="H678" s="50"/>
    </row>
    <row r="679" spans="1:8">
      <c r="A679" s="48"/>
      <c r="B679" s="49"/>
      <c r="C679" s="50"/>
      <c r="D679" s="67"/>
      <c r="E679" s="50"/>
      <c r="F679" s="64"/>
      <c r="G679" s="50"/>
      <c r="H679" s="50"/>
    </row>
    <row r="680" spans="1:8">
      <c r="A680" s="48"/>
      <c r="B680" s="49"/>
      <c r="C680" s="50"/>
      <c r="D680" s="67"/>
      <c r="E680" s="50"/>
      <c r="F680" s="64"/>
      <c r="G680" s="50"/>
      <c r="H680" s="50"/>
    </row>
    <row r="681" spans="1:8">
      <c r="A681" s="48"/>
      <c r="B681" s="49"/>
      <c r="C681" s="50"/>
      <c r="D681" s="67"/>
      <c r="E681" s="50"/>
      <c r="F681" s="64"/>
      <c r="G681" s="50"/>
      <c r="H681" s="50"/>
    </row>
    <row r="682" spans="1:8">
      <c r="A682" s="48"/>
      <c r="B682" s="49"/>
      <c r="C682" s="50"/>
      <c r="D682" s="67"/>
      <c r="E682" s="50"/>
      <c r="F682" s="64"/>
      <c r="G682" s="50"/>
      <c r="H682" s="50"/>
    </row>
    <row r="683" spans="1:8">
      <c r="A683" s="48"/>
      <c r="B683" s="49"/>
      <c r="C683" s="50"/>
      <c r="D683" s="67"/>
      <c r="E683" s="50"/>
      <c r="F683" s="64"/>
      <c r="G683" s="50"/>
      <c r="H683" s="50"/>
    </row>
    <row r="684" spans="1:8">
      <c r="A684" s="48"/>
      <c r="B684" s="49"/>
      <c r="C684" s="50"/>
      <c r="D684" s="67"/>
      <c r="E684" s="50"/>
      <c r="F684" s="64"/>
      <c r="G684" s="50"/>
      <c r="H684" s="50"/>
    </row>
    <row r="685" spans="1:8">
      <c r="A685" s="48"/>
      <c r="B685" s="49"/>
      <c r="C685" s="50"/>
      <c r="D685" s="67"/>
      <c r="E685" s="50"/>
      <c r="F685" s="64"/>
      <c r="G685" s="50"/>
      <c r="H685" s="50"/>
    </row>
    <row r="686" spans="1:8">
      <c r="A686" s="48"/>
      <c r="B686" s="49"/>
      <c r="C686" s="50"/>
      <c r="D686" s="67"/>
      <c r="E686" s="50"/>
      <c r="F686" s="64"/>
      <c r="G686" s="50"/>
      <c r="H686" s="50"/>
    </row>
    <row r="687" spans="1:8">
      <c r="A687" s="48"/>
      <c r="B687" s="49"/>
      <c r="C687" s="50"/>
      <c r="D687" s="67"/>
      <c r="E687" s="50"/>
      <c r="F687" s="64"/>
      <c r="G687" s="50"/>
      <c r="H687" s="50"/>
    </row>
    <row r="688" spans="1:8">
      <c r="A688" s="48"/>
      <c r="B688" s="49"/>
      <c r="C688" s="50"/>
      <c r="D688" s="67"/>
      <c r="E688" s="50"/>
      <c r="F688" s="64"/>
      <c r="G688" s="50"/>
      <c r="H688" s="50"/>
    </row>
    <row r="689" spans="1:8">
      <c r="A689" s="48"/>
      <c r="B689" s="49"/>
      <c r="C689" s="50"/>
      <c r="D689" s="67"/>
      <c r="E689" s="50"/>
      <c r="F689" s="64"/>
      <c r="G689" s="50"/>
      <c r="H689" s="50"/>
    </row>
    <row r="690" spans="1:8">
      <c r="A690" s="48"/>
      <c r="B690" s="49"/>
      <c r="C690" s="50"/>
      <c r="D690" s="67"/>
      <c r="E690" s="50"/>
      <c r="F690" s="64"/>
      <c r="G690" s="50"/>
      <c r="H690" s="50"/>
    </row>
    <row r="691" spans="1:8">
      <c r="A691" s="48"/>
      <c r="B691" s="49"/>
      <c r="C691" s="50"/>
      <c r="D691" s="67"/>
      <c r="E691" s="50"/>
      <c r="F691" s="64"/>
      <c r="G691" s="50"/>
      <c r="H691" s="50"/>
    </row>
    <row r="692" spans="1:8">
      <c r="A692" s="48"/>
      <c r="B692" s="49"/>
      <c r="C692" s="50"/>
      <c r="D692" s="67"/>
      <c r="E692" s="50"/>
      <c r="F692" s="64"/>
      <c r="G692" s="50"/>
      <c r="H692" s="50"/>
    </row>
    <row r="693" spans="1:8">
      <c r="A693" s="48"/>
      <c r="B693" s="49"/>
      <c r="C693" s="50"/>
      <c r="D693" s="67"/>
      <c r="E693" s="50"/>
      <c r="F693" s="64"/>
      <c r="G693" s="50"/>
      <c r="H693" s="50"/>
    </row>
    <row r="694" spans="1:8">
      <c r="A694" s="48"/>
      <c r="B694" s="49"/>
      <c r="C694" s="50"/>
      <c r="D694" s="67"/>
      <c r="E694" s="50"/>
      <c r="F694" s="64"/>
      <c r="G694" s="50"/>
      <c r="H694" s="50"/>
    </row>
    <row r="695" spans="1:8">
      <c r="A695" s="48"/>
      <c r="B695" s="49"/>
      <c r="C695" s="50"/>
      <c r="D695" s="67"/>
      <c r="E695" s="50"/>
      <c r="F695" s="64"/>
      <c r="G695" s="50"/>
      <c r="H695" s="50"/>
    </row>
    <row r="696" spans="1:8">
      <c r="A696" s="48"/>
      <c r="B696" s="49"/>
      <c r="C696" s="50"/>
      <c r="D696" s="67"/>
      <c r="E696" s="50"/>
      <c r="F696" s="64"/>
      <c r="G696" s="50"/>
      <c r="H696" s="50"/>
    </row>
    <row r="697" spans="1:8">
      <c r="A697" s="48"/>
      <c r="B697" s="49"/>
      <c r="C697" s="50"/>
      <c r="D697" s="67"/>
      <c r="E697" s="50"/>
      <c r="F697" s="64"/>
      <c r="G697" s="50"/>
      <c r="H697" s="50"/>
    </row>
    <row r="698" spans="1:8">
      <c r="A698" s="48"/>
      <c r="B698" s="49"/>
      <c r="C698" s="50"/>
      <c r="D698" s="67"/>
      <c r="E698" s="50"/>
      <c r="F698" s="64"/>
      <c r="G698" s="50"/>
      <c r="H698" s="50"/>
    </row>
    <row r="699" spans="1:8">
      <c r="A699" s="48"/>
      <c r="B699" s="49"/>
      <c r="C699" s="50"/>
      <c r="D699" s="67"/>
      <c r="E699" s="50"/>
      <c r="F699" s="64"/>
      <c r="G699" s="50"/>
      <c r="H699" s="50"/>
    </row>
    <row r="700" spans="1:8">
      <c r="A700" s="48"/>
      <c r="B700" s="49"/>
      <c r="C700" s="50"/>
      <c r="D700" s="67"/>
      <c r="E700" s="50"/>
      <c r="F700" s="64"/>
      <c r="G700" s="50"/>
      <c r="H700" s="50"/>
    </row>
    <row r="701" spans="1:8">
      <c r="A701" s="48"/>
      <c r="B701" s="49"/>
      <c r="C701" s="50"/>
      <c r="D701" s="67"/>
      <c r="E701" s="50"/>
      <c r="F701" s="64"/>
      <c r="G701" s="50"/>
      <c r="H701" s="50"/>
    </row>
    <row r="702" spans="1:8">
      <c r="A702" s="48"/>
      <c r="B702" s="49"/>
      <c r="C702" s="50"/>
      <c r="D702" s="67"/>
      <c r="E702" s="50"/>
      <c r="F702" s="64"/>
      <c r="G702" s="50"/>
      <c r="H702" s="50"/>
    </row>
    <row r="703" spans="1:8">
      <c r="A703" s="48"/>
      <c r="B703" s="49"/>
      <c r="C703" s="50"/>
      <c r="D703" s="67"/>
      <c r="E703" s="50"/>
      <c r="F703" s="64"/>
      <c r="G703" s="50"/>
      <c r="H703" s="50"/>
    </row>
    <row r="704" spans="1:8">
      <c r="A704" s="48"/>
      <c r="B704" s="49"/>
      <c r="C704" s="50"/>
      <c r="D704" s="67"/>
      <c r="E704" s="50"/>
      <c r="F704" s="64"/>
      <c r="G704" s="50"/>
      <c r="H704" s="50"/>
    </row>
    <row r="705" spans="1:8">
      <c r="A705" s="48"/>
      <c r="B705" s="49"/>
      <c r="C705" s="50"/>
      <c r="D705" s="67"/>
      <c r="E705" s="50"/>
      <c r="F705" s="64"/>
      <c r="G705" s="50"/>
      <c r="H705" s="50"/>
    </row>
    <row r="706" spans="1:8">
      <c r="A706" s="48"/>
      <c r="B706" s="49"/>
      <c r="C706" s="50"/>
      <c r="D706" s="67"/>
      <c r="E706" s="50"/>
      <c r="F706" s="64"/>
      <c r="G706" s="50"/>
      <c r="H706" s="50"/>
    </row>
    <row r="707" spans="1:8">
      <c r="A707" s="48"/>
      <c r="B707" s="49"/>
      <c r="C707" s="50"/>
      <c r="D707" s="67"/>
      <c r="E707" s="50"/>
      <c r="F707" s="64"/>
      <c r="G707" s="50"/>
      <c r="H707" s="50"/>
    </row>
    <row r="708" spans="1:8">
      <c r="A708" s="48"/>
      <c r="B708" s="49"/>
      <c r="C708" s="50"/>
      <c r="D708" s="67"/>
      <c r="E708" s="50"/>
      <c r="F708" s="64"/>
      <c r="G708" s="50"/>
      <c r="H708" s="50"/>
    </row>
    <row r="709" spans="1:8">
      <c r="A709" s="48"/>
      <c r="B709" s="49"/>
      <c r="C709" s="50"/>
      <c r="D709" s="67"/>
      <c r="E709" s="50"/>
      <c r="F709" s="64"/>
      <c r="G709" s="50"/>
      <c r="H709" s="50"/>
    </row>
    <row r="710" spans="1:8">
      <c r="A710" s="48"/>
      <c r="B710" s="49"/>
      <c r="C710" s="50"/>
      <c r="D710" s="67"/>
      <c r="E710" s="50"/>
      <c r="F710" s="64"/>
      <c r="G710" s="50"/>
      <c r="H710" s="50"/>
    </row>
    <row r="711" spans="1:8">
      <c r="A711" s="48"/>
      <c r="B711" s="49"/>
      <c r="C711" s="50"/>
      <c r="D711" s="67"/>
      <c r="E711" s="50"/>
      <c r="F711" s="64"/>
      <c r="G711" s="50"/>
      <c r="H711" s="50"/>
    </row>
    <row r="712" spans="1:8">
      <c r="A712" s="48"/>
      <c r="B712" s="49"/>
      <c r="C712" s="50"/>
      <c r="D712" s="67"/>
      <c r="E712" s="50"/>
      <c r="F712" s="64"/>
      <c r="G712" s="50"/>
      <c r="H712" s="50"/>
    </row>
    <row r="713" spans="1:8">
      <c r="A713" s="48"/>
      <c r="B713" s="49"/>
      <c r="C713" s="50"/>
      <c r="D713" s="67"/>
      <c r="E713" s="50"/>
      <c r="F713" s="64"/>
      <c r="G713" s="50"/>
      <c r="H713" s="50"/>
    </row>
    <row r="714" spans="1:8">
      <c r="A714" s="48"/>
      <c r="B714" s="49"/>
      <c r="C714" s="50"/>
      <c r="D714" s="67"/>
      <c r="E714" s="50"/>
      <c r="F714" s="64"/>
      <c r="G714" s="50"/>
      <c r="H714" s="50"/>
    </row>
    <row r="715" spans="1:8">
      <c r="A715" s="48"/>
      <c r="B715" s="49"/>
      <c r="C715" s="50"/>
      <c r="D715" s="67"/>
      <c r="E715" s="50"/>
      <c r="F715" s="64"/>
      <c r="G715" s="50"/>
      <c r="H715" s="50"/>
    </row>
    <row r="716" spans="1:8">
      <c r="A716" s="48"/>
      <c r="B716" s="49"/>
      <c r="C716" s="50"/>
      <c r="D716" s="67"/>
      <c r="E716" s="50"/>
      <c r="F716" s="64"/>
      <c r="G716" s="50"/>
      <c r="H716" s="50"/>
    </row>
    <row r="717" spans="1:8">
      <c r="A717" s="48"/>
      <c r="B717" s="49"/>
      <c r="C717" s="50"/>
      <c r="D717" s="67"/>
      <c r="E717" s="50"/>
      <c r="F717" s="64"/>
      <c r="G717" s="50"/>
      <c r="H717" s="50"/>
    </row>
    <row r="718" spans="1:8">
      <c r="A718" s="48"/>
      <c r="B718" s="49"/>
      <c r="C718" s="50"/>
      <c r="D718" s="67"/>
      <c r="E718" s="50"/>
      <c r="F718" s="64"/>
      <c r="G718" s="50"/>
      <c r="H718" s="50"/>
    </row>
    <row r="719" spans="1:8">
      <c r="A719" s="48"/>
      <c r="B719" s="49"/>
      <c r="C719" s="50"/>
      <c r="D719" s="67"/>
      <c r="E719" s="50"/>
      <c r="F719" s="64"/>
      <c r="G719" s="50"/>
      <c r="H719" s="50"/>
    </row>
    <row r="720" spans="1:8">
      <c r="A720" s="48"/>
      <c r="B720" s="49"/>
      <c r="C720" s="50"/>
      <c r="D720" s="67"/>
      <c r="E720" s="50"/>
      <c r="F720" s="64"/>
      <c r="G720" s="50"/>
      <c r="H720" s="50"/>
    </row>
    <row r="721" spans="1:8">
      <c r="A721" s="48"/>
      <c r="B721" s="49"/>
      <c r="C721" s="50"/>
      <c r="D721" s="67"/>
      <c r="E721" s="50"/>
      <c r="F721" s="64"/>
      <c r="G721" s="50"/>
      <c r="H721" s="50"/>
    </row>
    <row r="722" spans="1:8">
      <c r="A722" s="48"/>
      <c r="B722" s="49"/>
      <c r="C722" s="50"/>
      <c r="D722" s="67"/>
      <c r="E722" s="50"/>
      <c r="F722" s="64"/>
      <c r="G722" s="50"/>
      <c r="H722" s="50"/>
    </row>
    <row r="723" spans="1:8">
      <c r="A723" s="48"/>
      <c r="B723" s="49"/>
      <c r="C723" s="50"/>
      <c r="D723" s="67"/>
      <c r="E723" s="50"/>
      <c r="F723" s="64"/>
      <c r="G723" s="50"/>
      <c r="H723" s="50"/>
    </row>
    <row r="724" spans="1:8">
      <c r="A724" s="48"/>
      <c r="B724" s="49"/>
      <c r="C724" s="50"/>
      <c r="D724" s="67"/>
      <c r="E724" s="50"/>
      <c r="F724" s="64"/>
      <c r="G724" s="50"/>
      <c r="H724" s="50"/>
    </row>
    <row r="725" spans="1:8">
      <c r="A725" s="48"/>
      <c r="B725" s="49"/>
      <c r="C725" s="50"/>
      <c r="D725" s="67"/>
      <c r="E725" s="50"/>
      <c r="F725" s="64"/>
      <c r="G725" s="50"/>
      <c r="H725" s="50"/>
    </row>
    <row r="726" spans="1:8">
      <c r="A726" s="48"/>
      <c r="B726" s="49"/>
      <c r="C726" s="50"/>
      <c r="D726" s="67"/>
      <c r="E726" s="50"/>
      <c r="F726" s="64"/>
      <c r="G726" s="50"/>
      <c r="H726" s="50"/>
    </row>
    <row r="727" spans="1:8">
      <c r="A727" s="48"/>
      <c r="B727" s="49"/>
      <c r="C727" s="50"/>
      <c r="D727" s="67"/>
      <c r="E727" s="50"/>
      <c r="F727" s="64"/>
      <c r="G727" s="50"/>
      <c r="H727" s="50"/>
    </row>
    <row r="728" spans="1:8">
      <c r="A728" s="48"/>
      <c r="B728" s="49"/>
      <c r="C728" s="50"/>
      <c r="D728" s="67"/>
      <c r="E728" s="50"/>
      <c r="F728" s="64"/>
      <c r="G728" s="50"/>
      <c r="H728" s="50"/>
    </row>
    <row r="729" spans="1:8">
      <c r="A729" s="48"/>
      <c r="B729" s="49"/>
      <c r="C729" s="50"/>
      <c r="D729" s="67"/>
      <c r="E729" s="50"/>
      <c r="F729" s="64"/>
      <c r="G729" s="50"/>
      <c r="H729" s="50"/>
    </row>
    <row r="730" spans="1:8">
      <c r="A730" s="48"/>
      <c r="B730" s="49"/>
      <c r="C730" s="50"/>
      <c r="D730" s="67"/>
      <c r="E730" s="50"/>
      <c r="F730" s="64"/>
      <c r="G730" s="50"/>
      <c r="H730" s="50"/>
    </row>
    <row r="731" spans="1:8">
      <c r="A731" s="48"/>
      <c r="B731" s="49"/>
      <c r="C731" s="50"/>
      <c r="D731" s="67"/>
      <c r="E731" s="50"/>
      <c r="F731" s="64"/>
      <c r="G731" s="50"/>
      <c r="H731" s="50"/>
    </row>
    <row r="732" spans="1:8">
      <c r="A732" s="48"/>
      <c r="B732" s="49"/>
      <c r="C732" s="50"/>
      <c r="D732" s="67"/>
      <c r="E732" s="50"/>
      <c r="F732" s="64"/>
      <c r="G732" s="50"/>
      <c r="H732" s="50"/>
    </row>
    <row r="733" spans="1:8">
      <c r="A733" s="48"/>
      <c r="B733" s="49"/>
      <c r="C733" s="50"/>
      <c r="D733" s="67"/>
      <c r="E733" s="50"/>
      <c r="F733" s="64"/>
      <c r="G733" s="50"/>
      <c r="H733" s="50"/>
    </row>
    <row r="734" spans="1:8">
      <c r="A734" s="48"/>
      <c r="B734" s="49"/>
      <c r="C734" s="50"/>
      <c r="D734" s="67"/>
      <c r="E734" s="50"/>
      <c r="F734" s="64"/>
      <c r="G734" s="50"/>
      <c r="H734" s="50"/>
    </row>
    <row r="735" spans="1:8">
      <c r="A735" s="48"/>
      <c r="B735" s="49"/>
      <c r="C735" s="50"/>
      <c r="D735" s="67"/>
      <c r="E735" s="50"/>
      <c r="F735" s="64"/>
      <c r="G735" s="50"/>
      <c r="H735" s="50"/>
    </row>
    <row r="736" spans="1:8">
      <c r="A736" s="48"/>
      <c r="B736" s="49"/>
      <c r="C736" s="50"/>
      <c r="D736" s="67"/>
      <c r="E736" s="50"/>
      <c r="F736" s="64"/>
      <c r="G736" s="50"/>
      <c r="H736" s="50"/>
    </row>
    <row r="737" spans="1:8">
      <c r="A737" s="48"/>
      <c r="B737" s="49"/>
      <c r="C737" s="50"/>
      <c r="D737" s="67"/>
      <c r="E737" s="50"/>
      <c r="F737" s="64"/>
      <c r="G737" s="50"/>
      <c r="H737" s="50"/>
    </row>
    <row r="738" spans="1:8">
      <c r="A738" s="48"/>
      <c r="B738" s="49"/>
      <c r="C738" s="50"/>
      <c r="D738" s="67"/>
      <c r="E738" s="50"/>
      <c r="F738" s="64"/>
      <c r="G738" s="50"/>
      <c r="H738" s="50"/>
    </row>
    <row r="739" spans="1:8">
      <c r="A739" s="48"/>
      <c r="B739" s="49"/>
      <c r="C739" s="50"/>
      <c r="D739" s="67"/>
      <c r="E739" s="50"/>
      <c r="F739" s="64"/>
      <c r="G739" s="50"/>
      <c r="H739" s="50"/>
    </row>
    <row r="740" spans="1:8">
      <c r="A740" s="48"/>
      <c r="B740" s="49"/>
      <c r="C740" s="50"/>
      <c r="D740" s="67"/>
      <c r="E740" s="50"/>
      <c r="F740" s="64"/>
      <c r="G740" s="50"/>
      <c r="H740" s="50"/>
    </row>
    <row r="741" spans="1:8">
      <c r="A741" s="48"/>
      <c r="B741" s="49"/>
      <c r="C741" s="50"/>
      <c r="D741" s="67"/>
      <c r="E741" s="50"/>
      <c r="F741" s="64"/>
      <c r="G741" s="50"/>
      <c r="H741" s="50"/>
    </row>
    <row r="742" spans="1:8">
      <c r="A742" s="48"/>
      <c r="B742" s="49"/>
      <c r="C742" s="50"/>
      <c r="D742" s="67"/>
      <c r="E742" s="50"/>
      <c r="F742" s="64"/>
      <c r="G742" s="50"/>
      <c r="H742" s="50"/>
    </row>
    <row r="743" spans="1:8">
      <c r="A743" s="48"/>
      <c r="B743" s="49"/>
      <c r="C743" s="50"/>
      <c r="D743" s="67"/>
      <c r="E743" s="50"/>
      <c r="F743" s="64"/>
      <c r="G743" s="50"/>
      <c r="H743" s="50"/>
    </row>
    <row r="744" spans="1:8">
      <c r="A744" s="48"/>
      <c r="B744" s="49"/>
      <c r="C744" s="50"/>
      <c r="D744" s="67"/>
      <c r="E744" s="50"/>
      <c r="F744" s="64"/>
      <c r="G744" s="50"/>
      <c r="H744" s="50"/>
    </row>
    <row r="745" spans="1:8">
      <c r="A745" s="48"/>
      <c r="B745" s="49"/>
      <c r="C745" s="50"/>
      <c r="D745" s="67"/>
      <c r="E745" s="50"/>
      <c r="F745" s="64"/>
      <c r="G745" s="50"/>
      <c r="H745" s="50"/>
    </row>
    <row r="746" spans="1:8">
      <c r="A746" s="48"/>
      <c r="B746" s="49"/>
      <c r="C746" s="50"/>
      <c r="D746" s="67"/>
      <c r="E746" s="50"/>
      <c r="F746" s="64"/>
      <c r="G746" s="50"/>
      <c r="H746" s="50"/>
    </row>
    <row r="747" spans="1:8">
      <c r="A747" s="48"/>
      <c r="B747" s="49"/>
      <c r="C747" s="50"/>
      <c r="D747" s="67"/>
      <c r="E747" s="50"/>
      <c r="F747" s="64"/>
      <c r="G747" s="50"/>
      <c r="H747" s="50"/>
    </row>
    <row r="748" spans="1:8">
      <c r="A748" s="48"/>
      <c r="B748" s="49"/>
      <c r="C748" s="50"/>
      <c r="D748" s="67"/>
      <c r="E748" s="50"/>
      <c r="F748" s="64"/>
      <c r="G748" s="50"/>
      <c r="H748" s="50"/>
    </row>
    <row r="749" spans="1:8">
      <c r="A749" s="48"/>
      <c r="B749" s="49"/>
      <c r="C749" s="50"/>
      <c r="D749" s="67"/>
      <c r="E749" s="50"/>
      <c r="F749" s="64"/>
      <c r="G749" s="50"/>
      <c r="H749" s="50"/>
    </row>
    <row r="750" spans="1:8">
      <c r="A750" s="48"/>
      <c r="B750" s="49"/>
      <c r="C750" s="50"/>
      <c r="D750" s="67"/>
      <c r="E750" s="50"/>
      <c r="F750" s="64"/>
      <c r="G750" s="50"/>
      <c r="H750" s="50"/>
    </row>
    <row r="751" spans="1:8">
      <c r="A751" s="48"/>
      <c r="B751" s="49"/>
      <c r="C751" s="50"/>
      <c r="D751" s="67"/>
      <c r="E751" s="50"/>
      <c r="F751" s="64"/>
      <c r="G751" s="50"/>
      <c r="H751" s="50"/>
    </row>
    <row r="752" spans="1:8">
      <c r="A752" s="48"/>
      <c r="B752" s="49"/>
      <c r="C752" s="50"/>
      <c r="D752" s="67"/>
      <c r="E752" s="50"/>
      <c r="F752" s="64"/>
      <c r="G752" s="50"/>
      <c r="H752" s="50"/>
    </row>
    <row r="753" spans="1:8">
      <c r="A753" s="48"/>
      <c r="B753" s="49"/>
      <c r="C753" s="50"/>
      <c r="D753" s="67"/>
      <c r="E753" s="50"/>
      <c r="F753" s="64"/>
      <c r="G753" s="50"/>
      <c r="H753" s="50"/>
    </row>
    <row r="754" spans="1:8">
      <c r="A754" s="48"/>
      <c r="B754" s="49"/>
      <c r="C754" s="50"/>
      <c r="D754" s="67"/>
      <c r="E754" s="50"/>
      <c r="F754" s="64"/>
      <c r="G754" s="50"/>
      <c r="H754" s="50"/>
    </row>
    <row r="755" spans="1:8">
      <c r="A755" s="48"/>
      <c r="B755" s="49"/>
      <c r="C755" s="50"/>
      <c r="D755" s="67"/>
      <c r="E755" s="50"/>
      <c r="F755" s="64"/>
      <c r="G755" s="50"/>
      <c r="H755" s="50"/>
    </row>
    <row r="756" spans="1:8">
      <c r="A756" s="48"/>
      <c r="B756" s="49"/>
      <c r="C756" s="50"/>
      <c r="D756" s="67"/>
      <c r="E756" s="50"/>
      <c r="F756" s="64"/>
      <c r="G756" s="50"/>
      <c r="H756" s="50"/>
    </row>
    <row r="757" spans="1:8">
      <c r="A757" s="48"/>
      <c r="B757" s="49"/>
      <c r="C757" s="50"/>
      <c r="D757" s="67"/>
      <c r="E757" s="50"/>
      <c r="F757" s="64"/>
      <c r="G757" s="50"/>
      <c r="H757" s="50"/>
    </row>
    <row r="758" spans="1:8">
      <c r="A758" s="48"/>
      <c r="B758" s="49"/>
      <c r="C758" s="50"/>
      <c r="D758" s="67"/>
      <c r="E758" s="50"/>
      <c r="F758" s="64"/>
      <c r="G758" s="50"/>
      <c r="H758" s="50"/>
    </row>
    <row r="759" spans="1:8">
      <c r="A759" s="48"/>
      <c r="B759" s="49"/>
      <c r="C759" s="50"/>
      <c r="D759" s="67"/>
      <c r="E759" s="50"/>
      <c r="F759" s="64"/>
      <c r="G759" s="50"/>
      <c r="H759" s="50"/>
    </row>
    <row r="760" spans="1:8">
      <c r="A760" s="48"/>
      <c r="B760" s="49"/>
      <c r="C760" s="50"/>
      <c r="D760" s="67"/>
      <c r="E760" s="50"/>
      <c r="F760" s="64"/>
      <c r="G760" s="50"/>
      <c r="H760" s="50"/>
    </row>
    <row r="761" spans="1:8">
      <c r="A761" s="48"/>
      <c r="B761" s="49"/>
      <c r="C761" s="50"/>
      <c r="D761" s="67"/>
      <c r="E761" s="50"/>
      <c r="F761" s="64"/>
      <c r="G761" s="50"/>
      <c r="H761" s="50"/>
    </row>
    <row r="762" spans="1:8">
      <c r="A762" s="48"/>
      <c r="B762" s="49"/>
      <c r="C762" s="50"/>
      <c r="D762" s="67"/>
      <c r="E762" s="50"/>
      <c r="F762" s="64"/>
      <c r="G762" s="50"/>
      <c r="H762" s="50"/>
    </row>
    <row r="763" spans="1:8">
      <c r="A763" s="48"/>
      <c r="B763" s="49"/>
      <c r="C763" s="50"/>
      <c r="D763" s="67"/>
      <c r="E763" s="50"/>
      <c r="F763" s="64"/>
      <c r="G763" s="50"/>
      <c r="H763" s="50"/>
    </row>
    <row r="764" spans="1:8">
      <c r="A764" s="48"/>
      <c r="B764" s="49"/>
      <c r="C764" s="50"/>
      <c r="D764" s="67"/>
      <c r="E764" s="50"/>
      <c r="F764" s="64"/>
      <c r="G764" s="50"/>
      <c r="H764" s="50"/>
    </row>
    <row r="765" spans="1:8">
      <c r="A765" s="48"/>
      <c r="B765" s="49"/>
      <c r="C765" s="50"/>
      <c r="D765" s="67"/>
      <c r="E765" s="50"/>
      <c r="F765" s="64"/>
      <c r="G765" s="50"/>
      <c r="H765" s="50"/>
    </row>
    <row r="766" spans="1:8">
      <c r="A766" s="48"/>
      <c r="B766" s="49"/>
      <c r="C766" s="50"/>
      <c r="D766" s="67"/>
      <c r="E766" s="50"/>
      <c r="F766" s="64"/>
      <c r="G766" s="50"/>
      <c r="H766" s="50"/>
    </row>
    <row r="767" spans="1:8">
      <c r="A767" s="48"/>
      <c r="B767" s="49"/>
      <c r="C767" s="50"/>
      <c r="D767" s="67"/>
      <c r="E767" s="50"/>
      <c r="F767" s="64"/>
      <c r="G767" s="50"/>
      <c r="H767" s="50"/>
    </row>
    <row r="768" spans="1:8">
      <c r="A768" s="48"/>
      <c r="B768" s="49"/>
      <c r="C768" s="50"/>
      <c r="D768" s="67"/>
      <c r="E768" s="50"/>
      <c r="F768" s="64"/>
      <c r="G768" s="50"/>
      <c r="H768" s="50"/>
    </row>
    <row r="769" spans="1:8">
      <c r="A769" s="48"/>
      <c r="B769" s="49"/>
      <c r="C769" s="50"/>
      <c r="D769" s="67"/>
      <c r="E769" s="50"/>
      <c r="F769" s="64"/>
      <c r="G769" s="50"/>
      <c r="H769" s="50"/>
    </row>
    <row r="770" spans="1:8">
      <c r="A770" s="48"/>
      <c r="B770" s="49"/>
      <c r="C770" s="50"/>
      <c r="D770" s="67"/>
      <c r="E770" s="50"/>
      <c r="F770" s="64"/>
      <c r="G770" s="50"/>
      <c r="H770" s="50"/>
    </row>
    <row r="771" spans="1:8">
      <c r="A771" s="48"/>
      <c r="B771" s="49"/>
      <c r="C771" s="50"/>
      <c r="D771" s="67"/>
      <c r="E771" s="50"/>
      <c r="F771" s="64"/>
      <c r="G771" s="50"/>
      <c r="H771" s="50"/>
    </row>
    <row r="772" spans="1:8">
      <c r="A772" s="48"/>
      <c r="B772" s="49"/>
      <c r="C772" s="50"/>
      <c r="D772" s="67"/>
      <c r="E772" s="50"/>
      <c r="F772" s="64"/>
      <c r="G772" s="50"/>
      <c r="H772" s="50"/>
    </row>
    <row r="773" spans="1:8">
      <c r="A773" s="48"/>
      <c r="B773" s="49"/>
      <c r="C773" s="50"/>
      <c r="D773" s="67"/>
      <c r="E773" s="50"/>
      <c r="F773" s="64"/>
      <c r="G773" s="50"/>
      <c r="H773" s="50"/>
    </row>
    <row r="774" spans="1:8">
      <c r="A774" s="48"/>
      <c r="B774" s="49"/>
      <c r="C774" s="50"/>
      <c r="D774" s="67"/>
      <c r="E774" s="50"/>
      <c r="F774" s="64"/>
      <c r="G774" s="50"/>
      <c r="H774" s="50"/>
    </row>
    <row r="775" spans="1:8">
      <c r="A775" s="48"/>
      <c r="B775" s="49"/>
      <c r="C775" s="50"/>
      <c r="D775" s="67"/>
      <c r="E775" s="50"/>
      <c r="F775" s="64"/>
      <c r="G775" s="50"/>
      <c r="H775" s="50"/>
    </row>
    <row r="776" spans="1:8">
      <c r="A776" s="48"/>
      <c r="B776" s="49"/>
      <c r="C776" s="50"/>
      <c r="D776" s="67"/>
      <c r="E776" s="50"/>
      <c r="F776" s="64"/>
      <c r="G776" s="50"/>
      <c r="H776" s="50"/>
    </row>
    <row r="777" spans="1:8">
      <c r="A777" s="48"/>
      <c r="B777" s="49"/>
      <c r="C777" s="50"/>
      <c r="D777" s="67"/>
      <c r="E777" s="50"/>
      <c r="F777" s="64"/>
      <c r="G777" s="50"/>
      <c r="H777" s="50"/>
    </row>
    <row r="778" spans="1:8">
      <c r="A778" s="48"/>
      <c r="B778" s="49"/>
      <c r="C778" s="50"/>
      <c r="D778" s="67"/>
      <c r="E778" s="50"/>
      <c r="F778" s="64"/>
      <c r="G778" s="50"/>
      <c r="H778" s="50"/>
    </row>
    <row r="779" spans="1:8">
      <c r="A779" s="48"/>
      <c r="B779" s="49"/>
      <c r="C779" s="50"/>
      <c r="D779" s="67"/>
      <c r="E779" s="50"/>
      <c r="F779" s="64"/>
      <c r="G779" s="50"/>
      <c r="H779" s="50"/>
    </row>
    <row r="780" spans="1:8">
      <c r="A780" s="48"/>
      <c r="B780" s="49"/>
      <c r="C780" s="50"/>
      <c r="D780" s="67"/>
      <c r="E780" s="50"/>
      <c r="F780" s="64"/>
      <c r="G780" s="50"/>
      <c r="H780" s="50"/>
    </row>
    <row r="781" spans="1:8">
      <c r="A781" s="48"/>
      <c r="B781" s="49"/>
      <c r="C781" s="50"/>
      <c r="D781" s="67"/>
      <c r="E781" s="50"/>
      <c r="F781" s="64"/>
      <c r="G781" s="50"/>
      <c r="H781" s="50"/>
    </row>
    <row r="782" spans="1:8">
      <c r="A782" s="48"/>
      <c r="B782" s="49"/>
      <c r="C782" s="50"/>
      <c r="D782" s="67"/>
      <c r="E782" s="50"/>
      <c r="F782" s="64"/>
      <c r="G782" s="50"/>
      <c r="H782" s="50"/>
    </row>
    <row r="783" spans="1:8">
      <c r="A783" s="48"/>
      <c r="B783" s="49"/>
      <c r="C783" s="50"/>
      <c r="D783" s="67"/>
      <c r="E783" s="50"/>
      <c r="F783" s="64"/>
      <c r="G783" s="50"/>
      <c r="H783" s="50"/>
    </row>
    <row r="784" spans="1:8">
      <c r="A784" s="48"/>
      <c r="B784" s="49"/>
      <c r="C784" s="50"/>
      <c r="D784" s="67"/>
      <c r="E784" s="50"/>
      <c r="F784" s="64"/>
      <c r="G784" s="50"/>
      <c r="H784" s="50"/>
    </row>
    <row r="785" spans="1:8">
      <c r="A785" s="48"/>
      <c r="B785" s="49"/>
      <c r="C785" s="50"/>
      <c r="D785" s="67"/>
      <c r="E785" s="50"/>
      <c r="F785" s="64"/>
      <c r="G785" s="50"/>
      <c r="H785" s="50"/>
    </row>
    <row r="786" spans="1:8">
      <c r="A786" s="48"/>
      <c r="B786" s="49"/>
      <c r="C786" s="50"/>
      <c r="D786" s="67"/>
      <c r="E786" s="50"/>
      <c r="F786" s="64"/>
      <c r="G786" s="50"/>
      <c r="H786" s="50"/>
    </row>
    <row r="787" spans="1:8">
      <c r="A787" s="48"/>
      <c r="B787" s="49"/>
      <c r="C787" s="50"/>
      <c r="D787" s="67"/>
      <c r="E787" s="50"/>
      <c r="F787" s="64"/>
      <c r="G787" s="50"/>
      <c r="H787" s="50"/>
    </row>
    <row r="788" spans="1:8">
      <c r="A788" s="48"/>
      <c r="B788" s="49"/>
      <c r="C788" s="50"/>
      <c r="D788" s="67"/>
      <c r="E788" s="50"/>
      <c r="F788" s="64"/>
      <c r="G788" s="50"/>
      <c r="H788" s="50"/>
    </row>
    <row r="789" spans="1:8">
      <c r="A789" s="48"/>
      <c r="B789" s="49"/>
      <c r="C789" s="50"/>
      <c r="D789" s="67"/>
      <c r="E789" s="50"/>
      <c r="F789" s="64"/>
      <c r="G789" s="50"/>
      <c r="H789" s="50"/>
    </row>
    <row r="790" spans="1:8">
      <c r="A790" s="48"/>
      <c r="B790" s="49"/>
      <c r="C790" s="50"/>
      <c r="D790" s="67"/>
      <c r="E790" s="50"/>
      <c r="F790" s="64"/>
      <c r="G790" s="50"/>
      <c r="H790" s="50"/>
    </row>
    <row r="791" spans="1:8">
      <c r="A791" s="48"/>
      <c r="B791" s="49"/>
      <c r="C791" s="50"/>
      <c r="D791" s="67"/>
      <c r="E791" s="50"/>
      <c r="F791" s="64"/>
      <c r="G791" s="50"/>
      <c r="H791" s="50"/>
    </row>
    <row r="792" spans="1:8">
      <c r="A792" s="48"/>
      <c r="B792" s="49"/>
      <c r="C792" s="50"/>
      <c r="D792" s="67"/>
      <c r="E792" s="50"/>
      <c r="F792" s="64"/>
      <c r="G792" s="50"/>
      <c r="H792" s="50"/>
    </row>
    <row r="793" spans="1:8">
      <c r="A793" s="48"/>
      <c r="B793" s="49"/>
      <c r="C793" s="50"/>
      <c r="D793" s="67"/>
      <c r="E793" s="50"/>
      <c r="F793" s="64"/>
      <c r="G793" s="50"/>
      <c r="H793" s="50"/>
    </row>
    <row r="794" spans="1:8">
      <c r="A794" s="48"/>
      <c r="B794" s="49"/>
      <c r="C794" s="50"/>
      <c r="D794" s="67"/>
      <c r="E794" s="50"/>
      <c r="F794" s="64"/>
      <c r="G794" s="50"/>
      <c r="H794" s="50"/>
    </row>
    <row r="795" spans="1:8">
      <c r="A795" s="48"/>
      <c r="B795" s="49"/>
      <c r="C795" s="50"/>
      <c r="D795" s="67"/>
      <c r="E795" s="50"/>
      <c r="F795" s="64"/>
      <c r="G795" s="50"/>
      <c r="H795" s="50"/>
    </row>
    <row r="796" spans="1:8">
      <c r="A796" s="48"/>
      <c r="B796" s="49"/>
      <c r="C796" s="50"/>
      <c r="D796" s="67"/>
      <c r="E796" s="50"/>
      <c r="F796" s="64"/>
      <c r="G796" s="50"/>
      <c r="H796" s="50"/>
    </row>
    <row r="797" spans="1:8">
      <c r="A797" s="48"/>
      <c r="B797" s="49"/>
      <c r="C797" s="50"/>
      <c r="D797" s="67"/>
      <c r="E797" s="50"/>
      <c r="F797" s="64"/>
      <c r="G797" s="50"/>
      <c r="H797" s="50"/>
    </row>
    <row r="798" spans="1:8">
      <c r="A798" s="48"/>
      <c r="B798" s="49"/>
      <c r="C798" s="50"/>
      <c r="D798" s="67"/>
      <c r="E798" s="50"/>
      <c r="F798" s="64"/>
      <c r="G798" s="50"/>
      <c r="H798" s="50"/>
    </row>
    <row r="799" spans="1:8">
      <c r="A799" s="48"/>
      <c r="B799" s="49"/>
      <c r="C799" s="50"/>
      <c r="D799" s="67"/>
      <c r="E799" s="50"/>
      <c r="F799" s="64"/>
      <c r="G799" s="50"/>
      <c r="H799" s="50"/>
    </row>
    <row r="800" spans="1:8">
      <c r="A800" s="48"/>
      <c r="B800" s="49"/>
      <c r="C800" s="50"/>
      <c r="D800" s="67"/>
      <c r="E800" s="50"/>
      <c r="F800" s="64"/>
      <c r="G800" s="50"/>
      <c r="H800" s="50"/>
    </row>
    <row r="801" spans="1:8">
      <c r="A801" s="48"/>
      <c r="B801" s="49"/>
      <c r="C801" s="50"/>
      <c r="D801" s="67"/>
      <c r="E801" s="50"/>
      <c r="F801" s="64"/>
      <c r="G801" s="50"/>
      <c r="H801" s="50"/>
    </row>
    <row r="802" spans="1:8">
      <c r="A802" s="48"/>
      <c r="B802" s="49"/>
      <c r="C802" s="50"/>
      <c r="D802" s="67"/>
      <c r="E802" s="50"/>
      <c r="F802" s="64"/>
      <c r="G802" s="50"/>
      <c r="H802" s="50"/>
    </row>
    <row r="803" spans="1:8">
      <c r="A803" s="48"/>
      <c r="B803" s="49"/>
      <c r="C803" s="50"/>
      <c r="D803" s="67"/>
      <c r="E803" s="50"/>
      <c r="F803" s="64"/>
      <c r="G803" s="50"/>
      <c r="H803" s="50"/>
    </row>
    <row r="804" spans="1:8">
      <c r="A804" s="48"/>
      <c r="B804" s="49"/>
      <c r="C804" s="50"/>
      <c r="D804" s="67"/>
      <c r="E804" s="50"/>
      <c r="F804" s="64"/>
      <c r="G804" s="50"/>
      <c r="H804" s="50"/>
    </row>
    <row r="805" spans="1:8">
      <c r="A805" s="48"/>
      <c r="B805" s="49"/>
      <c r="C805" s="50"/>
      <c r="D805" s="67"/>
      <c r="E805" s="50"/>
      <c r="F805" s="64"/>
      <c r="G805" s="50"/>
      <c r="H805" s="50"/>
    </row>
    <row r="806" spans="1:8">
      <c r="A806" s="48"/>
      <c r="B806" s="49"/>
      <c r="C806" s="50"/>
      <c r="D806" s="67"/>
      <c r="E806" s="50"/>
      <c r="F806" s="64"/>
      <c r="G806" s="50"/>
      <c r="H806" s="50"/>
    </row>
    <row r="807" spans="1:8">
      <c r="A807" s="48"/>
      <c r="B807" s="49"/>
      <c r="C807" s="50"/>
      <c r="D807" s="67"/>
      <c r="E807" s="50"/>
      <c r="F807" s="64"/>
      <c r="G807" s="50"/>
      <c r="H807" s="50"/>
    </row>
    <row r="808" spans="1:8">
      <c r="A808" s="48"/>
      <c r="B808" s="49"/>
      <c r="C808" s="50"/>
      <c r="D808" s="67"/>
      <c r="E808" s="50"/>
      <c r="F808" s="64"/>
      <c r="G808" s="50"/>
      <c r="H808" s="50"/>
    </row>
    <row r="809" spans="1:8">
      <c r="A809" s="48"/>
      <c r="B809" s="49"/>
      <c r="C809" s="50"/>
      <c r="D809" s="67"/>
      <c r="E809" s="50"/>
      <c r="F809" s="64"/>
      <c r="G809" s="50"/>
      <c r="H809" s="50"/>
    </row>
    <row r="810" spans="1:8">
      <c r="A810" s="48"/>
      <c r="B810" s="49"/>
      <c r="C810" s="50"/>
      <c r="D810" s="67"/>
      <c r="E810" s="50"/>
      <c r="F810" s="64"/>
      <c r="G810" s="50"/>
      <c r="H810" s="50"/>
    </row>
    <row r="811" spans="1:8">
      <c r="A811" s="48"/>
      <c r="B811" s="49"/>
      <c r="C811" s="50"/>
      <c r="D811" s="67"/>
      <c r="E811" s="50"/>
      <c r="F811" s="64"/>
      <c r="G811" s="50"/>
      <c r="H811" s="50"/>
    </row>
    <row r="812" spans="1:8">
      <c r="A812" s="48"/>
      <c r="B812" s="49"/>
      <c r="C812" s="50"/>
      <c r="D812" s="67"/>
      <c r="E812" s="50"/>
      <c r="F812" s="64"/>
      <c r="G812" s="50"/>
      <c r="H812" s="50"/>
    </row>
    <row r="813" spans="1:8">
      <c r="A813" s="48"/>
      <c r="B813" s="49"/>
      <c r="C813" s="50"/>
      <c r="D813" s="67"/>
      <c r="E813" s="50"/>
      <c r="F813" s="64"/>
      <c r="G813" s="50"/>
      <c r="H813" s="50"/>
    </row>
    <row r="814" spans="1:8">
      <c r="A814" s="48"/>
      <c r="B814" s="49"/>
      <c r="C814" s="50"/>
      <c r="D814" s="67"/>
      <c r="E814" s="50"/>
      <c r="F814" s="64"/>
      <c r="G814" s="50"/>
      <c r="H814" s="50"/>
    </row>
    <row r="815" spans="1:8">
      <c r="A815" s="48"/>
      <c r="B815" s="49"/>
      <c r="C815" s="50"/>
      <c r="D815" s="67"/>
      <c r="E815" s="50"/>
      <c r="F815" s="64"/>
      <c r="G815" s="50"/>
      <c r="H815" s="50"/>
    </row>
    <row r="816" spans="1:8">
      <c r="A816" s="48"/>
      <c r="B816" s="49"/>
      <c r="C816" s="50"/>
      <c r="D816" s="67"/>
      <c r="E816" s="50"/>
      <c r="F816" s="64"/>
      <c r="G816" s="50"/>
      <c r="H816" s="50"/>
    </row>
    <row r="817" spans="1:8">
      <c r="A817" s="48"/>
      <c r="B817" s="49"/>
      <c r="C817" s="50"/>
      <c r="D817" s="67"/>
      <c r="E817" s="50"/>
      <c r="F817" s="64"/>
      <c r="G817" s="50"/>
      <c r="H817" s="50"/>
    </row>
    <row r="818" spans="1:8">
      <c r="A818" s="48"/>
      <c r="B818" s="49"/>
      <c r="C818" s="50"/>
      <c r="D818" s="67"/>
      <c r="E818" s="50"/>
      <c r="F818" s="64"/>
      <c r="G818" s="50"/>
      <c r="H818" s="50"/>
    </row>
    <row r="819" spans="1:8">
      <c r="A819" s="48"/>
      <c r="B819" s="49"/>
      <c r="C819" s="50"/>
      <c r="D819" s="67"/>
      <c r="E819" s="50"/>
      <c r="F819" s="64"/>
      <c r="G819" s="50"/>
      <c r="H819" s="50"/>
    </row>
    <row r="820" spans="1:8">
      <c r="A820" s="48"/>
      <c r="B820" s="49"/>
      <c r="C820" s="50"/>
      <c r="D820" s="67"/>
      <c r="E820" s="50"/>
      <c r="F820" s="64"/>
      <c r="G820" s="50"/>
      <c r="H820" s="50"/>
    </row>
    <row r="821" spans="1:8">
      <c r="A821" s="48"/>
      <c r="B821" s="49"/>
      <c r="C821" s="50"/>
      <c r="D821" s="67"/>
      <c r="E821" s="50"/>
      <c r="F821" s="64"/>
      <c r="G821" s="50"/>
      <c r="H821" s="50"/>
    </row>
    <row r="822" spans="1:8">
      <c r="A822" s="48"/>
      <c r="B822" s="49"/>
      <c r="C822" s="50"/>
      <c r="D822" s="67"/>
      <c r="E822" s="50"/>
      <c r="F822" s="64"/>
      <c r="G822" s="50"/>
      <c r="H822" s="50"/>
    </row>
    <row r="823" spans="1:8">
      <c r="A823" s="48"/>
      <c r="B823" s="49"/>
      <c r="C823" s="50"/>
      <c r="D823" s="67"/>
      <c r="E823" s="50"/>
      <c r="F823" s="64"/>
      <c r="G823" s="50"/>
      <c r="H823" s="50"/>
    </row>
    <row r="824" spans="1:8">
      <c r="A824" s="48"/>
      <c r="B824" s="49"/>
      <c r="C824" s="50"/>
      <c r="D824" s="67"/>
      <c r="E824" s="50"/>
      <c r="F824" s="64"/>
      <c r="G824" s="50"/>
      <c r="H824" s="50"/>
    </row>
    <row r="825" spans="1:8">
      <c r="A825" s="48"/>
      <c r="B825" s="49"/>
      <c r="C825" s="50"/>
      <c r="D825" s="67"/>
      <c r="E825" s="50"/>
      <c r="F825" s="64"/>
      <c r="G825" s="50"/>
      <c r="H825" s="50"/>
    </row>
    <row r="826" spans="1:8">
      <c r="A826" s="48"/>
      <c r="B826" s="49"/>
      <c r="C826" s="50"/>
      <c r="D826" s="67"/>
      <c r="E826" s="50"/>
      <c r="F826" s="64"/>
      <c r="G826" s="50"/>
      <c r="H826" s="50"/>
    </row>
    <row r="827" spans="1:8">
      <c r="A827" s="48"/>
      <c r="B827" s="49"/>
      <c r="C827" s="50"/>
      <c r="D827" s="67"/>
      <c r="E827" s="50"/>
      <c r="F827" s="64"/>
      <c r="G827" s="50"/>
      <c r="H827" s="50"/>
    </row>
    <row r="828" spans="1:8">
      <c r="A828" s="48"/>
      <c r="B828" s="49"/>
      <c r="C828" s="50"/>
      <c r="D828" s="67"/>
      <c r="E828" s="50"/>
      <c r="F828" s="64"/>
      <c r="G828" s="50"/>
      <c r="H828" s="50"/>
    </row>
    <row r="829" spans="1:8">
      <c r="A829" s="48"/>
      <c r="B829" s="49"/>
      <c r="C829" s="50"/>
      <c r="D829" s="67"/>
      <c r="E829" s="50"/>
      <c r="F829" s="64"/>
      <c r="G829" s="50"/>
      <c r="H829" s="50"/>
    </row>
    <row r="830" spans="1:8">
      <c r="A830" s="48"/>
      <c r="B830" s="49"/>
      <c r="C830" s="50"/>
      <c r="D830" s="67"/>
      <c r="E830" s="50"/>
      <c r="F830" s="64"/>
      <c r="G830" s="50"/>
      <c r="H830" s="50"/>
    </row>
    <row r="831" spans="1:8">
      <c r="A831" s="48"/>
      <c r="B831" s="49"/>
      <c r="C831" s="50"/>
      <c r="D831" s="67"/>
      <c r="E831" s="50"/>
      <c r="F831" s="64"/>
      <c r="G831" s="50"/>
      <c r="H831" s="50"/>
    </row>
    <row r="832" spans="1:8">
      <c r="A832" s="48"/>
      <c r="B832" s="49"/>
      <c r="C832" s="50"/>
      <c r="D832" s="67"/>
      <c r="E832" s="50"/>
      <c r="F832" s="64"/>
      <c r="G832" s="50"/>
      <c r="H832" s="50"/>
    </row>
    <row r="833" spans="1:8">
      <c r="A833" s="48"/>
      <c r="B833" s="49"/>
      <c r="C833" s="50"/>
      <c r="D833" s="67"/>
      <c r="E833" s="50"/>
      <c r="F833" s="64"/>
      <c r="G833" s="50"/>
      <c r="H833" s="50"/>
    </row>
    <row r="834" spans="1:8">
      <c r="A834" s="48"/>
      <c r="B834" s="49"/>
      <c r="C834" s="50"/>
      <c r="D834" s="67"/>
      <c r="E834" s="50"/>
      <c r="F834" s="64"/>
      <c r="G834" s="50"/>
      <c r="H834" s="50"/>
    </row>
    <row r="835" spans="1:8">
      <c r="A835" s="48"/>
      <c r="B835" s="49"/>
      <c r="C835" s="50"/>
      <c r="D835" s="67"/>
      <c r="E835" s="50"/>
      <c r="F835" s="64"/>
      <c r="G835" s="50"/>
      <c r="H835" s="50"/>
    </row>
    <row r="836" spans="1:8">
      <c r="A836" s="48"/>
      <c r="B836" s="49"/>
      <c r="C836" s="50"/>
      <c r="D836" s="67"/>
      <c r="E836" s="50"/>
      <c r="F836" s="64"/>
      <c r="G836" s="50"/>
      <c r="H836" s="50"/>
    </row>
    <row r="837" spans="1:8">
      <c r="A837" s="48"/>
      <c r="B837" s="49"/>
      <c r="C837" s="50"/>
      <c r="D837" s="67"/>
      <c r="E837" s="50"/>
      <c r="F837" s="64"/>
      <c r="G837" s="50"/>
      <c r="H837" s="50"/>
    </row>
    <row r="838" spans="1:8">
      <c r="A838" s="48"/>
      <c r="B838" s="49"/>
      <c r="C838" s="50"/>
      <c r="D838" s="67"/>
      <c r="E838" s="50"/>
      <c r="F838" s="64"/>
      <c r="G838" s="50"/>
      <c r="H838" s="50"/>
    </row>
    <row r="839" spans="1:8">
      <c r="A839" s="48"/>
      <c r="B839" s="49"/>
      <c r="C839" s="50"/>
      <c r="D839" s="67"/>
      <c r="E839" s="50"/>
      <c r="F839" s="64"/>
      <c r="G839" s="50"/>
      <c r="H839" s="50"/>
    </row>
    <row r="840" spans="1:8">
      <c r="A840" s="48"/>
      <c r="B840" s="49"/>
      <c r="C840" s="50"/>
      <c r="D840" s="67"/>
      <c r="E840" s="50"/>
      <c r="F840" s="64"/>
      <c r="G840" s="50"/>
      <c r="H840" s="50"/>
    </row>
    <row r="841" spans="1:8">
      <c r="A841" s="48"/>
      <c r="B841" s="49"/>
      <c r="C841" s="50"/>
      <c r="D841" s="67"/>
      <c r="E841" s="50"/>
      <c r="F841" s="64"/>
      <c r="G841" s="50"/>
      <c r="H841" s="50"/>
    </row>
    <row r="842" spans="1:8">
      <c r="A842" s="48"/>
      <c r="B842" s="49"/>
      <c r="C842" s="50"/>
      <c r="D842" s="67"/>
      <c r="E842" s="50"/>
      <c r="F842" s="64"/>
      <c r="G842" s="50"/>
      <c r="H842" s="50"/>
    </row>
    <row r="843" spans="1:8">
      <c r="A843" s="48"/>
      <c r="B843" s="49"/>
      <c r="C843" s="50"/>
      <c r="D843" s="67"/>
      <c r="E843" s="50"/>
      <c r="F843" s="64"/>
      <c r="G843" s="50"/>
      <c r="H843" s="50"/>
    </row>
    <row r="844" spans="1:8">
      <c r="A844" s="48"/>
      <c r="B844" s="49"/>
      <c r="C844" s="50"/>
      <c r="D844" s="67"/>
      <c r="E844" s="50"/>
      <c r="F844" s="64"/>
      <c r="G844" s="50"/>
      <c r="H844" s="50"/>
    </row>
    <row r="845" spans="1:8">
      <c r="A845" s="48"/>
      <c r="B845" s="49"/>
      <c r="C845" s="50"/>
      <c r="D845" s="67"/>
      <c r="E845" s="50"/>
      <c r="F845" s="64"/>
      <c r="G845" s="50"/>
      <c r="H845" s="50"/>
    </row>
    <row r="846" spans="1:8">
      <c r="A846" s="48"/>
      <c r="B846" s="49"/>
      <c r="C846" s="50"/>
      <c r="D846" s="67"/>
      <c r="E846" s="50"/>
      <c r="F846" s="64"/>
      <c r="G846" s="50"/>
      <c r="H846" s="50"/>
    </row>
    <row r="847" spans="1:8">
      <c r="A847" s="48"/>
      <c r="B847" s="49"/>
      <c r="C847" s="50"/>
      <c r="D847" s="67"/>
      <c r="E847" s="50"/>
      <c r="F847" s="64"/>
      <c r="G847" s="50"/>
      <c r="H847" s="50"/>
    </row>
    <row r="848" spans="1:8">
      <c r="A848" s="48"/>
      <c r="B848" s="49"/>
      <c r="C848" s="50"/>
      <c r="D848" s="67"/>
      <c r="E848" s="50"/>
      <c r="F848" s="64"/>
      <c r="G848" s="50"/>
      <c r="H848" s="50"/>
    </row>
    <row r="849" spans="1:8">
      <c r="A849" s="48"/>
      <c r="B849" s="49"/>
      <c r="C849" s="50"/>
      <c r="D849" s="67"/>
      <c r="E849" s="50"/>
      <c r="F849" s="64"/>
      <c r="G849" s="50"/>
      <c r="H849" s="50"/>
    </row>
    <row r="850" spans="1:8">
      <c r="A850" s="48"/>
      <c r="B850" s="49"/>
      <c r="C850" s="50"/>
      <c r="D850" s="67"/>
      <c r="E850" s="50"/>
      <c r="F850" s="64"/>
      <c r="G850" s="50"/>
      <c r="H850" s="50"/>
    </row>
    <row r="851" spans="1:8">
      <c r="A851" s="48"/>
      <c r="B851" s="49"/>
      <c r="C851" s="50"/>
      <c r="D851" s="67"/>
      <c r="E851" s="50"/>
      <c r="F851" s="64"/>
      <c r="G851" s="50"/>
      <c r="H851" s="50"/>
    </row>
    <row r="852" spans="1:8">
      <c r="A852" s="48"/>
      <c r="B852" s="49"/>
      <c r="C852" s="50"/>
      <c r="D852" s="67"/>
      <c r="E852" s="50"/>
      <c r="F852" s="64"/>
      <c r="G852" s="50"/>
      <c r="H852" s="50"/>
    </row>
    <row r="853" spans="1:8">
      <c r="A853" s="48"/>
      <c r="B853" s="49"/>
      <c r="C853" s="50"/>
      <c r="D853" s="67"/>
      <c r="E853" s="50"/>
      <c r="F853" s="64"/>
      <c r="G853" s="50"/>
      <c r="H853" s="50"/>
    </row>
    <row r="854" spans="1:8">
      <c r="A854" s="48"/>
      <c r="B854" s="49"/>
      <c r="C854" s="50"/>
      <c r="D854" s="67"/>
      <c r="E854" s="50"/>
      <c r="F854" s="64"/>
      <c r="G854" s="50"/>
      <c r="H854" s="50"/>
    </row>
    <row r="855" spans="1:8">
      <c r="A855" s="48"/>
      <c r="B855" s="49"/>
      <c r="C855" s="50"/>
      <c r="D855" s="67"/>
      <c r="E855" s="50"/>
      <c r="F855" s="64"/>
      <c r="G855" s="50"/>
      <c r="H855" s="50"/>
    </row>
    <row r="856" spans="1:8">
      <c r="A856" s="48"/>
      <c r="B856" s="49"/>
      <c r="C856" s="50"/>
      <c r="D856" s="67"/>
      <c r="E856" s="50"/>
      <c r="F856" s="64"/>
      <c r="G856" s="50"/>
      <c r="H856" s="50"/>
    </row>
    <row r="857" spans="1:8">
      <c r="A857" s="48"/>
      <c r="B857" s="49"/>
      <c r="C857" s="50"/>
      <c r="D857" s="67"/>
      <c r="E857" s="50"/>
      <c r="F857" s="64"/>
      <c r="G857" s="50"/>
      <c r="H857" s="50"/>
    </row>
    <row r="858" spans="1:8">
      <c r="A858" s="48"/>
      <c r="B858" s="49"/>
      <c r="C858" s="50"/>
      <c r="D858" s="67"/>
      <c r="E858" s="50"/>
      <c r="F858" s="64"/>
      <c r="G858" s="50"/>
      <c r="H858" s="50"/>
    </row>
    <row r="859" spans="1:8">
      <c r="A859" s="48"/>
      <c r="B859" s="49"/>
      <c r="C859" s="50"/>
      <c r="D859" s="67"/>
      <c r="E859" s="50"/>
      <c r="F859" s="64"/>
      <c r="G859" s="50"/>
      <c r="H859" s="50"/>
    </row>
    <row r="860" spans="1:8">
      <c r="A860" s="48"/>
      <c r="B860" s="49"/>
      <c r="C860" s="50"/>
      <c r="D860" s="67"/>
      <c r="E860" s="50"/>
      <c r="F860" s="64"/>
      <c r="G860" s="50"/>
      <c r="H860" s="50"/>
    </row>
    <row r="861" spans="1:8">
      <c r="A861" s="48"/>
      <c r="B861" s="49"/>
      <c r="C861" s="50"/>
      <c r="D861" s="67"/>
      <c r="E861" s="50"/>
      <c r="F861" s="64"/>
      <c r="G861" s="50"/>
      <c r="H861" s="50"/>
    </row>
    <row r="862" spans="1:8">
      <c r="A862" s="48"/>
      <c r="B862" s="49"/>
      <c r="C862" s="50"/>
      <c r="D862" s="67"/>
      <c r="E862" s="50"/>
      <c r="F862" s="64"/>
      <c r="G862" s="50"/>
      <c r="H862" s="50"/>
    </row>
    <row r="863" spans="1:8">
      <c r="A863" s="48"/>
      <c r="B863" s="49"/>
      <c r="C863" s="50"/>
      <c r="D863" s="67"/>
      <c r="E863" s="50"/>
      <c r="F863" s="64"/>
      <c r="G863" s="50"/>
      <c r="H863" s="50"/>
    </row>
    <row r="864" spans="1:8">
      <c r="A864" s="48"/>
      <c r="B864" s="49"/>
      <c r="C864" s="50"/>
      <c r="D864" s="67"/>
      <c r="E864" s="50"/>
      <c r="F864" s="64"/>
      <c r="G864" s="50"/>
      <c r="H864" s="50"/>
    </row>
    <row r="865" spans="1:8">
      <c r="A865" s="48"/>
      <c r="B865" s="49"/>
      <c r="C865" s="50"/>
      <c r="D865" s="67"/>
      <c r="E865" s="50"/>
      <c r="F865" s="64"/>
      <c r="G865" s="50"/>
      <c r="H865" s="50"/>
    </row>
    <row r="866" spans="1:8">
      <c r="A866" s="48"/>
      <c r="B866" s="49"/>
      <c r="C866" s="50"/>
      <c r="D866" s="67"/>
      <c r="E866" s="50"/>
      <c r="F866" s="64"/>
      <c r="G866" s="50"/>
      <c r="H866" s="50"/>
    </row>
    <row r="867" spans="1:8">
      <c r="A867" s="48"/>
      <c r="B867" s="49"/>
      <c r="C867" s="50"/>
      <c r="D867" s="67"/>
      <c r="E867" s="50"/>
      <c r="F867" s="64"/>
      <c r="G867" s="50"/>
      <c r="H867" s="50"/>
    </row>
    <row r="868" spans="1:8">
      <c r="A868" s="48"/>
      <c r="B868" s="49"/>
      <c r="C868" s="50"/>
      <c r="D868" s="67"/>
      <c r="E868" s="50"/>
      <c r="F868" s="64"/>
      <c r="G868" s="50"/>
      <c r="H868" s="50"/>
    </row>
    <row r="869" spans="1:8">
      <c r="A869" s="48"/>
      <c r="B869" s="49"/>
      <c r="C869" s="50"/>
      <c r="D869" s="67"/>
      <c r="E869" s="50"/>
      <c r="F869" s="64"/>
      <c r="G869" s="50"/>
      <c r="H869" s="50"/>
    </row>
    <row r="870" spans="1:8">
      <c r="A870" s="48"/>
      <c r="B870" s="49"/>
      <c r="C870" s="50"/>
      <c r="D870" s="67"/>
      <c r="E870" s="50"/>
      <c r="F870" s="64"/>
      <c r="G870" s="50"/>
      <c r="H870" s="50"/>
    </row>
    <row r="871" spans="1:8">
      <c r="A871" s="48"/>
      <c r="B871" s="49"/>
      <c r="C871" s="50"/>
      <c r="D871" s="67"/>
      <c r="E871" s="50"/>
      <c r="F871" s="64"/>
      <c r="G871" s="50"/>
      <c r="H871" s="50"/>
    </row>
    <row r="872" spans="1:8">
      <c r="A872" s="48"/>
      <c r="B872" s="49"/>
      <c r="C872" s="50"/>
      <c r="D872" s="67"/>
      <c r="E872" s="50"/>
      <c r="F872" s="64"/>
      <c r="G872" s="50"/>
      <c r="H872" s="50"/>
    </row>
    <row r="873" spans="1:8">
      <c r="A873" s="48"/>
      <c r="B873" s="49"/>
      <c r="C873" s="50"/>
      <c r="D873" s="67"/>
      <c r="E873" s="50"/>
      <c r="F873" s="64"/>
      <c r="G873" s="50"/>
      <c r="H873" s="50"/>
    </row>
    <row r="874" spans="1:8">
      <c r="A874" s="48"/>
      <c r="B874" s="49"/>
      <c r="C874" s="50"/>
      <c r="D874" s="67"/>
      <c r="E874" s="50"/>
      <c r="F874" s="64"/>
      <c r="G874" s="50"/>
      <c r="H874" s="50"/>
    </row>
    <row r="875" spans="1:8">
      <c r="A875" s="48"/>
      <c r="B875" s="49"/>
      <c r="C875" s="50"/>
      <c r="D875" s="67"/>
      <c r="E875" s="50"/>
      <c r="F875" s="64"/>
      <c r="G875" s="50"/>
      <c r="H875" s="50"/>
    </row>
    <row r="876" spans="1:8">
      <c r="A876" s="48"/>
      <c r="B876" s="49"/>
      <c r="C876" s="50"/>
      <c r="D876" s="67"/>
      <c r="E876" s="50"/>
      <c r="F876" s="64"/>
      <c r="G876" s="50"/>
      <c r="H876" s="50"/>
    </row>
    <row r="877" spans="1:8">
      <c r="A877" s="48"/>
      <c r="B877" s="49"/>
      <c r="C877" s="50"/>
      <c r="D877" s="67"/>
      <c r="E877" s="50"/>
      <c r="F877" s="64"/>
      <c r="G877" s="50"/>
      <c r="H877" s="50"/>
    </row>
    <row r="878" spans="1:8">
      <c r="A878" s="48"/>
      <c r="B878" s="49"/>
      <c r="C878" s="50"/>
      <c r="D878" s="67"/>
      <c r="E878" s="50"/>
      <c r="F878" s="64"/>
      <c r="G878" s="50"/>
      <c r="H878" s="50"/>
    </row>
    <row r="879" spans="1:8">
      <c r="A879" s="48"/>
      <c r="B879" s="49"/>
      <c r="C879" s="50"/>
      <c r="D879" s="67"/>
      <c r="E879" s="50"/>
      <c r="F879" s="64"/>
      <c r="G879" s="50"/>
      <c r="H879" s="50"/>
    </row>
    <row r="880" spans="1:8">
      <c r="A880" s="48"/>
      <c r="B880" s="49"/>
      <c r="C880" s="50"/>
      <c r="D880" s="67"/>
      <c r="E880" s="50"/>
      <c r="F880" s="64"/>
      <c r="G880" s="50"/>
      <c r="H880" s="50"/>
    </row>
    <row r="881" spans="1:8">
      <c r="A881" s="48"/>
      <c r="B881" s="49"/>
      <c r="C881" s="50"/>
      <c r="D881" s="67"/>
      <c r="E881" s="50"/>
      <c r="F881" s="64"/>
      <c r="G881" s="50"/>
      <c r="H881" s="50"/>
    </row>
    <row r="882" spans="1:8">
      <c r="A882" s="48"/>
      <c r="B882" s="49"/>
      <c r="C882" s="50"/>
      <c r="D882" s="67"/>
      <c r="E882" s="50"/>
      <c r="F882" s="64"/>
      <c r="G882" s="50"/>
      <c r="H882" s="50"/>
    </row>
    <row r="883" spans="1:8">
      <c r="A883" s="48"/>
      <c r="B883" s="49"/>
      <c r="C883" s="50"/>
      <c r="D883" s="67"/>
      <c r="E883" s="50"/>
      <c r="F883" s="64"/>
      <c r="G883" s="50"/>
      <c r="H883" s="50"/>
    </row>
    <row r="884" spans="1:8">
      <c r="A884" s="48"/>
      <c r="B884" s="49"/>
      <c r="C884" s="50"/>
      <c r="D884" s="67"/>
      <c r="E884" s="50"/>
      <c r="F884" s="64"/>
      <c r="G884" s="50"/>
      <c r="H884" s="50"/>
    </row>
    <row r="885" spans="1:8">
      <c r="A885" s="48"/>
      <c r="B885" s="49"/>
      <c r="C885" s="50"/>
      <c r="D885" s="67"/>
      <c r="E885" s="50"/>
      <c r="F885" s="64"/>
      <c r="G885" s="50"/>
      <c r="H885" s="50"/>
    </row>
    <row r="886" spans="1:8">
      <c r="A886" s="48"/>
      <c r="B886" s="49"/>
      <c r="C886" s="50"/>
      <c r="D886" s="67"/>
      <c r="E886" s="50"/>
      <c r="F886" s="64"/>
      <c r="G886" s="50"/>
      <c r="H886" s="50"/>
    </row>
    <row r="887" spans="1:8">
      <c r="A887" s="48"/>
      <c r="B887" s="49"/>
      <c r="C887" s="50"/>
      <c r="D887" s="67"/>
      <c r="E887" s="50"/>
      <c r="F887" s="64"/>
      <c r="G887" s="50"/>
      <c r="H887" s="50"/>
    </row>
    <row r="888" spans="1:8">
      <c r="A888" s="48"/>
      <c r="B888" s="49"/>
      <c r="C888" s="50"/>
      <c r="D888" s="67"/>
      <c r="E888" s="50"/>
      <c r="F888" s="64"/>
      <c r="G888" s="50"/>
      <c r="H888" s="50"/>
    </row>
    <row r="889" spans="1:8">
      <c r="A889" s="48"/>
      <c r="B889" s="49"/>
      <c r="C889" s="50"/>
      <c r="D889" s="67"/>
      <c r="E889" s="50"/>
      <c r="F889" s="64"/>
      <c r="G889" s="50"/>
      <c r="H889" s="50"/>
    </row>
    <row r="890" spans="1:8">
      <c r="A890" s="48"/>
      <c r="B890" s="49"/>
      <c r="C890" s="50"/>
      <c r="D890" s="67"/>
      <c r="E890" s="50"/>
      <c r="F890" s="64"/>
      <c r="G890" s="50"/>
      <c r="H890" s="50"/>
    </row>
    <row r="891" spans="1:8">
      <c r="A891" s="48"/>
      <c r="B891" s="49"/>
      <c r="C891" s="50"/>
      <c r="D891" s="67"/>
      <c r="E891" s="50"/>
      <c r="F891" s="64"/>
      <c r="G891" s="50"/>
      <c r="H891" s="50"/>
    </row>
    <row r="892" spans="1:8">
      <c r="A892" s="48"/>
      <c r="B892" s="49"/>
      <c r="C892" s="50"/>
      <c r="D892" s="67"/>
      <c r="E892" s="50"/>
      <c r="F892" s="64"/>
      <c r="G892" s="50"/>
      <c r="H892" s="50"/>
    </row>
    <row r="893" spans="1:8">
      <c r="A893" s="48"/>
      <c r="B893" s="49"/>
      <c r="C893" s="50"/>
      <c r="D893" s="67"/>
      <c r="E893" s="50"/>
      <c r="F893" s="64"/>
      <c r="G893" s="50"/>
      <c r="H893" s="50"/>
    </row>
    <row r="894" spans="1:8">
      <c r="A894" s="48"/>
      <c r="B894" s="49"/>
      <c r="C894" s="50"/>
      <c r="D894" s="67"/>
      <c r="E894" s="50"/>
      <c r="F894" s="64"/>
      <c r="G894" s="50"/>
      <c r="H894" s="50"/>
    </row>
    <row r="895" spans="1:8">
      <c r="A895" s="48"/>
      <c r="B895" s="49"/>
      <c r="C895" s="50"/>
      <c r="D895" s="67"/>
      <c r="E895" s="50"/>
      <c r="F895" s="64"/>
      <c r="G895" s="50"/>
      <c r="H895" s="50"/>
    </row>
    <row r="896" spans="1:8">
      <c r="A896" s="48"/>
      <c r="B896" s="49"/>
      <c r="C896" s="50"/>
      <c r="D896" s="67"/>
      <c r="E896" s="50"/>
      <c r="F896" s="64"/>
      <c r="G896" s="50"/>
      <c r="H896" s="50"/>
    </row>
    <row r="897" spans="1:8">
      <c r="A897" s="48"/>
      <c r="B897" s="49"/>
      <c r="C897" s="50"/>
      <c r="D897" s="67"/>
      <c r="E897" s="50"/>
      <c r="F897" s="64"/>
      <c r="G897" s="50"/>
      <c r="H897" s="50"/>
    </row>
    <row r="898" spans="1:8">
      <c r="A898" s="48"/>
      <c r="B898" s="49"/>
      <c r="C898" s="50"/>
      <c r="D898" s="67"/>
      <c r="E898" s="50"/>
      <c r="F898" s="64"/>
      <c r="G898" s="50"/>
      <c r="H898" s="50"/>
    </row>
    <row r="899" spans="1:8">
      <c r="A899" s="48"/>
      <c r="B899" s="49"/>
      <c r="C899" s="50"/>
      <c r="D899" s="67"/>
      <c r="E899" s="50"/>
      <c r="F899" s="64"/>
      <c r="G899" s="50"/>
      <c r="H899" s="50"/>
    </row>
    <row r="900" spans="1:8">
      <c r="A900" s="48"/>
      <c r="B900" s="49"/>
      <c r="C900" s="50"/>
      <c r="D900" s="67"/>
      <c r="E900" s="50"/>
      <c r="F900" s="64"/>
      <c r="G900" s="50"/>
      <c r="H900" s="50"/>
    </row>
    <row r="901" spans="1:8">
      <c r="A901" s="48"/>
      <c r="B901" s="49"/>
      <c r="C901" s="50"/>
      <c r="D901" s="67"/>
      <c r="E901" s="50"/>
      <c r="F901" s="64"/>
      <c r="G901" s="50"/>
      <c r="H901" s="50"/>
    </row>
    <row r="902" spans="1:8">
      <c r="A902" s="48"/>
      <c r="B902" s="49"/>
      <c r="C902" s="50"/>
      <c r="D902" s="67"/>
      <c r="E902" s="50"/>
      <c r="F902" s="64"/>
      <c r="G902" s="50"/>
      <c r="H902" s="50"/>
    </row>
    <row r="903" spans="1:8">
      <c r="A903" s="48"/>
      <c r="B903" s="49"/>
      <c r="C903" s="50"/>
      <c r="D903" s="67"/>
      <c r="E903" s="50"/>
      <c r="F903" s="64"/>
      <c r="G903" s="50"/>
      <c r="H903" s="50"/>
    </row>
    <row r="904" spans="1:8">
      <c r="A904" s="48"/>
      <c r="B904" s="49"/>
      <c r="C904" s="50"/>
      <c r="D904" s="67"/>
      <c r="E904" s="50"/>
      <c r="F904" s="64"/>
      <c r="G904" s="50"/>
      <c r="H904" s="50"/>
    </row>
    <row r="905" spans="1:8">
      <c r="A905" s="48"/>
      <c r="B905" s="49"/>
      <c r="C905" s="50"/>
      <c r="D905" s="67"/>
      <c r="E905" s="50"/>
      <c r="F905" s="64"/>
      <c r="G905" s="50"/>
      <c r="H905" s="50"/>
    </row>
    <row r="906" spans="1:8">
      <c r="A906" s="48"/>
      <c r="B906" s="49"/>
      <c r="C906" s="50"/>
      <c r="D906" s="67"/>
      <c r="E906" s="50"/>
      <c r="F906" s="64"/>
      <c r="G906" s="50"/>
      <c r="H906" s="50"/>
    </row>
    <row r="907" spans="1:8">
      <c r="A907" s="48"/>
      <c r="B907" s="49"/>
      <c r="C907" s="50"/>
      <c r="D907" s="67"/>
      <c r="E907" s="50"/>
      <c r="F907" s="64"/>
      <c r="G907" s="50"/>
      <c r="H907" s="50"/>
    </row>
    <row r="908" spans="1:8">
      <c r="A908" s="48"/>
      <c r="B908" s="49"/>
      <c r="C908" s="50"/>
      <c r="D908" s="67"/>
      <c r="E908" s="50"/>
      <c r="F908" s="64"/>
      <c r="G908" s="50"/>
      <c r="H908" s="50"/>
    </row>
    <row r="909" spans="1:8">
      <c r="A909" s="48"/>
      <c r="B909" s="49"/>
      <c r="C909" s="50"/>
      <c r="D909" s="67"/>
      <c r="E909" s="50"/>
      <c r="F909" s="64"/>
      <c r="G909" s="50"/>
      <c r="H909" s="50"/>
    </row>
    <row r="910" spans="1:8">
      <c r="A910" s="48"/>
      <c r="B910" s="49"/>
      <c r="C910" s="50"/>
      <c r="D910" s="67"/>
      <c r="E910" s="50"/>
      <c r="F910" s="64"/>
      <c r="G910" s="50"/>
      <c r="H910" s="50"/>
    </row>
    <row r="911" spans="1:8">
      <c r="A911" s="48"/>
      <c r="B911" s="49"/>
      <c r="C911" s="50"/>
      <c r="D911" s="67"/>
      <c r="E911" s="50"/>
      <c r="F911" s="64"/>
      <c r="G911" s="50"/>
      <c r="H911" s="50"/>
    </row>
    <row r="912" spans="1:8">
      <c r="A912" s="48"/>
      <c r="B912" s="49"/>
      <c r="C912" s="50"/>
      <c r="D912" s="67"/>
      <c r="E912" s="50"/>
      <c r="F912" s="64"/>
      <c r="G912" s="50"/>
      <c r="H912" s="50"/>
    </row>
    <row r="913" spans="1:8">
      <c r="A913" s="48"/>
      <c r="B913" s="49"/>
      <c r="C913" s="50"/>
      <c r="D913" s="67"/>
      <c r="E913" s="50"/>
      <c r="F913" s="64"/>
      <c r="G913" s="50"/>
      <c r="H913" s="50"/>
    </row>
    <row r="914" spans="1:8">
      <c r="A914" s="48"/>
      <c r="B914" s="49"/>
      <c r="C914" s="50"/>
      <c r="D914" s="67"/>
      <c r="E914" s="50"/>
      <c r="F914" s="64"/>
      <c r="G914" s="50"/>
      <c r="H914" s="50"/>
    </row>
    <row r="915" spans="1:8">
      <c r="A915" s="48"/>
      <c r="B915" s="49"/>
      <c r="C915" s="50"/>
      <c r="D915" s="67"/>
      <c r="E915" s="50"/>
      <c r="F915" s="64"/>
      <c r="G915" s="50"/>
      <c r="H915" s="50"/>
    </row>
    <row r="916" spans="1:8">
      <c r="A916" s="48"/>
      <c r="B916" s="49"/>
      <c r="C916" s="50"/>
      <c r="D916" s="67"/>
      <c r="E916" s="50"/>
      <c r="F916" s="64"/>
      <c r="G916" s="50"/>
      <c r="H916" s="50"/>
    </row>
    <row r="917" spans="1:8">
      <c r="A917" s="48"/>
      <c r="B917" s="49"/>
      <c r="C917" s="50"/>
      <c r="D917" s="67"/>
      <c r="E917" s="50"/>
      <c r="F917" s="64"/>
      <c r="G917" s="50"/>
      <c r="H917" s="50"/>
    </row>
    <row r="918" spans="1:8">
      <c r="A918" s="48"/>
      <c r="B918" s="49"/>
      <c r="C918" s="50"/>
      <c r="D918" s="67"/>
      <c r="E918" s="50"/>
      <c r="F918" s="64"/>
      <c r="G918" s="50"/>
      <c r="H918" s="50"/>
    </row>
    <row r="919" spans="1:8">
      <c r="A919" s="48"/>
      <c r="B919" s="49"/>
      <c r="C919" s="50"/>
      <c r="D919" s="67"/>
      <c r="E919" s="50"/>
      <c r="F919" s="64"/>
      <c r="G919" s="50"/>
      <c r="H919" s="50"/>
    </row>
    <row r="920" spans="1:8">
      <c r="A920" s="48"/>
      <c r="B920" s="49"/>
      <c r="C920" s="50"/>
      <c r="D920" s="67"/>
      <c r="E920" s="50"/>
      <c r="F920" s="64"/>
      <c r="G920" s="50"/>
      <c r="H920" s="50"/>
    </row>
    <row r="921" spans="1:8">
      <c r="A921" s="48"/>
      <c r="B921" s="49"/>
      <c r="C921" s="50"/>
      <c r="D921" s="67"/>
      <c r="E921" s="50"/>
      <c r="F921" s="64"/>
      <c r="G921" s="50"/>
      <c r="H921" s="50"/>
    </row>
    <row r="922" spans="1:8">
      <c r="A922" s="48"/>
      <c r="B922" s="49"/>
      <c r="C922" s="50"/>
      <c r="D922" s="67"/>
      <c r="E922" s="50"/>
      <c r="F922" s="64"/>
      <c r="G922" s="50"/>
      <c r="H922" s="50"/>
    </row>
    <row r="923" spans="1:8">
      <c r="A923" s="48"/>
      <c r="B923" s="49"/>
      <c r="C923" s="50"/>
      <c r="D923" s="67"/>
      <c r="E923" s="50"/>
      <c r="F923" s="64"/>
      <c r="G923" s="50"/>
      <c r="H923" s="50"/>
    </row>
    <row r="924" spans="1:8">
      <c r="A924" s="48"/>
      <c r="B924" s="49"/>
      <c r="C924" s="50"/>
      <c r="D924" s="67"/>
      <c r="E924" s="50"/>
      <c r="F924" s="64"/>
      <c r="G924" s="50"/>
      <c r="H924" s="50"/>
    </row>
    <row r="925" spans="1:8">
      <c r="A925" s="48"/>
      <c r="B925" s="49"/>
      <c r="C925" s="50"/>
      <c r="D925" s="67"/>
      <c r="E925" s="50"/>
      <c r="F925" s="64"/>
      <c r="G925" s="50"/>
      <c r="H925" s="50"/>
    </row>
    <row r="926" spans="1:8">
      <c r="A926" s="48"/>
      <c r="B926" s="49"/>
      <c r="C926" s="50"/>
      <c r="D926" s="67"/>
      <c r="E926" s="50"/>
      <c r="F926" s="64"/>
      <c r="G926" s="50"/>
      <c r="H926" s="50"/>
    </row>
    <row r="927" spans="1:8">
      <c r="A927" s="48"/>
      <c r="B927" s="49"/>
      <c r="C927" s="50"/>
      <c r="D927" s="67"/>
      <c r="E927" s="50"/>
      <c r="F927" s="64"/>
      <c r="G927" s="50"/>
      <c r="H927" s="50"/>
    </row>
    <row r="928" spans="1:8">
      <c r="A928" s="48"/>
      <c r="B928" s="49"/>
      <c r="C928" s="50"/>
      <c r="D928" s="67"/>
      <c r="E928" s="50"/>
      <c r="F928" s="64"/>
      <c r="G928" s="50"/>
      <c r="H928" s="50"/>
    </row>
    <row r="929" spans="1:8">
      <c r="A929" s="48"/>
      <c r="B929" s="49"/>
      <c r="C929" s="50"/>
      <c r="D929" s="67"/>
      <c r="E929" s="50"/>
      <c r="F929" s="64"/>
      <c r="G929" s="50"/>
      <c r="H929" s="50"/>
    </row>
    <row r="930" spans="1:8">
      <c r="A930" s="48"/>
      <c r="B930" s="49"/>
      <c r="C930" s="50"/>
      <c r="D930" s="67"/>
      <c r="E930" s="50"/>
      <c r="F930" s="64"/>
      <c r="G930" s="50"/>
      <c r="H930" s="50"/>
    </row>
    <row r="931" spans="1:8">
      <c r="A931" s="48"/>
      <c r="B931" s="49"/>
      <c r="C931" s="50"/>
      <c r="D931" s="67"/>
      <c r="E931" s="50"/>
      <c r="F931" s="64"/>
      <c r="G931" s="50"/>
      <c r="H931" s="50"/>
    </row>
    <row r="932" spans="1:8">
      <c r="A932" s="48"/>
      <c r="B932" s="49"/>
      <c r="C932" s="50"/>
      <c r="D932" s="67"/>
      <c r="E932" s="50"/>
      <c r="F932" s="64"/>
      <c r="G932" s="50"/>
      <c r="H932" s="50"/>
    </row>
    <row r="933" spans="1:8">
      <c r="A933" s="48"/>
      <c r="B933" s="49"/>
      <c r="C933" s="50"/>
      <c r="D933" s="67"/>
      <c r="E933" s="50"/>
      <c r="F933" s="64"/>
      <c r="G933" s="50"/>
      <c r="H933" s="50"/>
    </row>
    <row r="934" spans="1:8">
      <c r="A934" s="48"/>
      <c r="B934" s="49"/>
      <c r="C934" s="50"/>
      <c r="D934" s="67"/>
      <c r="E934" s="50"/>
      <c r="F934" s="64"/>
      <c r="G934" s="50"/>
      <c r="H934" s="50"/>
    </row>
    <row r="935" spans="1:8">
      <c r="A935" s="48"/>
      <c r="B935" s="49"/>
      <c r="C935" s="50"/>
      <c r="D935" s="67"/>
      <c r="E935" s="50"/>
      <c r="F935" s="64"/>
      <c r="G935" s="50"/>
      <c r="H935" s="50"/>
    </row>
    <row r="936" spans="1:8">
      <c r="A936" s="48"/>
      <c r="B936" s="49"/>
      <c r="C936" s="50"/>
      <c r="D936" s="67"/>
      <c r="E936" s="50"/>
      <c r="F936" s="64"/>
      <c r="G936" s="50"/>
      <c r="H936" s="50"/>
    </row>
    <row r="937" spans="1:8">
      <c r="A937" s="48"/>
      <c r="B937" s="49"/>
      <c r="C937" s="50"/>
      <c r="D937" s="67"/>
      <c r="E937" s="50"/>
      <c r="F937" s="64"/>
      <c r="G937" s="50"/>
      <c r="H937" s="50"/>
    </row>
    <row r="938" spans="1:8">
      <c r="A938" s="48"/>
      <c r="B938" s="49"/>
      <c r="C938" s="50"/>
      <c r="D938" s="67"/>
      <c r="E938" s="50"/>
      <c r="F938" s="64"/>
      <c r="G938" s="50"/>
      <c r="H938" s="50"/>
    </row>
    <row r="939" spans="1:8">
      <c r="A939" s="48"/>
      <c r="B939" s="49"/>
      <c r="C939" s="50"/>
      <c r="D939" s="67"/>
      <c r="E939" s="50"/>
      <c r="F939" s="64"/>
      <c r="G939" s="50"/>
      <c r="H939" s="50"/>
    </row>
    <row r="940" spans="1:8">
      <c r="A940" s="48"/>
      <c r="B940" s="49"/>
      <c r="C940" s="50"/>
      <c r="D940" s="67"/>
      <c r="E940" s="50"/>
      <c r="F940" s="64"/>
      <c r="G940" s="50"/>
      <c r="H940" s="50"/>
    </row>
    <row r="941" spans="1:8">
      <c r="A941" s="48"/>
      <c r="B941" s="49"/>
      <c r="C941" s="50"/>
      <c r="D941" s="67"/>
      <c r="E941" s="50"/>
      <c r="F941" s="64"/>
      <c r="G941" s="50"/>
      <c r="H941" s="50"/>
    </row>
    <row r="942" spans="1:8">
      <c r="A942" s="48"/>
      <c r="B942" s="49"/>
      <c r="C942" s="50"/>
      <c r="D942" s="67"/>
      <c r="E942" s="50"/>
      <c r="F942" s="64"/>
      <c r="G942" s="50"/>
      <c r="H942" s="50"/>
    </row>
    <row r="943" spans="1:8">
      <c r="A943" s="48"/>
      <c r="B943" s="49"/>
      <c r="C943" s="50"/>
      <c r="D943" s="67"/>
      <c r="E943" s="50"/>
      <c r="F943" s="64"/>
      <c r="G943" s="50"/>
      <c r="H943" s="50"/>
    </row>
    <row r="944" spans="1:8">
      <c r="A944" s="48"/>
      <c r="B944" s="49"/>
      <c r="C944" s="50"/>
      <c r="D944" s="67"/>
      <c r="E944" s="50"/>
      <c r="F944" s="64"/>
      <c r="G944" s="50"/>
      <c r="H944" s="50"/>
    </row>
    <row r="945" spans="1:8">
      <c r="A945" s="48"/>
      <c r="B945" s="49"/>
      <c r="C945" s="50"/>
      <c r="D945" s="67"/>
      <c r="E945" s="50"/>
      <c r="F945" s="64"/>
      <c r="G945" s="50"/>
      <c r="H945" s="50"/>
    </row>
    <row r="946" spans="1:8">
      <c r="A946" s="48"/>
      <c r="B946" s="49"/>
      <c r="C946" s="50"/>
      <c r="D946" s="67"/>
      <c r="E946" s="50"/>
      <c r="F946" s="64"/>
      <c r="G946" s="50"/>
      <c r="H946" s="50"/>
    </row>
    <row r="947" spans="1:8">
      <c r="A947" s="48"/>
      <c r="B947" s="49"/>
      <c r="C947" s="50"/>
      <c r="D947" s="67"/>
      <c r="E947" s="50"/>
      <c r="F947" s="64"/>
      <c r="G947" s="50"/>
      <c r="H947" s="50"/>
    </row>
    <row r="948" spans="1:8">
      <c r="A948" s="48"/>
      <c r="B948" s="49"/>
      <c r="C948" s="50"/>
      <c r="D948" s="67"/>
      <c r="E948" s="50"/>
      <c r="F948" s="64"/>
      <c r="G948" s="50"/>
      <c r="H948" s="50"/>
    </row>
    <row r="949" spans="1:8">
      <c r="A949" s="48"/>
      <c r="B949" s="49"/>
      <c r="C949" s="50"/>
      <c r="D949" s="67"/>
      <c r="E949" s="50"/>
      <c r="F949" s="64"/>
      <c r="G949" s="50"/>
      <c r="H949" s="50"/>
    </row>
    <row r="950" spans="1:8">
      <c r="A950" s="48"/>
      <c r="B950" s="49"/>
      <c r="C950" s="50"/>
      <c r="D950" s="67"/>
      <c r="E950" s="50"/>
      <c r="F950" s="64"/>
      <c r="G950" s="50"/>
      <c r="H950" s="50"/>
    </row>
    <row r="951" spans="1:8">
      <c r="A951" s="48"/>
      <c r="B951" s="49"/>
      <c r="C951" s="50"/>
      <c r="D951" s="67"/>
      <c r="E951" s="50"/>
      <c r="F951" s="64"/>
      <c r="G951" s="50"/>
      <c r="H951" s="50"/>
    </row>
    <row r="952" spans="1:8">
      <c r="A952" s="48"/>
      <c r="B952" s="49"/>
      <c r="C952" s="50"/>
      <c r="D952" s="67"/>
      <c r="E952" s="50"/>
      <c r="F952" s="64"/>
      <c r="G952" s="50"/>
      <c r="H952" s="50"/>
    </row>
    <row r="953" spans="1:8">
      <c r="A953" s="48"/>
      <c r="B953" s="49"/>
      <c r="C953" s="50"/>
      <c r="D953" s="67"/>
      <c r="E953" s="50"/>
      <c r="F953" s="64"/>
      <c r="G953" s="50"/>
      <c r="H953" s="50"/>
    </row>
    <row r="954" spans="1:8">
      <c r="A954" s="48"/>
      <c r="B954" s="49"/>
      <c r="C954" s="50"/>
      <c r="D954" s="67"/>
      <c r="E954" s="50"/>
      <c r="F954" s="64"/>
      <c r="G954" s="50"/>
      <c r="H954" s="50"/>
    </row>
    <row r="955" spans="1:8">
      <c r="A955" s="48"/>
      <c r="B955" s="49"/>
      <c r="C955" s="50"/>
      <c r="D955" s="67"/>
      <c r="E955" s="50"/>
      <c r="F955" s="64"/>
      <c r="G955" s="50"/>
      <c r="H955" s="50"/>
    </row>
    <row r="956" spans="1:8">
      <c r="A956" s="48"/>
      <c r="B956" s="49"/>
      <c r="C956" s="50"/>
      <c r="D956" s="67"/>
      <c r="E956" s="50"/>
      <c r="F956" s="64"/>
      <c r="G956" s="50"/>
      <c r="H956" s="50"/>
    </row>
    <row r="957" spans="1:8">
      <c r="A957" s="48"/>
      <c r="B957" s="49"/>
      <c r="C957" s="50"/>
      <c r="D957" s="67"/>
      <c r="E957" s="50"/>
      <c r="F957" s="64"/>
      <c r="G957" s="50"/>
      <c r="H957" s="50"/>
    </row>
    <row r="958" spans="1:8">
      <c r="A958" s="48"/>
      <c r="B958" s="49"/>
      <c r="C958" s="50"/>
      <c r="D958" s="67"/>
      <c r="E958" s="50"/>
      <c r="F958" s="64"/>
      <c r="G958" s="50"/>
      <c r="H958" s="50"/>
    </row>
    <row r="959" spans="1:8">
      <c r="A959" s="48"/>
      <c r="B959" s="49"/>
      <c r="C959" s="50"/>
      <c r="D959" s="67"/>
      <c r="E959" s="50"/>
      <c r="F959" s="64"/>
      <c r="G959" s="50"/>
      <c r="H959" s="50"/>
    </row>
    <row r="960" spans="1:8">
      <c r="A960" s="48"/>
      <c r="B960" s="49"/>
      <c r="C960" s="50"/>
      <c r="D960" s="67"/>
      <c r="E960" s="50"/>
      <c r="F960" s="64"/>
      <c r="G960" s="50"/>
      <c r="H960" s="50"/>
    </row>
    <row r="961" spans="1:8">
      <c r="A961" s="48"/>
      <c r="B961" s="49"/>
      <c r="C961" s="50"/>
      <c r="D961" s="67"/>
      <c r="E961" s="50"/>
      <c r="F961" s="64"/>
      <c r="G961" s="50"/>
      <c r="H961" s="50"/>
    </row>
    <row r="962" spans="1:8">
      <c r="A962" s="48"/>
      <c r="B962" s="49"/>
      <c r="C962" s="50"/>
      <c r="D962" s="67"/>
      <c r="E962" s="50"/>
      <c r="F962" s="64"/>
      <c r="G962" s="50"/>
      <c r="H962" s="50"/>
    </row>
    <row r="963" spans="1:8">
      <c r="A963" s="48"/>
      <c r="B963" s="49"/>
      <c r="C963" s="50"/>
      <c r="D963" s="67"/>
      <c r="E963" s="50"/>
      <c r="F963" s="64"/>
      <c r="G963" s="50"/>
      <c r="H963" s="50"/>
    </row>
    <row r="964" spans="1:8">
      <c r="A964" s="48"/>
      <c r="B964" s="49"/>
      <c r="C964" s="50"/>
      <c r="D964" s="67"/>
      <c r="E964" s="50"/>
      <c r="F964" s="64"/>
      <c r="G964" s="50"/>
      <c r="H964" s="50"/>
    </row>
    <row r="965" spans="1:8">
      <c r="A965" s="48"/>
      <c r="B965" s="49"/>
      <c r="C965" s="50"/>
      <c r="D965" s="67"/>
      <c r="E965" s="50"/>
      <c r="F965" s="64"/>
      <c r="G965" s="50"/>
      <c r="H965" s="50"/>
    </row>
    <row r="966" spans="1:8">
      <c r="A966" s="48"/>
      <c r="B966" s="49"/>
      <c r="C966" s="50"/>
      <c r="D966" s="67"/>
      <c r="E966" s="50"/>
      <c r="F966" s="64"/>
      <c r="G966" s="50"/>
      <c r="H966" s="50"/>
    </row>
    <row r="967" spans="1:8">
      <c r="A967" s="48"/>
      <c r="B967" s="49"/>
      <c r="C967" s="50"/>
      <c r="D967" s="67"/>
      <c r="E967" s="50"/>
      <c r="F967" s="64"/>
      <c r="G967" s="50"/>
      <c r="H967" s="50"/>
    </row>
    <row r="968" spans="1:8">
      <c r="A968" s="48"/>
      <c r="B968" s="49"/>
      <c r="C968" s="50"/>
      <c r="D968" s="67"/>
      <c r="E968" s="50"/>
      <c r="F968" s="64"/>
      <c r="G968" s="50"/>
      <c r="H968" s="50"/>
    </row>
    <row r="969" spans="1:8">
      <c r="A969" s="48"/>
      <c r="B969" s="49"/>
      <c r="C969" s="50"/>
      <c r="D969" s="67"/>
      <c r="E969" s="50"/>
      <c r="F969" s="64"/>
      <c r="G969" s="50"/>
      <c r="H969" s="50"/>
    </row>
    <row r="970" spans="1:8">
      <c r="A970" s="48"/>
      <c r="B970" s="49"/>
      <c r="C970" s="50"/>
      <c r="D970" s="67"/>
      <c r="E970" s="50"/>
      <c r="F970" s="64"/>
      <c r="G970" s="50"/>
      <c r="H970" s="50"/>
    </row>
    <row r="971" spans="1:8">
      <c r="A971" s="48"/>
      <c r="B971" s="49"/>
      <c r="C971" s="50"/>
      <c r="D971" s="67"/>
      <c r="E971" s="50"/>
      <c r="F971" s="64"/>
      <c r="G971" s="50"/>
      <c r="H971" s="50"/>
    </row>
    <row r="972" spans="1:8">
      <c r="A972" s="48"/>
      <c r="B972" s="49"/>
      <c r="C972" s="50"/>
      <c r="D972" s="67"/>
      <c r="E972" s="50"/>
      <c r="F972" s="64"/>
      <c r="G972" s="50"/>
      <c r="H972" s="50"/>
    </row>
    <row r="973" spans="1:8">
      <c r="A973" s="48"/>
      <c r="B973" s="49"/>
      <c r="C973" s="50"/>
      <c r="D973" s="67"/>
      <c r="E973" s="50"/>
      <c r="F973" s="64"/>
      <c r="G973" s="50"/>
      <c r="H973" s="50"/>
    </row>
    <row r="974" spans="1:8">
      <c r="A974" s="48"/>
      <c r="B974" s="49"/>
      <c r="C974" s="50"/>
      <c r="D974" s="67"/>
      <c r="E974" s="50"/>
      <c r="F974" s="64"/>
      <c r="G974" s="50"/>
      <c r="H974" s="50"/>
    </row>
    <row r="975" spans="1:8">
      <c r="A975" s="48"/>
      <c r="B975" s="49"/>
      <c r="C975" s="50"/>
      <c r="D975" s="67"/>
      <c r="E975" s="50"/>
      <c r="F975" s="64"/>
      <c r="G975" s="50"/>
      <c r="H975" s="50"/>
    </row>
    <row r="976" spans="1:8">
      <c r="A976" s="48"/>
      <c r="B976" s="49"/>
      <c r="C976" s="50"/>
      <c r="D976" s="67"/>
      <c r="E976" s="50"/>
      <c r="F976" s="64"/>
      <c r="G976" s="50"/>
      <c r="H976" s="50"/>
    </row>
    <row r="977" spans="1:8">
      <c r="A977" s="48"/>
      <c r="B977" s="49"/>
      <c r="C977" s="50"/>
      <c r="D977" s="67"/>
      <c r="E977" s="50"/>
      <c r="F977" s="64"/>
      <c r="G977" s="50"/>
      <c r="H977" s="50"/>
    </row>
    <row r="978" spans="1:8">
      <c r="A978" s="48"/>
      <c r="B978" s="49"/>
      <c r="C978" s="50"/>
      <c r="D978" s="67"/>
      <c r="E978" s="50"/>
      <c r="F978" s="64"/>
      <c r="G978" s="50"/>
      <c r="H978" s="50"/>
    </row>
    <row r="979" spans="1:8">
      <c r="A979" s="48"/>
      <c r="B979" s="49"/>
      <c r="C979" s="50"/>
      <c r="D979" s="67"/>
      <c r="E979" s="50"/>
      <c r="F979" s="64"/>
      <c r="G979" s="50"/>
      <c r="H979" s="50"/>
    </row>
    <row r="980" spans="1:8">
      <c r="A980" s="48"/>
      <c r="B980" s="49"/>
      <c r="C980" s="50"/>
      <c r="D980" s="67"/>
      <c r="E980" s="50"/>
      <c r="F980" s="64"/>
      <c r="G980" s="50"/>
      <c r="H980" s="50"/>
    </row>
    <row r="981" spans="1:8">
      <c r="A981" s="48"/>
      <c r="B981" s="49"/>
      <c r="C981" s="50"/>
      <c r="D981" s="67"/>
      <c r="E981" s="50"/>
      <c r="F981" s="64"/>
      <c r="G981" s="50"/>
      <c r="H981" s="50"/>
    </row>
    <row r="982" spans="1:8">
      <c r="A982" s="48"/>
      <c r="B982" s="49"/>
      <c r="C982" s="50"/>
      <c r="D982" s="67"/>
      <c r="E982" s="50"/>
      <c r="F982" s="64"/>
      <c r="G982" s="50"/>
      <c r="H982" s="50"/>
    </row>
    <row r="983" spans="1:8">
      <c r="A983" s="48"/>
      <c r="B983" s="49"/>
      <c r="C983" s="50"/>
      <c r="D983" s="67"/>
      <c r="E983" s="50"/>
      <c r="F983" s="64"/>
      <c r="G983" s="50"/>
      <c r="H983" s="50"/>
    </row>
    <row r="984" spans="1:8">
      <c r="A984" s="48"/>
      <c r="B984" s="49"/>
      <c r="C984" s="50"/>
      <c r="D984" s="67"/>
      <c r="E984" s="50"/>
      <c r="F984" s="64"/>
      <c r="G984" s="50"/>
      <c r="H984" s="50"/>
    </row>
    <row r="985" spans="1:8">
      <c r="A985" s="48"/>
      <c r="B985" s="49"/>
      <c r="C985" s="50"/>
      <c r="D985" s="67"/>
      <c r="E985" s="50"/>
      <c r="F985" s="64"/>
      <c r="G985" s="50"/>
      <c r="H985" s="50"/>
    </row>
    <row r="986" spans="1:8">
      <c r="A986" s="48"/>
      <c r="B986" s="49"/>
      <c r="C986" s="50"/>
      <c r="D986" s="67"/>
      <c r="E986" s="50"/>
      <c r="F986" s="64"/>
      <c r="G986" s="50"/>
      <c r="H986" s="50"/>
    </row>
    <row r="987" spans="1:8">
      <c r="A987" s="48"/>
      <c r="B987" s="49"/>
      <c r="C987" s="50"/>
      <c r="D987" s="67"/>
      <c r="E987" s="50"/>
      <c r="F987" s="64"/>
      <c r="G987" s="50"/>
      <c r="H987" s="50"/>
    </row>
    <row r="988" spans="1:8">
      <c r="A988" s="48"/>
      <c r="B988" s="49"/>
      <c r="C988" s="50"/>
      <c r="D988" s="67"/>
      <c r="E988" s="50"/>
      <c r="F988" s="64"/>
      <c r="G988" s="50"/>
      <c r="H988" s="50"/>
    </row>
    <row r="989" spans="1:8">
      <c r="A989" s="48"/>
      <c r="B989" s="49"/>
      <c r="C989" s="50"/>
      <c r="D989" s="67"/>
      <c r="E989" s="50"/>
      <c r="F989" s="64"/>
      <c r="G989" s="50"/>
      <c r="H989" s="50"/>
    </row>
    <row r="990" spans="1:8">
      <c r="A990" s="48"/>
      <c r="B990" s="49"/>
      <c r="C990" s="50"/>
      <c r="D990" s="67"/>
      <c r="E990" s="50"/>
      <c r="F990" s="64"/>
      <c r="G990" s="50"/>
      <c r="H990" s="50"/>
    </row>
    <row r="991" spans="1:8">
      <c r="A991" s="48"/>
      <c r="B991" s="49"/>
      <c r="C991" s="50"/>
      <c r="D991" s="67"/>
      <c r="E991" s="50"/>
      <c r="F991" s="64"/>
      <c r="G991" s="50"/>
      <c r="H991" s="50"/>
    </row>
    <row r="992" spans="1:8">
      <c r="A992" s="48"/>
      <c r="B992" s="49"/>
      <c r="C992" s="50"/>
      <c r="D992" s="67"/>
      <c r="E992" s="50"/>
      <c r="F992" s="64"/>
      <c r="G992" s="50"/>
      <c r="H992" s="50"/>
    </row>
    <row r="993" spans="1:8">
      <c r="A993" s="48"/>
      <c r="B993" s="49"/>
      <c r="C993" s="50"/>
      <c r="D993" s="67"/>
      <c r="E993" s="50"/>
      <c r="F993" s="64"/>
      <c r="G993" s="50"/>
      <c r="H993" s="50"/>
    </row>
    <row r="994" spans="1:8">
      <c r="A994" s="48"/>
      <c r="B994" s="49"/>
      <c r="C994" s="50"/>
      <c r="D994" s="67"/>
      <c r="E994" s="50"/>
      <c r="F994" s="64"/>
      <c r="G994" s="50"/>
      <c r="H994" s="50"/>
    </row>
    <row r="995" spans="1:8">
      <c r="A995" s="48"/>
      <c r="B995" s="49"/>
      <c r="C995" s="50"/>
      <c r="D995" s="67"/>
      <c r="E995" s="50"/>
      <c r="F995" s="64"/>
      <c r="G995" s="50"/>
      <c r="H995" s="50"/>
    </row>
    <row r="996" spans="1:8">
      <c r="A996" s="48"/>
      <c r="B996" s="49"/>
      <c r="C996" s="50"/>
      <c r="D996" s="67"/>
      <c r="E996" s="50"/>
      <c r="F996" s="64"/>
      <c r="G996" s="50"/>
      <c r="H996" s="50"/>
    </row>
    <row r="997" spans="1:8">
      <c r="A997" s="48"/>
      <c r="B997" s="49"/>
      <c r="C997" s="50"/>
      <c r="D997" s="67"/>
      <c r="E997" s="50"/>
      <c r="F997" s="64"/>
      <c r="G997" s="50"/>
      <c r="H997" s="50"/>
    </row>
    <row r="998" spans="1:8">
      <c r="A998" s="48"/>
      <c r="B998" s="49"/>
      <c r="C998" s="50"/>
      <c r="D998" s="67"/>
      <c r="E998" s="50"/>
      <c r="F998" s="64"/>
      <c r="G998" s="50"/>
      <c r="H998" s="50"/>
    </row>
    <row r="999" spans="1:8">
      <c r="A999" s="48"/>
      <c r="B999" s="49"/>
      <c r="C999" s="50"/>
      <c r="D999" s="67"/>
      <c r="E999" s="50"/>
      <c r="F999" s="64"/>
      <c r="G999" s="50"/>
      <c r="H999" s="50"/>
    </row>
    <row r="1000" spans="1:8">
      <c r="A1000" s="48"/>
      <c r="B1000" s="49"/>
      <c r="C1000" s="50"/>
      <c r="D1000" s="67"/>
      <c r="E1000" s="50"/>
      <c r="F1000" s="64"/>
      <c r="G1000" s="50"/>
      <c r="H1000" s="50"/>
    </row>
    <row r="1001" spans="1:8">
      <c r="A1001" s="48"/>
      <c r="B1001" s="49"/>
      <c r="C1001" s="50"/>
      <c r="D1001" s="67"/>
      <c r="E1001" s="50"/>
      <c r="F1001" s="64"/>
      <c r="G1001" s="50"/>
      <c r="H1001" s="50"/>
    </row>
    <row r="1002" spans="1:8">
      <c r="A1002" s="48"/>
      <c r="B1002" s="49"/>
      <c r="C1002" s="50"/>
      <c r="D1002" s="67"/>
      <c r="E1002" s="50"/>
      <c r="F1002" s="64"/>
      <c r="G1002" s="50"/>
      <c r="H1002" s="50"/>
    </row>
    <row r="1003" spans="1:8">
      <c r="A1003" s="48"/>
      <c r="B1003" s="49"/>
      <c r="C1003" s="50"/>
      <c r="D1003" s="67"/>
      <c r="E1003" s="50"/>
      <c r="F1003" s="64"/>
      <c r="G1003" s="50"/>
      <c r="H1003" s="50"/>
    </row>
    <row r="1004" spans="1:8">
      <c r="A1004" s="48"/>
      <c r="B1004" s="49"/>
      <c r="C1004" s="50"/>
      <c r="D1004" s="67"/>
      <c r="E1004" s="50"/>
      <c r="F1004" s="64"/>
      <c r="G1004" s="50"/>
      <c r="H1004" s="50"/>
    </row>
    <row r="1005" spans="1:8">
      <c r="A1005" s="48"/>
      <c r="B1005" s="49"/>
      <c r="C1005" s="50"/>
      <c r="D1005" s="67"/>
      <c r="E1005" s="50"/>
      <c r="F1005" s="64"/>
      <c r="G1005" s="50"/>
      <c r="H1005" s="50"/>
    </row>
    <row r="1006" spans="1:8">
      <c r="A1006" s="48"/>
      <c r="B1006" s="49"/>
      <c r="C1006" s="50"/>
      <c r="D1006" s="67"/>
      <c r="E1006" s="50"/>
      <c r="F1006" s="64"/>
      <c r="G1006" s="50"/>
      <c r="H1006" s="50"/>
    </row>
    <row r="1007" spans="1:8">
      <c r="A1007" s="48"/>
      <c r="B1007" s="49"/>
      <c r="C1007" s="50"/>
      <c r="D1007" s="67"/>
      <c r="E1007" s="50"/>
      <c r="F1007" s="64"/>
      <c r="G1007" s="50"/>
      <c r="H1007" s="50"/>
    </row>
    <row r="1008" spans="1:8">
      <c r="A1008" s="48"/>
      <c r="B1008" s="49"/>
      <c r="C1008" s="50"/>
      <c r="D1008" s="67"/>
      <c r="E1008" s="50"/>
      <c r="F1008" s="64"/>
      <c r="G1008" s="50"/>
      <c r="H1008" s="50"/>
    </row>
    <row r="1009" spans="1:8">
      <c r="A1009" s="48"/>
      <c r="B1009" s="49"/>
      <c r="C1009" s="50"/>
      <c r="D1009" s="67"/>
      <c r="E1009" s="50"/>
      <c r="F1009" s="64"/>
      <c r="G1009" s="50"/>
      <c r="H1009" s="50"/>
    </row>
    <row r="1010" spans="1:8">
      <c r="A1010" s="48"/>
      <c r="B1010" s="49"/>
      <c r="C1010" s="50"/>
      <c r="D1010" s="67"/>
      <c r="E1010" s="50"/>
      <c r="F1010" s="64"/>
      <c r="G1010" s="50"/>
      <c r="H1010" s="50"/>
    </row>
    <row r="1011" spans="1:8">
      <c r="A1011" s="48"/>
      <c r="B1011" s="49"/>
      <c r="C1011" s="50"/>
      <c r="D1011" s="67"/>
      <c r="E1011" s="50"/>
      <c r="F1011" s="64"/>
      <c r="G1011" s="50"/>
      <c r="H1011" s="50"/>
    </row>
    <row r="1012" spans="1:8">
      <c r="A1012" s="48"/>
      <c r="B1012" s="49"/>
      <c r="C1012" s="50"/>
      <c r="D1012" s="67"/>
      <c r="E1012" s="50"/>
      <c r="F1012" s="64"/>
      <c r="G1012" s="50"/>
      <c r="H1012" s="50"/>
    </row>
    <row r="1013" spans="1:8">
      <c r="A1013" s="48"/>
      <c r="B1013" s="49"/>
      <c r="C1013" s="50"/>
      <c r="D1013" s="67"/>
      <c r="E1013" s="50"/>
      <c r="F1013" s="64"/>
      <c r="G1013" s="50"/>
      <c r="H1013" s="50"/>
    </row>
    <row r="1014" spans="1:8">
      <c r="A1014" s="48"/>
      <c r="B1014" s="49"/>
      <c r="C1014" s="50"/>
      <c r="D1014" s="67"/>
      <c r="E1014" s="50"/>
      <c r="F1014" s="64"/>
      <c r="G1014" s="50"/>
      <c r="H1014" s="50"/>
    </row>
    <row r="1015" spans="1:8">
      <c r="A1015" s="48"/>
      <c r="B1015" s="49"/>
      <c r="C1015" s="50"/>
      <c r="D1015" s="67"/>
      <c r="E1015" s="50"/>
      <c r="F1015" s="64"/>
      <c r="G1015" s="50"/>
      <c r="H1015" s="50"/>
    </row>
    <row r="1016" spans="1:8">
      <c r="A1016" s="48"/>
      <c r="B1016" s="49"/>
      <c r="C1016" s="50"/>
      <c r="D1016" s="67"/>
      <c r="E1016" s="50"/>
      <c r="F1016" s="64"/>
      <c r="G1016" s="50"/>
      <c r="H1016" s="50"/>
    </row>
    <row r="1017" spans="1:8">
      <c r="A1017" s="48"/>
      <c r="B1017" s="49"/>
      <c r="C1017" s="50"/>
      <c r="D1017" s="67"/>
      <c r="E1017" s="50"/>
      <c r="F1017" s="64"/>
      <c r="G1017" s="50"/>
      <c r="H1017" s="50"/>
    </row>
    <row r="1018" spans="1:8">
      <c r="A1018" s="48"/>
      <c r="B1018" s="49"/>
      <c r="C1018" s="50"/>
      <c r="D1018" s="67"/>
      <c r="E1018" s="50"/>
      <c r="F1018" s="64"/>
      <c r="G1018" s="50"/>
      <c r="H1018" s="50"/>
    </row>
    <row r="1019" spans="1:8">
      <c r="A1019" s="48"/>
      <c r="B1019" s="49"/>
      <c r="C1019" s="50"/>
      <c r="D1019" s="67"/>
      <c r="E1019" s="50"/>
      <c r="F1019" s="64"/>
      <c r="G1019" s="50"/>
      <c r="H1019" s="50"/>
    </row>
    <row r="1020" spans="1:8">
      <c r="A1020" s="48"/>
      <c r="B1020" s="49"/>
      <c r="C1020" s="50"/>
      <c r="D1020" s="67"/>
      <c r="E1020" s="50"/>
      <c r="F1020" s="64"/>
      <c r="G1020" s="50"/>
      <c r="H1020" s="50"/>
    </row>
    <row r="1021" spans="1:8">
      <c r="A1021" s="48"/>
      <c r="B1021" s="49"/>
      <c r="C1021" s="50"/>
      <c r="D1021" s="67"/>
      <c r="E1021" s="50"/>
      <c r="F1021" s="64"/>
      <c r="G1021" s="50"/>
      <c r="H1021" s="50"/>
    </row>
    <row r="1022" spans="1:8">
      <c r="A1022" s="48"/>
      <c r="B1022" s="49"/>
      <c r="C1022" s="50"/>
      <c r="D1022" s="67"/>
      <c r="E1022" s="50"/>
      <c r="F1022" s="64"/>
      <c r="G1022" s="50"/>
      <c r="H1022" s="50"/>
    </row>
    <row r="1023" spans="1:8">
      <c r="A1023" s="48"/>
      <c r="B1023" s="49"/>
      <c r="C1023" s="50"/>
      <c r="D1023" s="67"/>
      <c r="E1023" s="50"/>
      <c r="F1023" s="64"/>
      <c r="G1023" s="50"/>
      <c r="H1023" s="50"/>
    </row>
    <row r="1024" spans="1:8">
      <c r="A1024" s="48"/>
      <c r="B1024" s="49"/>
      <c r="C1024" s="50"/>
      <c r="D1024" s="67"/>
      <c r="E1024" s="50"/>
      <c r="F1024" s="64"/>
      <c r="G1024" s="50"/>
      <c r="H1024" s="50"/>
    </row>
    <row r="1025" spans="1:8">
      <c r="A1025" s="48"/>
      <c r="B1025" s="49"/>
      <c r="C1025" s="50"/>
      <c r="D1025" s="67"/>
      <c r="E1025" s="50"/>
      <c r="F1025" s="64"/>
      <c r="G1025" s="50"/>
      <c r="H1025" s="50"/>
    </row>
    <row r="1026" spans="1:8">
      <c r="A1026" s="48"/>
      <c r="B1026" s="49"/>
      <c r="C1026" s="50"/>
      <c r="D1026" s="67"/>
      <c r="E1026" s="50"/>
      <c r="F1026" s="64"/>
      <c r="G1026" s="50"/>
      <c r="H1026" s="50"/>
    </row>
    <row r="1027" spans="1:8">
      <c r="A1027" s="48"/>
      <c r="B1027" s="49"/>
      <c r="C1027" s="50"/>
      <c r="D1027" s="67"/>
      <c r="E1027" s="50"/>
      <c r="F1027" s="64"/>
      <c r="G1027" s="50"/>
      <c r="H1027" s="50"/>
    </row>
    <row r="1028" spans="1:8">
      <c r="A1028" s="48"/>
      <c r="B1028" s="49"/>
      <c r="C1028" s="50"/>
      <c r="D1028" s="67"/>
      <c r="E1028" s="50"/>
      <c r="F1028" s="64"/>
      <c r="G1028" s="50"/>
      <c r="H1028" s="50"/>
    </row>
    <row r="1029" spans="1:8">
      <c r="A1029" s="48"/>
      <c r="B1029" s="49"/>
      <c r="C1029" s="50"/>
      <c r="D1029" s="67"/>
      <c r="E1029" s="50"/>
      <c r="F1029" s="64"/>
      <c r="G1029" s="50"/>
      <c r="H1029" s="50"/>
    </row>
    <row r="1030" spans="1:8">
      <c r="A1030" s="48"/>
      <c r="B1030" s="49"/>
      <c r="C1030" s="50"/>
      <c r="D1030" s="67"/>
      <c r="E1030" s="50"/>
      <c r="F1030" s="64"/>
      <c r="G1030" s="50"/>
      <c r="H1030" s="50"/>
    </row>
    <row r="1031" spans="1:8">
      <c r="A1031" s="48"/>
      <c r="B1031" s="49"/>
      <c r="C1031" s="50"/>
      <c r="D1031" s="67"/>
      <c r="E1031" s="50"/>
      <c r="F1031" s="64"/>
      <c r="G1031" s="50"/>
      <c r="H1031" s="50"/>
    </row>
    <row r="1032" spans="1:8">
      <c r="A1032" s="48"/>
      <c r="B1032" s="49"/>
      <c r="C1032" s="50"/>
      <c r="D1032" s="67"/>
      <c r="E1032" s="50"/>
      <c r="F1032" s="64"/>
      <c r="G1032" s="50"/>
      <c r="H1032" s="50"/>
    </row>
    <row r="1033" spans="1:8">
      <c r="A1033" s="48"/>
      <c r="B1033" s="49"/>
      <c r="C1033" s="50"/>
      <c r="D1033" s="67"/>
      <c r="E1033" s="50"/>
      <c r="F1033" s="64"/>
      <c r="G1033" s="50"/>
      <c r="H1033" s="50"/>
    </row>
    <row r="1034" spans="1:8">
      <c r="A1034" s="48"/>
      <c r="B1034" s="49"/>
      <c r="C1034" s="50"/>
      <c r="D1034" s="67"/>
      <c r="E1034" s="50"/>
      <c r="F1034" s="64"/>
      <c r="G1034" s="50"/>
      <c r="H1034" s="50"/>
    </row>
    <row r="1035" spans="1:8">
      <c r="A1035" s="48"/>
      <c r="B1035" s="49"/>
      <c r="C1035" s="50"/>
      <c r="D1035" s="67"/>
      <c r="E1035" s="50"/>
      <c r="F1035" s="64"/>
      <c r="G1035" s="50"/>
      <c r="H1035" s="50"/>
    </row>
    <row r="1036" spans="1:8">
      <c r="A1036" s="48"/>
      <c r="B1036" s="49"/>
      <c r="C1036" s="50"/>
      <c r="D1036" s="67"/>
      <c r="E1036" s="50"/>
      <c r="F1036" s="64"/>
      <c r="G1036" s="50"/>
      <c r="H1036" s="50"/>
    </row>
    <row r="1037" spans="1:8">
      <c r="A1037" s="48"/>
      <c r="B1037" s="49"/>
      <c r="C1037" s="50"/>
      <c r="D1037" s="67"/>
      <c r="E1037" s="50"/>
      <c r="F1037" s="64"/>
      <c r="G1037" s="50"/>
      <c r="H1037" s="50"/>
    </row>
    <row r="1038" spans="1:8">
      <c r="A1038" s="48"/>
      <c r="B1038" s="49"/>
      <c r="C1038" s="50"/>
      <c r="D1038" s="67"/>
      <c r="E1038" s="50"/>
      <c r="F1038" s="64"/>
      <c r="G1038" s="50"/>
      <c r="H1038" s="50"/>
    </row>
    <row r="1039" spans="1:8">
      <c r="A1039" s="48"/>
      <c r="B1039" s="49"/>
      <c r="C1039" s="50"/>
      <c r="D1039" s="67"/>
      <c r="E1039" s="50"/>
      <c r="F1039" s="64"/>
      <c r="G1039" s="50"/>
      <c r="H1039" s="50"/>
    </row>
    <row r="1040" spans="1:8">
      <c r="A1040" s="48"/>
      <c r="B1040" s="49"/>
      <c r="C1040" s="50"/>
      <c r="D1040" s="67"/>
      <c r="E1040" s="50"/>
      <c r="F1040" s="64"/>
      <c r="G1040" s="50"/>
      <c r="H1040" s="50"/>
    </row>
    <row r="1041" spans="1:8">
      <c r="A1041" s="48"/>
      <c r="B1041" s="49"/>
      <c r="C1041" s="50"/>
      <c r="D1041" s="67"/>
      <c r="E1041" s="50"/>
      <c r="F1041" s="64"/>
      <c r="G1041" s="50"/>
      <c r="H1041" s="50"/>
    </row>
    <row r="1042" spans="1:8">
      <c r="A1042" s="48"/>
      <c r="B1042" s="49"/>
      <c r="C1042" s="50"/>
      <c r="D1042" s="67"/>
      <c r="E1042" s="50"/>
      <c r="F1042" s="64"/>
      <c r="G1042" s="50"/>
      <c r="H1042" s="50"/>
    </row>
    <row r="1043" spans="1:8">
      <c r="A1043" s="48"/>
      <c r="B1043" s="49"/>
      <c r="C1043" s="50"/>
      <c r="D1043" s="67"/>
      <c r="E1043" s="50"/>
      <c r="F1043" s="64"/>
      <c r="G1043" s="50"/>
      <c r="H1043" s="50"/>
    </row>
    <row r="1044" spans="1:8">
      <c r="A1044" s="48"/>
      <c r="B1044" s="49"/>
      <c r="C1044" s="50"/>
      <c r="D1044" s="67"/>
      <c r="E1044" s="50"/>
      <c r="F1044" s="64"/>
      <c r="G1044" s="50"/>
      <c r="H1044" s="50"/>
    </row>
    <row r="1045" spans="1:8">
      <c r="A1045" s="48"/>
      <c r="B1045" s="49"/>
      <c r="C1045" s="50"/>
      <c r="D1045" s="67"/>
      <c r="E1045" s="50"/>
      <c r="F1045" s="64"/>
      <c r="G1045" s="50"/>
      <c r="H1045" s="50"/>
    </row>
    <row r="1046" spans="1:8">
      <c r="A1046" s="48"/>
      <c r="B1046" s="49"/>
      <c r="C1046" s="50"/>
      <c r="D1046" s="67"/>
      <c r="E1046" s="50"/>
      <c r="F1046" s="64"/>
      <c r="G1046" s="50"/>
      <c r="H1046" s="50"/>
    </row>
    <row r="1047" spans="1:8">
      <c r="A1047" s="48"/>
      <c r="B1047" s="49"/>
      <c r="C1047" s="50"/>
      <c r="D1047" s="67"/>
      <c r="E1047" s="50"/>
      <c r="F1047" s="64"/>
      <c r="G1047" s="50"/>
      <c r="H1047" s="50"/>
    </row>
    <row r="1048" spans="1:8">
      <c r="A1048" s="48"/>
      <c r="B1048" s="49"/>
      <c r="C1048" s="50"/>
      <c r="D1048" s="67"/>
      <c r="E1048" s="50"/>
      <c r="F1048" s="64"/>
      <c r="G1048" s="50"/>
      <c r="H1048" s="50"/>
    </row>
    <row r="1049" spans="1:8">
      <c r="A1049" s="48"/>
      <c r="B1049" s="49"/>
      <c r="C1049" s="50"/>
      <c r="D1049" s="67"/>
      <c r="E1049" s="50"/>
      <c r="F1049" s="64"/>
      <c r="G1049" s="50"/>
      <c r="H1049" s="50"/>
    </row>
    <row r="1050" spans="1:8">
      <c r="A1050" s="48"/>
      <c r="B1050" s="49"/>
      <c r="C1050" s="50"/>
      <c r="D1050" s="67"/>
      <c r="E1050" s="50"/>
      <c r="F1050" s="64"/>
      <c r="G1050" s="50"/>
      <c r="H1050" s="50"/>
    </row>
    <row r="1051" spans="1:8">
      <c r="A1051" s="48"/>
      <c r="B1051" s="49"/>
      <c r="C1051" s="50"/>
      <c r="D1051" s="67"/>
      <c r="E1051" s="50"/>
      <c r="F1051" s="64"/>
      <c r="G1051" s="50"/>
      <c r="H1051" s="50"/>
    </row>
    <row r="1052" spans="1:8">
      <c r="A1052" s="48"/>
      <c r="B1052" s="49"/>
      <c r="C1052" s="50"/>
      <c r="D1052" s="67"/>
      <c r="E1052" s="50"/>
      <c r="F1052" s="64"/>
      <c r="G1052" s="50"/>
      <c r="H1052" s="50"/>
    </row>
    <row r="1053" spans="1:8">
      <c r="A1053" s="48"/>
      <c r="B1053" s="49"/>
      <c r="C1053" s="50"/>
      <c r="D1053" s="67"/>
      <c r="E1053" s="50"/>
      <c r="F1053" s="64"/>
      <c r="G1053" s="50"/>
      <c r="H1053" s="50"/>
    </row>
    <row r="1054" spans="1:8">
      <c r="A1054" s="48"/>
      <c r="B1054" s="49"/>
      <c r="C1054" s="50"/>
      <c r="D1054" s="67"/>
      <c r="E1054" s="50"/>
      <c r="F1054" s="64"/>
      <c r="G1054" s="50"/>
      <c r="H1054" s="50"/>
    </row>
    <row r="1055" spans="1:8">
      <c r="A1055" s="48"/>
      <c r="B1055" s="49"/>
      <c r="C1055" s="50"/>
      <c r="D1055" s="67"/>
      <c r="E1055" s="50"/>
      <c r="F1055" s="64"/>
      <c r="G1055" s="50"/>
      <c r="H1055" s="50"/>
    </row>
    <row r="1056" spans="1:8">
      <c r="A1056" s="48"/>
      <c r="B1056" s="49"/>
      <c r="C1056" s="50"/>
      <c r="D1056" s="67"/>
      <c r="E1056" s="50"/>
      <c r="F1056" s="64"/>
      <c r="G1056" s="50"/>
      <c r="H1056" s="50"/>
    </row>
    <row r="1057" spans="1:8">
      <c r="A1057" s="48"/>
      <c r="B1057" s="49"/>
      <c r="C1057" s="50"/>
      <c r="D1057" s="67"/>
      <c r="E1057" s="50"/>
      <c r="F1057" s="64"/>
      <c r="G1057" s="50"/>
      <c r="H1057" s="50"/>
    </row>
    <row r="1058" spans="1:8">
      <c r="A1058" s="48"/>
      <c r="B1058" s="49"/>
      <c r="C1058" s="50"/>
      <c r="D1058" s="67"/>
      <c r="E1058" s="50"/>
      <c r="F1058" s="64"/>
      <c r="G1058" s="50"/>
      <c r="H1058" s="50"/>
    </row>
    <row r="1059" spans="1:8">
      <c r="A1059" s="48"/>
      <c r="B1059" s="49"/>
      <c r="C1059" s="50"/>
      <c r="D1059" s="67"/>
      <c r="E1059" s="50"/>
      <c r="F1059" s="64"/>
      <c r="G1059" s="50"/>
      <c r="H1059" s="50"/>
    </row>
    <row r="1060" spans="1:8">
      <c r="A1060" s="48"/>
      <c r="B1060" s="49"/>
      <c r="C1060" s="50"/>
      <c r="D1060" s="67"/>
      <c r="E1060" s="50"/>
      <c r="F1060" s="64"/>
      <c r="G1060" s="50"/>
      <c r="H1060" s="50"/>
    </row>
    <row r="1061" spans="1:8">
      <c r="A1061" s="48"/>
      <c r="B1061" s="49"/>
      <c r="C1061" s="50"/>
      <c r="D1061" s="67"/>
      <c r="E1061" s="50"/>
      <c r="F1061" s="64"/>
      <c r="G1061" s="50"/>
      <c r="H1061" s="50"/>
    </row>
    <row r="1062" spans="1:8">
      <c r="A1062" s="48"/>
      <c r="B1062" s="49"/>
      <c r="C1062" s="50"/>
      <c r="D1062" s="67"/>
      <c r="E1062" s="50"/>
      <c r="F1062" s="64"/>
      <c r="G1062" s="50"/>
      <c r="H1062" s="50"/>
    </row>
    <row r="1063" spans="1:8">
      <c r="A1063" s="48"/>
      <c r="B1063" s="49"/>
      <c r="C1063" s="50"/>
      <c r="D1063" s="67"/>
      <c r="E1063" s="50"/>
      <c r="F1063" s="64"/>
      <c r="G1063" s="50"/>
      <c r="H1063" s="50"/>
    </row>
    <row r="1064" spans="1:8">
      <c r="A1064" s="48"/>
      <c r="B1064" s="49"/>
      <c r="C1064" s="50"/>
      <c r="D1064" s="67"/>
      <c r="E1064" s="50"/>
      <c r="F1064" s="64"/>
      <c r="G1064" s="50"/>
      <c r="H1064" s="50"/>
    </row>
    <row r="1065" spans="1:8">
      <c r="A1065" s="48"/>
      <c r="B1065" s="49"/>
      <c r="C1065" s="50"/>
      <c r="D1065" s="67"/>
      <c r="E1065" s="50"/>
      <c r="F1065" s="64"/>
      <c r="G1065" s="50"/>
      <c r="H1065" s="50"/>
    </row>
    <row r="1066" spans="1:8">
      <c r="A1066" s="48"/>
      <c r="B1066" s="49"/>
      <c r="C1066" s="50"/>
      <c r="D1066" s="67"/>
      <c r="E1066" s="50"/>
      <c r="F1066" s="64"/>
      <c r="G1066" s="50"/>
      <c r="H1066" s="50"/>
    </row>
    <row r="1067" spans="1:8">
      <c r="A1067" s="48"/>
      <c r="B1067" s="49"/>
      <c r="C1067" s="50"/>
      <c r="D1067" s="67"/>
      <c r="E1067" s="50"/>
      <c r="F1067" s="64"/>
      <c r="G1067" s="50"/>
      <c r="H1067" s="50"/>
    </row>
    <row r="1068" spans="1:8">
      <c r="A1068" s="48"/>
      <c r="B1068" s="49"/>
      <c r="C1068" s="50"/>
      <c r="D1068" s="67"/>
      <c r="E1068" s="50"/>
      <c r="F1068" s="64"/>
      <c r="G1068" s="50"/>
      <c r="H1068" s="50"/>
    </row>
    <row r="1069" spans="1:8">
      <c r="A1069" s="48"/>
      <c r="B1069" s="49"/>
      <c r="C1069" s="50"/>
      <c r="D1069" s="67"/>
      <c r="E1069" s="50"/>
      <c r="F1069" s="64"/>
      <c r="G1069" s="50"/>
      <c r="H1069" s="50"/>
    </row>
    <row r="1070" spans="1:8">
      <c r="A1070" s="48"/>
      <c r="B1070" s="49"/>
      <c r="C1070" s="50"/>
      <c r="D1070" s="67"/>
      <c r="E1070" s="50"/>
      <c r="F1070" s="64"/>
      <c r="G1070" s="50"/>
      <c r="H1070" s="50"/>
    </row>
    <row r="1071" spans="1:8">
      <c r="A1071" s="48"/>
      <c r="B1071" s="49"/>
      <c r="C1071" s="50"/>
      <c r="D1071" s="67"/>
      <c r="E1071" s="50"/>
      <c r="F1071" s="64"/>
      <c r="G1071" s="50"/>
      <c r="H1071" s="50"/>
    </row>
    <row r="1072" spans="1:8">
      <c r="A1072" s="48"/>
      <c r="B1072" s="49"/>
      <c r="C1072" s="50"/>
      <c r="D1072" s="67"/>
      <c r="E1072" s="50"/>
      <c r="F1072" s="64"/>
      <c r="G1072" s="50"/>
      <c r="H1072" s="50"/>
    </row>
    <row r="1073" spans="1:8">
      <c r="A1073" s="48"/>
      <c r="B1073" s="49"/>
      <c r="C1073" s="50"/>
      <c r="D1073" s="67"/>
      <c r="E1073" s="50"/>
      <c r="F1073" s="64"/>
      <c r="G1073" s="50"/>
      <c r="H1073" s="50"/>
    </row>
    <row r="1074" spans="1:8">
      <c r="A1074" s="48"/>
      <c r="B1074" s="49"/>
      <c r="C1074" s="50"/>
      <c r="D1074" s="67"/>
      <c r="E1074" s="50"/>
      <c r="F1074" s="64"/>
      <c r="G1074" s="50"/>
      <c r="H1074" s="50"/>
    </row>
    <row r="1075" spans="1:8">
      <c r="A1075" s="48"/>
      <c r="B1075" s="49"/>
      <c r="C1075" s="50"/>
      <c r="D1075" s="67"/>
      <c r="E1075" s="50"/>
      <c r="F1075" s="64"/>
      <c r="G1075" s="50"/>
      <c r="H1075" s="50"/>
    </row>
    <row r="1076" spans="1:8">
      <c r="A1076" s="48"/>
      <c r="B1076" s="49"/>
      <c r="C1076" s="50"/>
      <c r="D1076" s="67"/>
      <c r="E1076" s="50"/>
      <c r="F1076" s="64"/>
      <c r="G1076" s="50"/>
      <c r="H1076" s="50"/>
    </row>
    <row r="1077" spans="1:8">
      <c r="A1077" s="48"/>
      <c r="B1077" s="49"/>
      <c r="C1077" s="50"/>
      <c r="D1077" s="67"/>
      <c r="E1077" s="50"/>
      <c r="F1077" s="64"/>
      <c r="G1077" s="50"/>
      <c r="H1077" s="50"/>
    </row>
    <row r="1078" spans="1:8">
      <c r="A1078" s="48"/>
      <c r="B1078" s="49"/>
      <c r="C1078" s="50"/>
      <c r="D1078" s="67"/>
      <c r="E1078" s="50"/>
      <c r="F1078" s="64"/>
      <c r="G1078" s="50"/>
      <c r="H1078" s="50"/>
    </row>
    <row r="1079" spans="1:8">
      <c r="A1079" s="48"/>
      <c r="B1079" s="49"/>
      <c r="C1079" s="50"/>
      <c r="D1079" s="67"/>
      <c r="E1079" s="50"/>
      <c r="F1079" s="64"/>
      <c r="G1079" s="50"/>
      <c r="H1079" s="50"/>
    </row>
    <row r="1080" spans="1:8">
      <c r="A1080" s="48"/>
      <c r="B1080" s="49"/>
      <c r="C1080" s="50"/>
      <c r="D1080" s="67"/>
      <c r="E1080" s="50"/>
      <c r="F1080" s="64"/>
      <c r="G1080" s="50"/>
      <c r="H1080" s="50"/>
    </row>
    <row r="1081" spans="1:8">
      <c r="A1081" s="48"/>
      <c r="B1081" s="49"/>
      <c r="C1081" s="50"/>
      <c r="D1081" s="67"/>
      <c r="E1081" s="50"/>
      <c r="F1081" s="64"/>
      <c r="G1081" s="50"/>
      <c r="H1081" s="50"/>
    </row>
    <row r="1082" spans="1:8">
      <c r="A1082" s="48"/>
      <c r="B1082" s="49"/>
      <c r="C1082" s="50"/>
      <c r="D1082" s="67"/>
      <c r="E1082" s="50"/>
      <c r="F1082" s="64"/>
      <c r="G1082" s="50"/>
      <c r="H1082" s="50"/>
    </row>
    <row r="1083" spans="1:8">
      <c r="A1083" s="48"/>
      <c r="B1083" s="49"/>
      <c r="C1083" s="50"/>
      <c r="D1083" s="67"/>
      <c r="E1083" s="50"/>
      <c r="F1083" s="64"/>
      <c r="G1083" s="50"/>
      <c r="H1083" s="50"/>
    </row>
    <row r="1084" spans="1:8">
      <c r="A1084" s="48"/>
      <c r="B1084" s="49"/>
      <c r="C1084" s="50"/>
      <c r="D1084" s="67"/>
      <c r="E1084" s="50"/>
      <c r="F1084" s="64"/>
      <c r="G1084" s="50"/>
      <c r="H1084" s="50"/>
    </row>
    <row r="1085" spans="1:8">
      <c r="A1085" s="48"/>
      <c r="B1085" s="49"/>
      <c r="C1085" s="50"/>
      <c r="D1085" s="67"/>
      <c r="E1085" s="50"/>
      <c r="F1085" s="64"/>
      <c r="G1085" s="50"/>
      <c r="H1085" s="50"/>
    </row>
    <row r="1086" spans="1:8">
      <c r="A1086" s="48"/>
      <c r="B1086" s="49"/>
      <c r="C1086" s="50"/>
      <c r="D1086" s="67"/>
      <c r="E1086" s="50"/>
      <c r="F1086" s="64"/>
      <c r="G1086" s="50"/>
      <c r="H1086" s="50"/>
    </row>
    <row r="1087" spans="1:8">
      <c r="A1087" s="48"/>
      <c r="B1087" s="49"/>
      <c r="C1087" s="50"/>
      <c r="D1087" s="67"/>
      <c r="E1087" s="50"/>
      <c r="F1087" s="64"/>
      <c r="G1087" s="50"/>
      <c r="H1087" s="50"/>
    </row>
    <row r="1088" spans="1:8">
      <c r="A1088" s="48"/>
      <c r="B1088" s="49"/>
      <c r="C1088" s="50"/>
      <c r="D1088" s="67"/>
      <c r="E1088" s="50"/>
      <c r="F1088" s="64"/>
      <c r="G1088" s="50"/>
      <c r="H1088" s="50"/>
    </row>
    <row r="1089" spans="1:8">
      <c r="A1089" s="48"/>
      <c r="B1089" s="49"/>
      <c r="C1089" s="50"/>
      <c r="D1089" s="67"/>
      <c r="E1089" s="50"/>
      <c r="F1089" s="64"/>
      <c r="G1089" s="50"/>
      <c r="H1089" s="50"/>
    </row>
    <row r="1090" spans="1:8">
      <c r="A1090" s="48"/>
      <c r="B1090" s="49"/>
      <c r="C1090" s="50"/>
      <c r="D1090" s="67"/>
      <c r="E1090" s="50"/>
      <c r="F1090" s="64"/>
      <c r="G1090" s="50"/>
      <c r="H1090" s="50"/>
    </row>
    <row r="1091" spans="1:8">
      <c r="A1091" s="48"/>
      <c r="B1091" s="49"/>
      <c r="C1091" s="50"/>
      <c r="D1091" s="67"/>
      <c r="E1091" s="50"/>
      <c r="F1091" s="64"/>
      <c r="G1091" s="50"/>
      <c r="H1091" s="50"/>
    </row>
    <row r="1092" spans="1:8">
      <c r="A1092" s="48"/>
      <c r="B1092" s="49"/>
      <c r="C1092" s="50"/>
      <c r="D1092" s="67"/>
      <c r="E1092" s="50"/>
      <c r="F1092" s="64"/>
      <c r="G1092" s="50"/>
      <c r="H1092" s="50"/>
    </row>
    <row r="1093" spans="1:8">
      <c r="A1093" s="48"/>
      <c r="B1093" s="49"/>
      <c r="C1093" s="50"/>
      <c r="D1093" s="67"/>
      <c r="E1093" s="50"/>
      <c r="F1093" s="64"/>
      <c r="G1093" s="50"/>
      <c r="H1093" s="50"/>
    </row>
    <row r="1094" spans="1:8">
      <c r="A1094" s="48"/>
      <c r="B1094" s="49"/>
      <c r="C1094" s="50"/>
      <c r="D1094" s="67"/>
      <c r="E1094" s="50"/>
      <c r="F1094" s="64"/>
      <c r="G1094" s="50"/>
      <c r="H1094" s="50"/>
    </row>
    <row r="1095" spans="1:8">
      <c r="A1095" s="48"/>
      <c r="B1095" s="49"/>
      <c r="C1095" s="50"/>
      <c r="D1095" s="67"/>
      <c r="E1095" s="50"/>
      <c r="F1095" s="64"/>
      <c r="G1095" s="50"/>
      <c r="H1095" s="50"/>
    </row>
    <row r="1096" spans="1:8">
      <c r="A1096" s="48"/>
      <c r="B1096" s="49"/>
      <c r="C1096" s="50"/>
      <c r="D1096" s="67"/>
      <c r="E1096" s="50"/>
      <c r="F1096" s="64"/>
      <c r="G1096" s="50"/>
      <c r="H1096" s="50"/>
    </row>
    <row r="1097" spans="1:8">
      <c r="A1097" s="48"/>
      <c r="B1097" s="49"/>
      <c r="C1097" s="50"/>
      <c r="D1097" s="67"/>
      <c r="E1097" s="50"/>
      <c r="F1097" s="64"/>
      <c r="G1097" s="50"/>
      <c r="H1097" s="50"/>
    </row>
    <row r="1098" spans="1:8">
      <c r="A1098" s="48"/>
      <c r="B1098" s="49"/>
      <c r="C1098" s="50"/>
      <c r="D1098" s="67"/>
      <c r="E1098" s="50"/>
      <c r="F1098" s="64"/>
      <c r="G1098" s="50"/>
      <c r="H1098" s="50"/>
    </row>
    <row r="1099" spans="1:8">
      <c r="A1099" s="48"/>
      <c r="B1099" s="49"/>
      <c r="C1099" s="50"/>
      <c r="D1099" s="67"/>
      <c r="E1099" s="50"/>
      <c r="F1099" s="64"/>
      <c r="G1099" s="50"/>
      <c r="H1099" s="50"/>
    </row>
    <row r="1100" spans="1:8">
      <c r="A1100" s="48"/>
      <c r="B1100" s="49"/>
      <c r="C1100" s="50"/>
      <c r="D1100" s="67"/>
      <c r="E1100" s="50"/>
      <c r="F1100" s="64"/>
      <c r="G1100" s="50"/>
      <c r="H1100" s="50"/>
    </row>
    <row r="1101" spans="1:8">
      <c r="A1101" s="48"/>
      <c r="B1101" s="49"/>
      <c r="C1101" s="50"/>
      <c r="D1101" s="67"/>
      <c r="E1101" s="50"/>
      <c r="F1101" s="64"/>
      <c r="G1101" s="50"/>
      <c r="H1101" s="50"/>
    </row>
    <row r="1102" spans="1:8">
      <c r="A1102" s="48"/>
      <c r="B1102" s="49"/>
      <c r="C1102" s="50"/>
      <c r="D1102" s="67"/>
      <c r="E1102" s="50"/>
      <c r="F1102" s="64"/>
      <c r="G1102" s="50"/>
      <c r="H1102" s="50"/>
    </row>
    <row r="1103" spans="1:8">
      <c r="A1103" s="48"/>
      <c r="B1103" s="49"/>
      <c r="C1103" s="50"/>
      <c r="D1103" s="67"/>
      <c r="E1103" s="50"/>
      <c r="F1103" s="64"/>
      <c r="G1103" s="50"/>
      <c r="H1103" s="50"/>
    </row>
    <row r="1104" spans="1:8">
      <c r="A1104" s="48"/>
      <c r="B1104" s="49"/>
      <c r="C1104" s="50"/>
      <c r="D1104" s="67"/>
      <c r="E1104" s="50"/>
      <c r="F1104" s="64"/>
      <c r="G1104" s="50"/>
      <c r="H1104" s="50"/>
    </row>
    <row r="1105" spans="1:8">
      <c r="A1105" s="48"/>
      <c r="B1105" s="49"/>
      <c r="C1105" s="50"/>
      <c r="D1105" s="67"/>
      <c r="E1105" s="50"/>
      <c r="F1105" s="64"/>
      <c r="G1105" s="50"/>
      <c r="H1105" s="50"/>
    </row>
    <row r="1106" spans="1:8">
      <c r="A1106" s="48"/>
      <c r="B1106" s="49"/>
      <c r="C1106" s="50"/>
      <c r="D1106" s="67"/>
      <c r="E1106" s="50"/>
      <c r="F1106" s="64"/>
      <c r="G1106" s="50"/>
      <c r="H1106" s="50"/>
    </row>
    <row r="1107" spans="1:8">
      <c r="A1107" s="48"/>
      <c r="B1107" s="49"/>
      <c r="C1107" s="50"/>
      <c r="D1107" s="67"/>
      <c r="E1107" s="50"/>
      <c r="F1107" s="64"/>
      <c r="G1107" s="50"/>
      <c r="H1107" s="50"/>
    </row>
    <row r="1108" spans="1:8">
      <c r="A1108" s="48"/>
      <c r="B1108" s="49"/>
      <c r="C1108" s="50"/>
      <c r="D1108" s="67"/>
      <c r="E1108" s="50"/>
      <c r="F1108" s="64"/>
      <c r="G1108" s="50"/>
      <c r="H1108" s="50"/>
    </row>
    <row r="1109" spans="1:8">
      <c r="A1109" s="48"/>
      <c r="B1109" s="49"/>
      <c r="C1109" s="50"/>
      <c r="D1109" s="67"/>
      <c r="E1109" s="50"/>
      <c r="F1109" s="64"/>
      <c r="G1109" s="50"/>
      <c r="H1109" s="50"/>
    </row>
    <row r="1110" spans="1:8">
      <c r="A1110" s="48"/>
      <c r="B1110" s="49"/>
      <c r="C1110" s="50"/>
      <c r="D1110" s="67"/>
      <c r="E1110" s="50"/>
      <c r="F1110" s="64"/>
      <c r="G1110" s="50"/>
      <c r="H1110" s="50"/>
    </row>
    <row r="1111" spans="1:8">
      <c r="A1111" s="48"/>
      <c r="B1111" s="49"/>
      <c r="C1111" s="50"/>
      <c r="D1111" s="67"/>
      <c r="E1111" s="50"/>
      <c r="F1111" s="64"/>
      <c r="G1111" s="50"/>
      <c r="H1111" s="50"/>
    </row>
    <row r="1112" spans="1:8">
      <c r="A1112" s="48"/>
      <c r="B1112" s="49"/>
      <c r="C1112" s="50"/>
      <c r="D1112" s="67"/>
      <c r="E1112" s="50"/>
      <c r="F1112" s="64"/>
      <c r="G1112" s="50"/>
      <c r="H1112" s="50"/>
    </row>
    <row r="1113" spans="1:8">
      <c r="A1113" s="48"/>
      <c r="B1113" s="49"/>
      <c r="C1113" s="50"/>
      <c r="D1113" s="67"/>
      <c r="E1113" s="50"/>
      <c r="F1113" s="64"/>
      <c r="G1113" s="50"/>
      <c r="H1113" s="50"/>
    </row>
    <row r="1114" spans="1:8">
      <c r="A1114" s="48"/>
      <c r="B1114" s="49"/>
      <c r="C1114" s="50"/>
      <c r="D1114" s="67"/>
      <c r="E1114" s="50"/>
      <c r="F1114" s="64"/>
      <c r="G1114" s="50"/>
      <c r="H1114" s="50"/>
    </row>
    <row r="1115" spans="1:8">
      <c r="A1115" s="48"/>
      <c r="B1115" s="49"/>
      <c r="C1115" s="50"/>
      <c r="D1115" s="67"/>
      <c r="E1115" s="50"/>
      <c r="F1115" s="64"/>
      <c r="G1115" s="50"/>
      <c r="H1115" s="50"/>
    </row>
    <row r="1116" spans="1:8">
      <c r="A1116" s="48"/>
      <c r="B1116" s="49"/>
      <c r="C1116" s="50"/>
      <c r="D1116" s="67"/>
      <c r="E1116" s="50"/>
      <c r="F1116" s="64"/>
      <c r="G1116" s="50"/>
      <c r="H1116" s="50"/>
    </row>
    <row r="1117" spans="1:8">
      <c r="A1117" s="48"/>
      <c r="B1117" s="49"/>
      <c r="C1117" s="50"/>
      <c r="D1117" s="67"/>
      <c r="E1117" s="50"/>
      <c r="F1117" s="64"/>
      <c r="G1117" s="50"/>
      <c r="H1117" s="50"/>
    </row>
    <row r="1118" spans="1:8">
      <c r="A1118" s="48"/>
      <c r="B1118" s="49"/>
      <c r="C1118" s="50"/>
      <c r="D1118" s="67"/>
      <c r="E1118" s="50"/>
      <c r="F1118" s="64"/>
      <c r="G1118" s="50"/>
      <c r="H1118" s="50"/>
    </row>
    <row r="1119" spans="1:8">
      <c r="A1119" s="48"/>
      <c r="B1119" s="49"/>
      <c r="C1119" s="50"/>
      <c r="D1119" s="67"/>
      <c r="E1119" s="50"/>
      <c r="F1119" s="64"/>
      <c r="G1119" s="50"/>
      <c r="H1119" s="50"/>
    </row>
    <row r="1120" spans="1:8">
      <c r="A1120" s="48"/>
      <c r="B1120" s="49"/>
      <c r="C1120" s="50"/>
      <c r="D1120" s="67"/>
      <c r="E1120" s="50"/>
      <c r="F1120" s="64"/>
      <c r="G1120" s="50"/>
      <c r="H1120" s="50"/>
    </row>
    <row r="1121" spans="1:8">
      <c r="A1121" s="48"/>
      <c r="B1121" s="49"/>
      <c r="C1121" s="50"/>
      <c r="D1121" s="67"/>
      <c r="E1121" s="50"/>
      <c r="F1121" s="64"/>
      <c r="G1121" s="50"/>
      <c r="H1121" s="50"/>
    </row>
    <row r="1122" spans="1:8">
      <c r="A1122" s="48"/>
      <c r="B1122" s="49"/>
      <c r="C1122" s="50"/>
      <c r="D1122" s="67"/>
      <c r="E1122" s="50"/>
      <c r="F1122" s="64"/>
      <c r="G1122" s="50"/>
      <c r="H1122" s="50"/>
    </row>
    <row r="1123" spans="1:8">
      <c r="A1123" s="48"/>
      <c r="B1123" s="49"/>
      <c r="C1123" s="50"/>
      <c r="D1123" s="67"/>
      <c r="E1123" s="50"/>
      <c r="F1123" s="64"/>
      <c r="G1123" s="50"/>
      <c r="H1123" s="50"/>
    </row>
    <row r="1124" spans="1:8">
      <c r="A1124" s="48"/>
      <c r="B1124" s="49"/>
      <c r="C1124" s="50"/>
      <c r="D1124" s="67"/>
      <c r="E1124" s="50"/>
      <c r="F1124" s="64"/>
      <c r="G1124" s="50"/>
      <c r="H1124" s="50"/>
    </row>
    <row r="1125" spans="1:8">
      <c r="A1125" s="48"/>
      <c r="B1125" s="49"/>
      <c r="C1125" s="50"/>
      <c r="D1125" s="67"/>
      <c r="E1125" s="50"/>
      <c r="F1125" s="64"/>
      <c r="G1125" s="50"/>
      <c r="H1125" s="50"/>
    </row>
    <row r="1126" spans="1:8">
      <c r="A1126" s="48"/>
      <c r="B1126" s="49"/>
      <c r="C1126" s="50"/>
      <c r="D1126" s="67"/>
      <c r="E1126" s="50"/>
      <c r="F1126" s="64"/>
      <c r="G1126" s="50"/>
      <c r="H1126" s="50"/>
    </row>
    <row r="1127" spans="1:8">
      <c r="A1127" s="48"/>
      <c r="B1127" s="49"/>
      <c r="C1127" s="50"/>
      <c r="D1127" s="67"/>
      <c r="E1127" s="50"/>
      <c r="F1127" s="64"/>
      <c r="G1127" s="50"/>
      <c r="H1127" s="50"/>
    </row>
    <row r="1128" spans="1:8">
      <c r="A1128" s="48"/>
      <c r="B1128" s="49"/>
      <c r="C1128" s="50"/>
      <c r="D1128" s="67"/>
      <c r="E1128" s="50"/>
      <c r="F1128" s="64"/>
      <c r="G1128" s="50"/>
      <c r="H1128" s="50"/>
    </row>
    <row r="1129" spans="1:8">
      <c r="A1129" s="48"/>
      <c r="B1129" s="49"/>
      <c r="C1129" s="50"/>
      <c r="D1129" s="67"/>
      <c r="E1129" s="50"/>
      <c r="F1129" s="64"/>
      <c r="G1129" s="50"/>
      <c r="H1129" s="50"/>
    </row>
    <row r="1130" spans="1:8">
      <c r="A1130" s="48"/>
      <c r="B1130" s="49"/>
      <c r="C1130" s="50"/>
      <c r="D1130" s="67"/>
      <c r="E1130" s="50"/>
      <c r="F1130" s="64"/>
      <c r="G1130" s="50"/>
      <c r="H1130" s="50"/>
    </row>
    <row r="1131" spans="1:8">
      <c r="A1131" s="48"/>
      <c r="B1131" s="49"/>
      <c r="C1131" s="50"/>
      <c r="D1131" s="67"/>
      <c r="E1131" s="50"/>
      <c r="F1131" s="64"/>
      <c r="G1131" s="50"/>
      <c r="H1131" s="50"/>
    </row>
    <row r="1132" spans="1:8">
      <c r="A1132" s="48"/>
      <c r="B1132" s="49"/>
      <c r="C1132" s="50"/>
      <c r="D1132" s="67"/>
      <c r="E1132" s="50"/>
      <c r="F1132" s="64"/>
      <c r="G1132" s="50"/>
      <c r="H1132" s="50"/>
    </row>
    <row r="1133" spans="1:8">
      <c r="A1133" s="48"/>
      <c r="B1133" s="49"/>
      <c r="C1133" s="50"/>
      <c r="D1133" s="67"/>
      <c r="E1133" s="50"/>
      <c r="F1133" s="64"/>
      <c r="G1133" s="50"/>
      <c r="H1133" s="50"/>
    </row>
    <row r="1134" spans="1:8">
      <c r="A1134" s="48"/>
      <c r="B1134" s="49"/>
      <c r="C1134" s="50"/>
      <c r="D1134" s="67"/>
      <c r="E1134" s="50"/>
      <c r="F1134" s="64"/>
      <c r="G1134" s="50"/>
      <c r="H1134" s="50"/>
    </row>
    <row r="1135" spans="1:8">
      <c r="A1135" s="48"/>
      <c r="B1135" s="49"/>
      <c r="C1135" s="50"/>
      <c r="D1135" s="67"/>
      <c r="E1135" s="50"/>
      <c r="F1135" s="64"/>
      <c r="G1135" s="50"/>
      <c r="H1135" s="50"/>
    </row>
    <row r="1136" spans="1:8">
      <c r="A1136" s="48"/>
      <c r="B1136" s="49"/>
      <c r="C1136" s="50"/>
      <c r="D1136" s="67"/>
      <c r="E1136" s="50"/>
      <c r="F1136" s="64"/>
      <c r="G1136" s="50"/>
      <c r="H1136" s="50"/>
    </row>
    <row r="1137" spans="1:8">
      <c r="A1137" s="48"/>
      <c r="B1137" s="49"/>
      <c r="C1137" s="50"/>
      <c r="D1137" s="67"/>
      <c r="E1137" s="50"/>
      <c r="F1137" s="64"/>
      <c r="G1137" s="50"/>
      <c r="H1137" s="50"/>
    </row>
    <row r="1138" spans="1:8">
      <c r="A1138" s="48"/>
      <c r="B1138" s="49"/>
      <c r="C1138" s="50"/>
      <c r="D1138" s="67"/>
      <c r="E1138" s="50"/>
      <c r="F1138" s="64"/>
      <c r="G1138" s="50"/>
      <c r="H1138" s="50"/>
    </row>
    <row r="1139" spans="1:8">
      <c r="A1139" s="48"/>
      <c r="B1139" s="49"/>
      <c r="C1139" s="50"/>
      <c r="D1139" s="67"/>
      <c r="E1139" s="50"/>
      <c r="F1139" s="64"/>
      <c r="G1139" s="50"/>
      <c r="H1139" s="50"/>
    </row>
    <row r="1140" spans="1:8">
      <c r="A1140" s="48"/>
      <c r="B1140" s="49"/>
      <c r="C1140" s="50"/>
      <c r="D1140" s="67"/>
      <c r="E1140" s="50"/>
      <c r="F1140" s="64"/>
      <c r="G1140" s="50"/>
      <c r="H1140" s="50"/>
    </row>
    <row r="1141" spans="1:8">
      <c r="A1141" s="48"/>
      <c r="B1141" s="49"/>
      <c r="C1141" s="50"/>
      <c r="D1141" s="67"/>
      <c r="E1141" s="50"/>
      <c r="F1141" s="64"/>
      <c r="G1141" s="50"/>
      <c r="H1141" s="50"/>
    </row>
    <row r="1142" spans="1:8">
      <c r="A1142" s="48"/>
      <c r="B1142" s="49"/>
      <c r="C1142" s="50"/>
      <c r="D1142" s="67"/>
      <c r="E1142" s="50"/>
      <c r="F1142" s="64"/>
      <c r="G1142" s="50"/>
      <c r="H1142" s="50"/>
    </row>
    <row r="1143" spans="1:8">
      <c r="A1143" s="48"/>
      <c r="B1143" s="49"/>
      <c r="C1143" s="50"/>
      <c r="D1143" s="67"/>
      <c r="E1143" s="50"/>
      <c r="F1143" s="64"/>
      <c r="G1143" s="50"/>
      <c r="H1143" s="50"/>
    </row>
    <row r="1144" spans="1:8">
      <c r="A1144" s="48"/>
      <c r="B1144" s="49"/>
      <c r="C1144" s="50"/>
      <c r="D1144" s="67"/>
      <c r="E1144" s="50"/>
      <c r="F1144" s="64"/>
      <c r="G1144" s="50"/>
      <c r="H1144" s="50"/>
    </row>
    <row r="1145" spans="1:8">
      <c r="A1145" s="48"/>
      <c r="B1145" s="49"/>
      <c r="C1145" s="50"/>
      <c r="D1145" s="67"/>
      <c r="E1145" s="50"/>
      <c r="F1145" s="64"/>
      <c r="G1145" s="50"/>
      <c r="H1145" s="50"/>
    </row>
    <row r="1146" spans="1:8">
      <c r="A1146" s="48"/>
      <c r="B1146" s="49"/>
      <c r="C1146" s="50"/>
      <c r="D1146" s="67"/>
      <c r="E1146" s="50"/>
      <c r="F1146" s="64"/>
      <c r="G1146" s="50"/>
      <c r="H1146" s="50"/>
    </row>
    <row r="1147" spans="1:8">
      <c r="A1147" s="48"/>
      <c r="B1147" s="49"/>
      <c r="C1147" s="50"/>
      <c r="D1147" s="67"/>
      <c r="E1147" s="50"/>
      <c r="F1147" s="64"/>
      <c r="G1147" s="50"/>
      <c r="H1147" s="50"/>
    </row>
    <row r="1148" spans="1:8">
      <c r="A1148" s="48"/>
      <c r="B1148" s="49"/>
      <c r="C1148" s="50"/>
      <c r="D1148" s="67"/>
      <c r="E1148" s="50"/>
      <c r="F1148" s="64"/>
      <c r="G1148" s="50"/>
      <c r="H1148" s="50"/>
    </row>
    <row r="1149" spans="1:8">
      <c r="A1149" s="48"/>
      <c r="B1149" s="49"/>
      <c r="C1149" s="50"/>
      <c r="D1149" s="67"/>
      <c r="E1149" s="50"/>
      <c r="F1149" s="64"/>
      <c r="G1149" s="50"/>
      <c r="H1149" s="50"/>
    </row>
    <row r="1150" spans="1:8">
      <c r="A1150" s="48"/>
      <c r="B1150" s="49"/>
      <c r="C1150" s="50"/>
      <c r="D1150" s="67"/>
      <c r="E1150" s="50"/>
      <c r="F1150" s="64"/>
      <c r="G1150" s="50"/>
      <c r="H1150" s="50"/>
    </row>
    <row r="1151" spans="1:8">
      <c r="A1151" s="48"/>
      <c r="B1151" s="49"/>
      <c r="C1151" s="50"/>
      <c r="D1151" s="67"/>
      <c r="E1151" s="50"/>
      <c r="F1151" s="64"/>
      <c r="G1151" s="50"/>
      <c r="H1151" s="50"/>
    </row>
    <row r="1152" spans="1:8">
      <c r="A1152" s="48"/>
      <c r="B1152" s="49"/>
      <c r="C1152" s="50"/>
      <c r="D1152" s="67"/>
      <c r="E1152" s="50"/>
      <c r="F1152" s="64"/>
      <c r="G1152" s="50"/>
      <c r="H1152" s="50"/>
    </row>
    <row r="1153" spans="1:8">
      <c r="A1153" s="48"/>
      <c r="B1153" s="49"/>
      <c r="C1153" s="50"/>
      <c r="D1153" s="67"/>
      <c r="E1153" s="50"/>
      <c r="F1153" s="64"/>
      <c r="G1153" s="50"/>
      <c r="H1153" s="50"/>
    </row>
    <row r="1154" spans="1:8">
      <c r="A1154" s="48"/>
      <c r="B1154" s="49"/>
      <c r="C1154" s="50"/>
      <c r="D1154" s="67"/>
      <c r="E1154" s="50"/>
      <c r="F1154" s="64"/>
      <c r="G1154" s="50"/>
      <c r="H1154" s="50"/>
    </row>
    <row r="1155" spans="1:8">
      <c r="A1155" s="48"/>
      <c r="B1155" s="49"/>
      <c r="C1155" s="50"/>
      <c r="D1155" s="67"/>
      <c r="E1155" s="50"/>
      <c r="F1155" s="64"/>
      <c r="G1155" s="50"/>
      <c r="H1155" s="50"/>
    </row>
    <row r="1156" spans="1:8">
      <c r="A1156" s="48"/>
      <c r="B1156" s="49"/>
      <c r="C1156" s="50"/>
      <c r="D1156" s="67"/>
      <c r="E1156" s="50"/>
      <c r="F1156" s="64"/>
      <c r="G1156" s="50"/>
      <c r="H1156" s="50"/>
    </row>
    <row r="1157" spans="1:8">
      <c r="A1157" s="48"/>
      <c r="B1157" s="49"/>
      <c r="C1157" s="50"/>
      <c r="D1157" s="67"/>
      <c r="E1157" s="50"/>
      <c r="F1157" s="64"/>
      <c r="G1157" s="50"/>
      <c r="H1157" s="50"/>
    </row>
    <row r="1158" spans="1:8">
      <c r="A1158" s="48"/>
      <c r="B1158" s="49"/>
      <c r="C1158" s="50"/>
      <c r="D1158" s="67"/>
      <c r="E1158" s="50"/>
      <c r="F1158" s="64"/>
      <c r="G1158" s="50"/>
      <c r="H1158" s="50"/>
    </row>
    <row r="1159" spans="1:8">
      <c r="A1159" s="48"/>
      <c r="B1159" s="49"/>
      <c r="C1159" s="50"/>
      <c r="D1159" s="67"/>
      <c r="E1159" s="50"/>
      <c r="F1159" s="64"/>
      <c r="G1159" s="50"/>
      <c r="H1159" s="50"/>
    </row>
  </sheetData>
  <conditionalFormatting sqref="D2:D28 D33:D59 D62:D65 D77:D94 D96:D146 D149:D203 D206:D218 D220:D1048576">
    <cfRule type="expression" dxfId="77" priority="16">
      <formula>AND($D2&lt;&gt;"",$K2&lt;&gt;"",$D2&lt;=$K2)</formula>
    </cfRule>
    <cfRule type="expression" dxfId="76" priority="17">
      <formula>AND($D2&lt;&gt;"",$K2&lt;&gt;"",$D2&gt;$K2)</formula>
    </cfRule>
  </conditionalFormatting>
  <conditionalFormatting sqref="D29:D32">
    <cfRule type="cellIs" dxfId="75" priority="3" operator="lessThanOrEqual">
      <formula>J29</formula>
    </cfRule>
    <cfRule type="cellIs" dxfId="74" priority="4" operator="greaterThan">
      <formula>J29</formula>
    </cfRule>
  </conditionalFormatting>
  <conditionalFormatting sqref="D33:D59 D2:D28 D62:D65 D77:D94 D96:D146 D149:D183 D201:D203 D206:D218 D220:D1048576">
    <cfRule type="expression" dxfId="73" priority="15">
      <formula>AND($D2&lt;&gt;"",$F2&lt;&gt;"",$D2&lt;$F2)</formula>
    </cfRule>
  </conditionalFormatting>
  <conditionalFormatting sqref="D46:D47 D49:D58">
    <cfRule type="cellIs" dxfId="72" priority="12" operator="greaterThan">
      <formula>J46</formula>
    </cfRule>
  </conditionalFormatting>
  <conditionalFormatting sqref="D48:D49">
    <cfRule type="cellIs" dxfId="71" priority="7" operator="lessThanOrEqual">
      <formula>J21</formula>
    </cfRule>
    <cfRule type="cellIs" dxfId="70" priority="8" operator="greaterThan">
      <formula>J21</formula>
    </cfRule>
  </conditionalFormatting>
  <conditionalFormatting sqref="D49:D58 D46:D47">
    <cfRule type="cellIs" dxfId="69" priority="11" operator="lessThanOrEqual">
      <formula>J46</formula>
    </cfRule>
  </conditionalFormatting>
  <conditionalFormatting sqref="D50:D51">
    <cfRule type="cellIs" dxfId="68" priority="5" operator="lessThanOrEqual">
      <formula>J61</formula>
    </cfRule>
    <cfRule type="cellIs" dxfId="67" priority="6" operator="greaterThan">
      <formula>J61</formula>
    </cfRule>
  </conditionalFormatting>
  <conditionalFormatting sqref="D52:D53">
    <cfRule type="cellIs" dxfId="66" priority="124" operator="lessThanOrEqual">
      <formula>#REF!</formula>
    </cfRule>
    <cfRule type="cellIs" dxfId="65" priority="125" operator="greaterThan">
      <formula>#REF!</formula>
    </cfRule>
  </conditionalFormatting>
  <conditionalFormatting sqref="D60:D61">
    <cfRule type="cellIs" dxfId="64" priority="55" operator="lessThanOrEqual">
      <formula>#REF!</formula>
    </cfRule>
    <cfRule type="cellIs" dxfId="63" priority="56" operator="greaterThan">
      <formula>#REF!</formula>
    </cfRule>
    <cfRule type="expression" dxfId="62" priority="63">
      <formula>AND($D60&lt;&gt;"",#REF!&lt;&gt;"",$D60&gt;#REF!)</formula>
    </cfRule>
    <cfRule type="expression" dxfId="61" priority="64">
      <formula>AND($D60&lt;&gt;"",#REF!&lt;&gt;"",$D60&lt;=#REF!)</formula>
    </cfRule>
    <cfRule type="expression" dxfId="60" priority="65">
      <formula>AND($D60&lt;&gt;"",#REF!&lt;&gt;"",$D60&lt;#REF!)</formula>
    </cfRule>
  </conditionalFormatting>
  <conditionalFormatting sqref="D66:D80 D204:D206 D211:D214">
    <cfRule type="expression" dxfId="59" priority="67">
      <formula>AND($D66&lt;&gt;"",$K67&lt;&gt;"",$D66&gt;$K67)</formula>
    </cfRule>
    <cfRule type="expression" dxfId="58" priority="70">
      <formula>AND($D66&lt;&gt;"",$K67&lt;&gt;"",$D66&lt;=$K67)</formula>
    </cfRule>
    <cfRule type="expression" dxfId="57" priority="73">
      <formula>AND($D66&lt;&gt;"",$F67&lt;&gt;"",$D66&lt;$F67)</formula>
    </cfRule>
  </conditionalFormatting>
  <conditionalFormatting sqref="D94">
    <cfRule type="expression" dxfId="56" priority="99">
      <formula>AND($D94&lt;&gt;"",#REF!&lt;&gt;"",$D94&gt;#REF!)</formula>
    </cfRule>
    <cfRule type="expression" dxfId="55" priority="103">
      <formula>AND($D94&lt;&gt;"",#REF!&lt;&gt;"",$D94&lt;=#REF!)</formula>
    </cfRule>
    <cfRule type="expression" dxfId="54" priority="107">
      <formula>AND($D94&lt;&gt;"",#REF!&lt;&gt;"",$D94&lt;#REF!)</formula>
    </cfRule>
  </conditionalFormatting>
  <conditionalFormatting sqref="D95 D148 D219">
    <cfRule type="expression" dxfId="53" priority="98">
      <formula>AND($D95&lt;&gt;"",$K94&lt;&gt;"",$D95&gt;$K94)</formula>
    </cfRule>
    <cfRule type="expression" dxfId="52" priority="102">
      <formula>AND($D95&lt;&gt;"",$K94&lt;&gt;"",$D95&lt;=$K94)</formula>
    </cfRule>
    <cfRule type="expression" dxfId="51" priority="106">
      <formula>AND($D95&lt;&gt;"",$F94&lt;&gt;"",$D95&lt;$F94)</formula>
    </cfRule>
  </conditionalFormatting>
  <conditionalFormatting sqref="D184:D200">
    <cfRule type="expression" dxfId="50" priority="138">
      <formula>AND($D184&lt;&gt;"",$G184&lt;&gt;"",$D184&lt;$G184)</formula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CEC6205F-C04D-421F-BE74-4F954C1E4F22}">
          <x14:formula1>
            <xm:f>' CARGOS Y ESTADOS'!$B$5:$B$42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C67B-510A-4153-BE10-2768A2C3E74F}">
  <sheetPr filterMode="1"/>
  <dimension ref="A1:M51"/>
  <sheetViews>
    <sheetView workbookViewId="0">
      <selection activeCell="B23" sqref="B23"/>
    </sheetView>
  </sheetViews>
  <sheetFormatPr baseColWidth="10" defaultColWidth="9.140625" defaultRowHeight="12.75"/>
  <cols>
    <col min="1" max="1" width="30.7109375" customWidth="1"/>
    <col min="2" max="2" width="32.7109375" customWidth="1"/>
    <col min="3" max="3" width="13.85546875" customWidth="1"/>
    <col min="4" max="4" width="25.42578125" customWidth="1"/>
    <col min="5" max="5" width="17.7109375" customWidth="1"/>
    <col min="6" max="6" width="28.140625" customWidth="1"/>
    <col min="7" max="7" width="15.5703125" customWidth="1"/>
    <col min="8" max="8" width="42.5703125" customWidth="1"/>
    <col min="9" max="9" width="12.7109375" customWidth="1"/>
    <col min="10" max="10" width="15.140625" customWidth="1"/>
    <col min="11" max="11" width="15.85546875" customWidth="1"/>
    <col min="13" max="13" width="19" customWidth="1"/>
  </cols>
  <sheetData>
    <row r="1" spans="1:13" ht="25.5">
      <c r="A1" s="286" t="s">
        <v>24</v>
      </c>
      <c r="B1" s="287" t="s">
        <v>25</v>
      </c>
      <c r="C1" s="287" t="s">
        <v>26</v>
      </c>
      <c r="D1" s="288" t="s">
        <v>27</v>
      </c>
      <c r="E1" s="286" t="s">
        <v>28</v>
      </c>
      <c r="F1" s="289" t="s">
        <v>29</v>
      </c>
      <c r="G1" s="286" t="s">
        <v>30</v>
      </c>
      <c r="H1" s="286" t="s">
        <v>31</v>
      </c>
      <c r="I1" s="290" t="s">
        <v>32</v>
      </c>
      <c r="J1" s="290" t="s">
        <v>33</v>
      </c>
      <c r="K1" s="291" t="s">
        <v>34</v>
      </c>
      <c r="L1" s="292" t="s">
        <v>35</v>
      </c>
      <c r="M1" s="293" t="s">
        <v>36</v>
      </c>
    </row>
    <row r="2" spans="1:13" ht="15" hidden="1">
      <c r="A2" s="306" t="s">
        <v>570</v>
      </c>
      <c r="B2" s="307" t="s">
        <v>53</v>
      </c>
      <c r="C2" s="165" t="s">
        <v>39</v>
      </c>
      <c r="D2" s="296">
        <v>46031</v>
      </c>
      <c r="E2" s="165" t="s">
        <v>40</v>
      </c>
      <c r="F2" s="308">
        <v>46003</v>
      </c>
      <c r="G2" s="309" t="s">
        <v>521</v>
      </c>
      <c r="H2" s="310" t="s">
        <v>571</v>
      </c>
      <c r="I2" s="306"/>
      <c r="J2" s="311"/>
      <c r="K2" s="15" cm="1">
        <f t="array" ref="K2">IF(OR($B2="",$F2=""),"",WORKDAY.INTL(IF(ISNUMBER($F2),$F2,FECHA.VALOR($F2)),IF(UPPER(TRIM($B2))="AUXILIAR DE COCINA",10,15),1,FESTIVOS!$A$3:$A$1000))</f>
        <v>46020</v>
      </c>
      <c r="L2" s="301">
        <f t="shared" ref="L2:L7" si="0">IF($F3="","",DATE(
    YEAR(EDATE($F3,IF(DAY($F3)&gt;=IF(UPPER(TRIM($B3))="AUXILIAR DE COCINA",17,11),1,0))),
    MONTH(EDATE($F3,IF(DAY($F3)&gt;=IF(UPPER(TRIM($B3))="AUXILIAR DE COCINA",17,11),1,0))),
    1
))</f>
        <v>46023</v>
      </c>
      <c r="M2" s="302" t="str">
        <f t="shared" ref="M2:M8" si="1">IF($K2="","",IF(OR($D2="",$D2&lt;$F2),"PENDIENTE",IF($D2&lt;=$K2,"A TIEMPO","FUERA DE TIEMPO")))</f>
        <v>FUERA DE TIEMPO</v>
      </c>
    </row>
    <row r="3" spans="1:13" ht="15" hidden="1">
      <c r="A3" s="304" t="s">
        <v>572</v>
      </c>
      <c r="B3" s="17" t="s">
        <v>53</v>
      </c>
      <c r="C3" s="17" t="s">
        <v>39</v>
      </c>
      <c r="D3" s="312">
        <v>46031</v>
      </c>
      <c r="E3" s="17" t="s">
        <v>40</v>
      </c>
      <c r="F3" s="154">
        <v>46013</v>
      </c>
      <c r="G3" s="164" t="s">
        <v>521</v>
      </c>
      <c r="H3" s="211" t="s">
        <v>573</v>
      </c>
      <c r="I3" s="282"/>
      <c r="J3" s="313"/>
      <c r="K3" s="15" cm="1">
        <f t="array" ref="K3">IF(OR($B3="",$F3=""),"",WORKDAY.INTL(IF(ISNUMBER($F3),$F3,FECHA.VALOR($F3)),IF(UPPER(TRIM($B3))="AUXILIAR DE COCINA",10,15),1,FESTIVOS!$A$3:$A$1000))</f>
        <v>46029</v>
      </c>
      <c r="L3" s="314">
        <f t="shared" si="0"/>
        <v>46023</v>
      </c>
      <c r="M3" s="315" t="str">
        <f t="shared" si="1"/>
        <v>FUERA DE TIEMPO</v>
      </c>
    </row>
    <row r="4" spans="1:13" ht="15" hidden="1">
      <c r="A4" s="303" t="s">
        <v>574</v>
      </c>
      <c r="B4" s="295" t="s">
        <v>53</v>
      </c>
      <c r="C4" s="165" t="s">
        <v>39</v>
      </c>
      <c r="D4" s="167">
        <v>46038</v>
      </c>
      <c r="E4" s="165" t="s">
        <v>40</v>
      </c>
      <c r="F4" s="297">
        <v>46029</v>
      </c>
      <c r="G4" s="298" t="s">
        <v>575</v>
      </c>
      <c r="H4" s="165" t="s">
        <v>576</v>
      </c>
      <c r="I4" s="316" t="s">
        <v>180</v>
      </c>
      <c r="J4" s="309" t="s">
        <v>287</v>
      </c>
      <c r="K4" s="27" cm="1">
        <f t="array" ref="K4">IF(OR($B4="",$F4=""),"",WORKDAY.INTL(IF(ISNUMBER($F4),$F4,FECHA.VALOR($F4)),IF(UPPER(TRIM($B4))="AUXILIAR DE COCINA",10,15),1,FESTIVOS!$A$3:$A$1000))</f>
        <v>46044</v>
      </c>
      <c r="L4" s="301">
        <f t="shared" si="0"/>
        <v>46023</v>
      </c>
      <c r="M4" s="302" t="str">
        <f t="shared" si="1"/>
        <v>A TIEMPO</v>
      </c>
    </row>
    <row r="5" spans="1:13" ht="15" hidden="1">
      <c r="A5" s="304" t="s">
        <v>577</v>
      </c>
      <c r="B5" s="317" t="s">
        <v>53</v>
      </c>
      <c r="C5" s="17" t="s">
        <v>39</v>
      </c>
      <c r="D5" s="312">
        <v>46038</v>
      </c>
      <c r="E5" s="17" t="s">
        <v>40</v>
      </c>
      <c r="F5" s="318">
        <v>46029</v>
      </c>
      <c r="G5" s="319" t="s">
        <v>575</v>
      </c>
      <c r="H5" s="17" t="s">
        <v>571</v>
      </c>
      <c r="I5" s="227" t="s">
        <v>180</v>
      </c>
      <c r="J5" s="161" t="s">
        <v>287</v>
      </c>
      <c r="K5" s="27" cm="1">
        <f t="array" ref="K5">IF(OR($B5="",$F5=""),"",WORKDAY.INTL(IF(ISNUMBER($F5),$F5,FECHA.VALOR($F5)),IF(UPPER(TRIM($B5))="AUXILIAR DE COCINA",10,15),1,FESTIVOS!$A$3:$A$1000))</f>
        <v>46044</v>
      </c>
      <c r="L5" s="314">
        <f t="shared" si="0"/>
        <v>46054</v>
      </c>
      <c r="M5" s="315" t="str">
        <f t="shared" si="1"/>
        <v>A TIEMPO</v>
      </c>
    </row>
    <row r="6" spans="1:13" ht="15" hidden="1">
      <c r="A6" s="305" t="s">
        <v>578</v>
      </c>
      <c r="B6" s="295" t="s">
        <v>53</v>
      </c>
      <c r="C6" s="165" t="s">
        <v>39</v>
      </c>
      <c r="D6" s="296">
        <v>46044</v>
      </c>
      <c r="E6" s="165" t="s">
        <v>40</v>
      </c>
      <c r="F6" s="320">
        <v>46041</v>
      </c>
      <c r="G6" s="298" t="s">
        <v>575</v>
      </c>
      <c r="H6" s="321" t="s">
        <v>579</v>
      </c>
      <c r="I6" s="299" t="s">
        <v>180</v>
      </c>
      <c r="J6" s="322" t="s">
        <v>287</v>
      </c>
      <c r="K6" s="27" cm="1">
        <f t="array" ref="K6">IF(OR($B6="",$F6=""),"",WORKDAY.INTL(IF(ISNUMBER($F6),$F6,FECHA.VALOR($F6)),IF(UPPER(TRIM($B6))="AUXILIAR DE COCINA",10,15),1,FESTIVOS!$A$3:$A$1000))</f>
        <v>46055</v>
      </c>
      <c r="L6" s="301">
        <f t="shared" si="0"/>
        <v>46054</v>
      </c>
      <c r="M6" s="302" t="str">
        <f t="shared" si="1"/>
        <v>A TIEMPO</v>
      </c>
    </row>
    <row r="7" spans="1:13" ht="15" hidden="1">
      <c r="A7" s="304" t="s">
        <v>580</v>
      </c>
      <c r="B7" s="317" t="s">
        <v>53</v>
      </c>
      <c r="C7" s="17" t="s">
        <v>39</v>
      </c>
      <c r="D7" s="312">
        <v>46042</v>
      </c>
      <c r="E7" s="17" t="s">
        <v>40</v>
      </c>
      <c r="F7" s="323">
        <v>46041</v>
      </c>
      <c r="G7" s="319" t="s">
        <v>575</v>
      </c>
      <c r="H7" s="324" t="s">
        <v>581</v>
      </c>
      <c r="I7" s="325" t="s">
        <v>180</v>
      </c>
      <c r="J7" s="326" t="s">
        <v>287</v>
      </c>
      <c r="K7" s="27" cm="1">
        <f t="array" ref="K7">IF(OR($B7="",$F7=""),"",WORKDAY.INTL(IF(ISNUMBER($F7),$F7,FECHA.VALOR($F7)),IF(UPPER(TRIM($B7))="AUXILIAR DE COCINA",10,15),1,FESTIVOS!$A$3:$A$1000))</f>
        <v>46055</v>
      </c>
      <c r="L7" s="314">
        <f t="shared" si="0"/>
        <v>46054</v>
      </c>
      <c r="M7" s="315" t="str">
        <f t="shared" si="1"/>
        <v>A TIEMPO</v>
      </c>
    </row>
    <row r="8" spans="1:13" hidden="1">
      <c r="A8" s="294" t="s">
        <v>582</v>
      </c>
      <c r="B8" s="295" t="s">
        <v>38</v>
      </c>
      <c r="C8" s="165" t="s">
        <v>39</v>
      </c>
      <c r="D8" s="296">
        <v>46042</v>
      </c>
      <c r="E8" s="165" t="s">
        <v>40</v>
      </c>
      <c r="F8" s="320">
        <v>46041</v>
      </c>
      <c r="G8" s="298" t="s">
        <v>575</v>
      </c>
      <c r="H8" s="321" t="s">
        <v>583</v>
      </c>
      <c r="I8" s="327"/>
      <c r="J8" s="328"/>
      <c r="K8" s="27" cm="1">
        <f t="array" ref="K8">IF(OR($B8="",$F8=""),"",WORKDAY.INTL(IF(ISNUMBER($F8),$F8,FECHA.VALOR($F8)),IF(UPPER(TRIM($B8))="AUXILIAR DE COCINA",10,15),1,FESTIVOS!$A$3:$A$1000))</f>
        <v>46062</v>
      </c>
      <c r="L8" s="301" t="e">
        <f>IF(#REF!="","",DATE(
    YEAR(EDATE(#REF!,IF(DAY(#REF!)&gt;=IF(UPPER(TRIM(#REF!))="AUXILIAR DE COCINA",17,11),1,0))),
    MONTH(EDATE(#REF!,IF(DAY(#REF!)&gt;=IF(UPPER(TRIM(#REF!))="AUXILIAR DE COCINA",17,11),1,0))),
    1
))</f>
        <v>#REF!</v>
      </c>
      <c r="M8" s="302" t="str">
        <f t="shared" si="1"/>
        <v>A TIEMPO</v>
      </c>
    </row>
    <row r="9" spans="1:13" ht="15" hidden="1">
      <c r="A9" s="294" t="s">
        <v>584</v>
      </c>
      <c r="B9" s="295" t="s">
        <v>53</v>
      </c>
      <c r="C9" s="165" t="s">
        <v>39</v>
      </c>
      <c r="D9" s="296">
        <v>46083</v>
      </c>
      <c r="E9" s="165" t="s">
        <v>40</v>
      </c>
      <c r="F9" s="297">
        <v>46071</v>
      </c>
      <c r="G9" s="298" t="s">
        <v>575</v>
      </c>
      <c r="H9" s="294" t="s">
        <v>585</v>
      </c>
      <c r="I9" s="299" t="s">
        <v>180</v>
      </c>
      <c r="J9" s="300" t="s">
        <v>287</v>
      </c>
      <c r="K9" s="27" cm="1">
        <f t="array" ref="K9">IF(OR($B9="",$F9=""),"",WORKDAY.INTL(IF(ISNUMBER($F9),$F9,FECHA.VALOR($F9)),IF(UPPER(TRIM($B9))="AUXILIAR DE COCINA",10,15),1,FESTIVOS!$A$3:$A$1000))</f>
        <v>46085</v>
      </c>
      <c r="L9" s="301">
        <f t="shared" ref="L9:L15" si="2">IF($F10="","",DATE(
    YEAR(EDATE($F10,IF(DAY($F10)&gt;=IF(UPPER(TRIM($B10))="AUXILIAR DE COCINA",17,11),1,0))),
    MONTH(EDATE($F10,IF(DAY($F10)&gt;=IF(UPPER(TRIM($B10))="AUXILIAR DE COCINA",17,11),1,0))),
    1
))</f>
        <v>46082</v>
      </c>
      <c r="M9" s="302" t="str">
        <f t="shared" ref="M9:M15" si="3">IF($K9="","",IF(OR($D9="",$D9&lt;$F9),"PENDIENTE",IF($D9&lt;=$K9,"A TIEMPO","FUERA DE TIEMPO")))</f>
        <v>A TIEMPO</v>
      </c>
    </row>
    <row r="10" spans="1:13" ht="30" hidden="1">
      <c r="A10" s="294" t="s">
        <v>586</v>
      </c>
      <c r="B10" s="295" t="s">
        <v>53</v>
      </c>
      <c r="C10" s="165" t="s">
        <v>39</v>
      </c>
      <c r="D10" s="296">
        <v>46090</v>
      </c>
      <c r="E10" s="165" t="s">
        <v>40</v>
      </c>
      <c r="F10" s="297">
        <v>46076</v>
      </c>
      <c r="G10" s="298" t="s">
        <v>575</v>
      </c>
      <c r="H10" s="294" t="s">
        <v>587</v>
      </c>
      <c r="I10" s="299" t="s">
        <v>180</v>
      </c>
      <c r="J10" s="300" t="s">
        <v>588</v>
      </c>
      <c r="K10" s="27" cm="1">
        <f t="array" ref="K10">IF(OR($B10="",$F10=""),"",WORKDAY.INTL(IF(ISNUMBER($F10),$F10,FECHA.VALOR($F10)),IF(UPPER(TRIM($B10))="AUXILIAR DE COCINA",10,15),1,FESTIVOS!$A$3:$A$1000))</f>
        <v>46090</v>
      </c>
      <c r="L10" s="301">
        <f t="shared" si="2"/>
        <v>46082</v>
      </c>
      <c r="M10" s="302" t="str">
        <f t="shared" si="3"/>
        <v>A TIEMPO</v>
      </c>
    </row>
    <row r="11" spans="1:13" ht="30" hidden="1">
      <c r="A11" s="294" t="s">
        <v>589</v>
      </c>
      <c r="B11" s="295" t="s">
        <v>539</v>
      </c>
      <c r="C11" s="165" t="s">
        <v>39</v>
      </c>
      <c r="D11" s="296">
        <v>46120</v>
      </c>
      <c r="E11" s="165" t="s">
        <v>40</v>
      </c>
      <c r="F11" s="297">
        <v>46088</v>
      </c>
      <c r="G11" s="298" t="s">
        <v>575</v>
      </c>
      <c r="H11" s="294" t="s">
        <v>590</v>
      </c>
      <c r="I11" s="299" t="s">
        <v>180</v>
      </c>
      <c r="J11" s="300" t="s">
        <v>588</v>
      </c>
      <c r="K11" s="27" cm="1">
        <f t="array" ref="K11">IF(OR($B11="",$F11=""),"",WORKDAY.INTL(IF(ISNUMBER($F11),$F11,FECHA.VALOR($F11)),IF(UPPER(TRIM($B11))="AUXILIAR DE COCINA",10,15),1,FESTIVOS!$A$3:$A$1000))</f>
        <v>46111</v>
      </c>
      <c r="L11" s="301" t="str">
        <f t="shared" si="2"/>
        <v/>
      </c>
      <c r="M11" s="302" t="str">
        <f t="shared" si="3"/>
        <v>FUERA DE TIEMPO</v>
      </c>
    </row>
    <row r="12" spans="1:13" ht="30" hidden="1">
      <c r="A12" s="294"/>
      <c r="B12" s="295" t="s">
        <v>591</v>
      </c>
      <c r="C12" s="165"/>
      <c r="D12" s="296"/>
      <c r="E12" s="165" t="s">
        <v>40</v>
      </c>
      <c r="F12" s="297"/>
      <c r="G12" s="298" t="s">
        <v>521</v>
      </c>
      <c r="H12" s="294" t="s">
        <v>592</v>
      </c>
      <c r="I12" s="299" t="s">
        <v>180</v>
      </c>
      <c r="J12" s="300" t="s">
        <v>588</v>
      </c>
      <c r="K12" s="27"/>
      <c r="L12" s="301"/>
      <c r="M12" s="302"/>
    </row>
    <row r="13" spans="1:13" ht="15" hidden="1">
      <c r="A13" s="294" t="s">
        <v>593</v>
      </c>
      <c r="B13" s="295" t="s">
        <v>53</v>
      </c>
      <c r="C13" s="165" t="s">
        <v>39</v>
      </c>
      <c r="D13" s="296">
        <v>46118</v>
      </c>
      <c r="E13" s="165" t="s">
        <v>40</v>
      </c>
      <c r="F13" s="297">
        <v>46099</v>
      </c>
      <c r="G13" s="298" t="s">
        <v>521</v>
      </c>
      <c r="H13" s="294" t="s">
        <v>586</v>
      </c>
      <c r="I13" s="299" t="s">
        <v>180</v>
      </c>
      <c r="J13" s="300" t="s">
        <v>287</v>
      </c>
      <c r="K13" s="27" cm="1">
        <f t="array" ref="K13">IF(OR($B13="",$F13=""),"",WORKDAY.INTL(IF(ISNUMBER($F13),$F13,FECHA.VALOR($F13)),IF(UPPER(TRIM($B13))="AUXILIAR DE COCINA",10,15),1,FESTIVOS!$A$3:$A$1000))</f>
        <v>46118</v>
      </c>
      <c r="L13" s="301">
        <f t="shared" si="2"/>
        <v>46113</v>
      </c>
      <c r="M13" s="302" t="str">
        <f t="shared" si="3"/>
        <v>A TIEMPO</v>
      </c>
    </row>
    <row r="14" spans="1:13" ht="15" hidden="1">
      <c r="A14" s="294" t="s">
        <v>594</v>
      </c>
      <c r="B14" s="295" t="s">
        <v>38</v>
      </c>
      <c r="C14" s="165" t="s">
        <v>39</v>
      </c>
      <c r="D14" s="296">
        <v>46182</v>
      </c>
      <c r="E14" s="165" t="s">
        <v>40</v>
      </c>
      <c r="F14" s="297">
        <v>46106</v>
      </c>
      <c r="G14" s="298" t="s">
        <v>575</v>
      </c>
      <c r="H14" s="294" t="s">
        <v>595</v>
      </c>
      <c r="I14" s="299" t="s">
        <v>180</v>
      </c>
      <c r="J14" s="300" t="s">
        <v>287</v>
      </c>
      <c r="K14" s="27" cm="1">
        <f t="array" ref="K14">IF(OR($B14="",$F14=""),"",WORKDAY.INTL(IF(ISNUMBER($F14),$F14,FECHA.VALOR($F14)),IF(UPPER(TRIM($B14))="AUXILIAR DE COCINA",10,15),1,FESTIVOS!$A$3:$A$1000))</f>
        <v>46129</v>
      </c>
      <c r="L14" s="301">
        <f t="shared" si="2"/>
        <v>46113</v>
      </c>
      <c r="M14" s="302" t="str">
        <f t="shared" si="3"/>
        <v>FUERA DE TIEMPO</v>
      </c>
    </row>
    <row r="15" spans="1:13" ht="15" hidden="1">
      <c r="A15" s="294" t="s">
        <v>596</v>
      </c>
      <c r="B15" s="295" t="s">
        <v>53</v>
      </c>
      <c r="C15" s="165" t="s">
        <v>39</v>
      </c>
      <c r="D15" s="296">
        <v>46141</v>
      </c>
      <c r="E15" s="165" t="s">
        <v>40</v>
      </c>
      <c r="F15" s="297">
        <v>46115</v>
      </c>
      <c r="G15" s="298" t="s">
        <v>575</v>
      </c>
      <c r="H15" s="294" t="s">
        <v>597</v>
      </c>
      <c r="I15" s="299" t="s">
        <v>180</v>
      </c>
      <c r="J15" s="300" t="s">
        <v>287</v>
      </c>
      <c r="K15" s="27" cm="1">
        <f t="array" ref="K15">IF(OR($B15="",$F15=""),"",WORKDAY.INTL(IF(ISNUMBER($F15),$F15,FECHA.VALOR($F15)),IF(UPPER(TRIM($B15))="AUXILIAR DE COCINA",10,15),1,FESTIVOS!$A$3:$A$1000))</f>
        <v>46129</v>
      </c>
      <c r="L15" s="301" t="str">
        <f t="shared" si="2"/>
        <v/>
      </c>
      <c r="M15" s="302" t="str">
        <f t="shared" si="3"/>
        <v>FUERA DE TIEMPO</v>
      </c>
    </row>
    <row r="16" spans="1:13" ht="15" hidden="1">
      <c r="A16" s="358" t="s">
        <v>598</v>
      </c>
      <c r="B16" s="359"/>
      <c r="C16" s="359"/>
      <c r="D16" s="359"/>
      <c r="E16" s="359"/>
      <c r="F16" s="359"/>
      <c r="G16" s="359"/>
      <c r="H16" s="359"/>
      <c r="I16" s="360"/>
      <c r="J16" s="300"/>
      <c r="K16" s="27"/>
      <c r="L16" s="301"/>
      <c r="M16" s="302"/>
    </row>
    <row r="17" spans="1:13" ht="15">
      <c r="A17" s="294" t="s">
        <v>599</v>
      </c>
      <c r="B17" s="295" t="s">
        <v>600</v>
      </c>
      <c r="C17" s="165" t="s">
        <v>39</v>
      </c>
      <c r="D17" s="296">
        <v>46171</v>
      </c>
      <c r="E17" s="165" t="s">
        <v>40</v>
      </c>
      <c r="F17" s="297">
        <v>46154</v>
      </c>
      <c r="G17" s="298" t="s">
        <v>575</v>
      </c>
      <c r="H17" s="294" t="s">
        <v>601</v>
      </c>
      <c r="I17" s="299" t="s">
        <v>180</v>
      </c>
      <c r="J17" s="300"/>
      <c r="K17" s="27"/>
      <c r="L17" s="301"/>
      <c r="M17" s="302"/>
    </row>
    <row r="18" spans="1:13" ht="15">
      <c r="A18" s="294" t="s">
        <v>602</v>
      </c>
      <c r="B18" s="295" t="s">
        <v>53</v>
      </c>
      <c r="C18" s="165" t="s">
        <v>39</v>
      </c>
      <c r="D18" s="296">
        <v>46175</v>
      </c>
      <c r="E18" s="165" t="s">
        <v>40</v>
      </c>
      <c r="F18" s="297">
        <v>46168</v>
      </c>
      <c r="G18" s="298" t="s">
        <v>575</v>
      </c>
      <c r="H18" s="294" t="s">
        <v>287</v>
      </c>
      <c r="I18" s="299" t="s">
        <v>180</v>
      </c>
      <c r="J18" s="300"/>
      <c r="K18" s="27"/>
      <c r="L18" s="301"/>
      <c r="M18" s="302"/>
    </row>
    <row r="19" spans="1:13" ht="15">
      <c r="A19" s="294" t="s">
        <v>603</v>
      </c>
      <c r="B19" s="295" t="s">
        <v>539</v>
      </c>
      <c r="C19" s="165" t="s">
        <v>39</v>
      </c>
      <c r="D19" s="296">
        <v>46197</v>
      </c>
      <c r="E19" s="165" t="s">
        <v>40</v>
      </c>
      <c r="F19" s="297">
        <v>46191</v>
      </c>
      <c r="G19" s="298" t="s">
        <v>575</v>
      </c>
      <c r="H19" s="294" t="s">
        <v>604</v>
      </c>
      <c r="I19" s="299" t="s">
        <v>180</v>
      </c>
      <c r="J19" s="300"/>
      <c r="K19" s="27"/>
      <c r="L19" s="301"/>
      <c r="M19" s="302"/>
    </row>
    <row r="20" spans="1:13" ht="15">
      <c r="A20" s="294" t="s">
        <v>605</v>
      </c>
      <c r="B20" s="295" t="s">
        <v>600</v>
      </c>
      <c r="C20" s="165" t="s">
        <v>39</v>
      </c>
      <c r="D20" s="296">
        <v>46230</v>
      </c>
      <c r="E20" s="165" t="s">
        <v>40</v>
      </c>
      <c r="F20" s="297">
        <v>46217</v>
      </c>
      <c r="G20" s="298" t="s">
        <v>575</v>
      </c>
      <c r="H20" s="294" t="s">
        <v>606</v>
      </c>
      <c r="I20" s="299" t="s">
        <v>180</v>
      </c>
      <c r="J20" s="300"/>
      <c r="K20" s="27"/>
      <c r="L20" s="301"/>
      <c r="M20" s="302"/>
    </row>
    <row r="21" spans="1:13" ht="15">
      <c r="A21" s="294"/>
      <c r="B21" s="295" t="s">
        <v>53</v>
      </c>
      <c r="C21" s="165"/>
      <c r="D21" s="296"/>
      <c r="E21" s="165" t="s">
        <v>40</v>
      </c>
      <c r="F21" s="297">
        <v>46219</v>
      </c>
      <c r="G21" s="298" t="s">
        <v>575</v>
      </c>
      <c r="H21" s="294" t="s">
        <v>607</v>
      </c>
      <c r="I21" s="299" t="s">
        <v>170</v>
      </c>
      <c r="J21" s="300"/>
      <c r="K21" s="27"/>
      <c r="L21" s="301"/>
      <c r="M21" s="302"/>
    </row>
    <row r="22" spans="1:13" ht="15">
      <c r="A22" s="294" t="s">
        <v>608</v>
      </c>
      <c r="B22" s="295" t="s">
        <v>38</v>
      </c>
      <c r="C22" s="165" t="s">
        <v>39</v>
      </c>
      <c r="D22" s="296">
        <v>46230</v>
      </c>
      <c r="E22" s="165" t="s">
        <v>40</v>
      </c>
      <c r="F22" s="297">
        <v>46232</v>
      </c>
      <c r="G22" s="298" t="s">
        <v>575</v>
      </c>
      <c r="H22" s="294" t="s">
        <v>609</v>
      </c>
      <c r="I22" s="299" t="s">
        <v>180</v>
      </c>
      <c r="J22" s="300"/>
      <c r="K22" s="27"/>
      <c r="L22" s="301"/>
      <c r="M22" s="302"/>
    </row>
    <row r="23" spans="1:13" ht="15">
      <c r="A23" s="294"/>
      <c r="B23" s="295" t="s">
        <v>610</v>
      </c>
      <c r="C23" s="165"/>
      <c r="D23" s="296"/>
      <c r="E23" s="165" t="s">
        <v>40</v>
      </c>
      <c r="F23" s="297">
        <v>46231</v>
      </c>
      <c r="G23" s="298" t="s">
        <v>575</v>
      </c>
      <c r="H23" s="294" t="s">
        <v>611</v>
      </c>
      <c r="I23" s="299" t="s">
        <v>612</v>
      </c>
      <c r="J23" s="300"/>
      <c r="K23" s="27"/>
      <c r="L23" s="301"/>
      <c r="M23" s="302"/>
    </row>
    <row r="24" spans="1:13" ht="15">
      <c r="A24" s="294"/>
      <c r="B24" s="295" t="s">
        <v>53</v>
      </c>
      <c r="C24" s="165"/>
      <c r="D24" s="296"/>
      <c r="E24" s="165" t="s">
        <v>40</v>
      </c>
      <c r="F24" s="297"/>
      <c r="G24" s="298" t="s">
        <v>575</v>
      </c>
      <c r="H24" s="294" t="s">
        <v>613</v>
      </c>
      <c r="I24" s="299" t="s">
        <v>180</v>
      </c>
      <c r="J24" s="300"/>
      <c r="K24" s="27"/>
      <c r="L24" s="301"/>
      <c r="M24" s="302"/>
    </row>
    <row r="25" spans="1:13" ht="15">
      <c r="A25" s="294"/>
      <c r="B25" s="295"/>
      <c r="C25" s="165"/>
      <c r="D25" s="296"/>
      <c r="E25" s="165"/>
      <c r="F25" s="297"/>
      <c r="G25" s="298"/>
      <c r="H25" s="294"/>
      <c r="I25" s="299"/>
      <c r="J25" s="300"/>
      <c r="K25" s="27"/>
      <c r="L25" s="301"/>
      <c r="M25" s="302"/>
    </row>
    <row r="26" spans="1:13" ht="15">
      <c r="A26" s="294"/>
      <c r="B26" s="295"/>
      <c r="C26" s="165"/>
      <c r="D26" s="296"/>
      <c r="E26" s="165"/>
      <c r="F26" s="297"/>
      <c r="G26" s="298"/>
      <c r="H26" s="294"/>
      <c r="I26" s="299"/>
      <c r="J26" s="300"/>
      <c r="K26" s="27"/>
      <c r="L26" s="301"/>
      <c r="M26" s="302"/>
    </row>
    <row r="27" spans="1:13" ht="15">
      <c r="A27" s="294"/>
      <c r="B27" s="295"/>
      <c r="C27" s="165"/>
      <c r="D27" s="296"/>
      <c r="E27" s="165"/>
      <c r="F27" s="297"/>
      <c r="G27" s="298"/>
      <c r="H27" s="294"/>
      <c r="I27" s="299"/>
      <c r="J27" s="300"/>
      <c r="K27" s="27"/>
      <c r="L27" s="301"/>
      <c r="M27" s="302"/>
    </row>
    <row r="28" spans="1:13" ht="15">
      <c r="A28" s="294"/>
      <c r="B28" s="295"/>
      <c r="C28" s="165"/>
      <c r="D28" s="296"/>
      <c r="E28" s="165"/>
      <c r="F28" s="297"/>
      <c r="G28" s="298"/>
      <c r="H28" s="294"/>
      <c r="I28" s="299"/>
      <c r="J28" s="300"/>
      <c r="K28" s="27"/>
      <c r="L28" s="301"/>
      <c r="M28" s="302"/>
    </row>
    <row r="29" spans="1:13" ht="15">
      <c r="A29" s="294"/>
      <c r="B29" s="295"/>
      <c r="C29" s="165"/>
      <c r="D29" s="296"/>
      <c r="E29" s="165"/>
      <c r="F29" s="297"/>
      <c r="G29" s="298"/>
      <c r="H29" s="294"/>
      <c r="I29" s="299"/>
      <c r="J29" s="300"/>
      <c r="K29" s="27"/>
      <c r="L29" s="301"/>
      <c r="M29" s="302"/>
    </row>
    <row r="30" spans="1:13" ht="15">
      <c r="A30" s="294"/>
      <c r="B30" s="295"/>
      <c r="C30" s="165"/>
      <c r="D30" s="296"/>
      <c r="E30" s="165"/>
      <c r="F30" s="297"/>
      <c r="G30" s="298"/>
      <c r="H30" s="294"/>
      <c r="I30" s="299"/>
      <c r="J30" s="300"/>
      <c r="K30" s="27"/>
      <c r="L30" s="301"/>
      <c r="M30" s="302"/>
    </row>
    <row r="31" spans="1:13" ht="15">
      <c r="A31" s="294"/>
      <c r="B31" s="295"/>
      <c r="C31" s="165"/>
      <c r="D31" s="296"/>
      <c r="E31" s="165"/>
      <c r="F31" s="297"/>
      <c r="G31" s="298"/>
      <c r="H31" s="294"/>
      <c r="I31" s="299"/>
      <c r="J31" s="300"/>
      <c r="K31" s="27"/>
      <c r="L31" s="301"/>
      <c r="M31" s="302"/>
    </row>
    <row r="32" spans="1:13" ht="15">
      <c r="A32" s="294"/>
      <c r="B32" s="295"/>
      <c r="C32" s="165"/>
      <c r="D32" s="296"/>
      <c r="E32" s="165"/>
      <c r="F32" s="297"/>
      <c r="G32" s="298"/>
      <c r="H32" s="294"/>
      <c r="I32" s="299"/>
      <c r="J32" s="300"/>
      <c r="K32" s="27"/>
      <c r="L32" s="301"/>
      <c r="M32" s="302"/>
    </row>
    <row r="33" spans="1:13" ht="15">
      <c r="A33" s="294"/>
      <c r="B33" s="295"/>
      <c r="C33" s="165"/>
      <c r="D33" s="296"/>
      <c r="E33" s="165"/>
      <c r="F33" s="297"/>
      <c r="G33" s="298"/>
      <c r="H33" s="294"/>
      <c r="I33" s="299"/>
      <c r="J33" s="300"/>
      <c r="K33" s="27"/>
      <c r="L33" s="301"/>
      <c r="M33" s="302"/>
    </row>
    <row r="34" spans="1:13" ht="15">
      <c r="A34" s="294"/>
      <c r="B34" s="295"/>
      <c r="C34" s="165"/>
      <c r="D34" s="296"/>
      <c r="E34" s="165"/>
      <c r="F34" s="297"/>
      <c r="G34" s="298"/>
      <c r="H34" s="294"/>
      <c r="I34" s="299"/>
      <c r="J34" s="300"/>
      <c r="K34" s="27"/>
      <c r="L34" s="301"/>
      <c r="M34" s="302"/>
    </row>
    <row r="35" spans="1:13" ht="15">
      <c r="A35" s="294"/>
      <c r="B35" s="295"/>
      <c r="C35" s="165"/>
      <c r="D35" s="296"/>
      <c r="E35" s="165"/>
      <c r="F35" s="297"/>
      <c r="G35" s="298"/>
      <c r="H35" s="294"/>
      <c r="I35" s="299"/>
      <c r="J35" s="300"/>
      <c r="K35" s="27"/>
      <c r="L35" s="301"/>
      <c r="M35" s="302"/>
    </row>
    <row r="36" spans="1:13" ht="15">
      <c r="A36" s="294"/>
      <c r="B36" s="295"/>
      <c r="C36" s="165"/>
      <c r="D36" s="296"/>
      <c r="E36" s="165"/>
      <c r="F36" s="297"/>
      <c r="G36" s="298"/>
      <c r="H36" s="294"/>
      <c r="I36" s="299"/>
      <c r="J36" s="300"/>
      <c r="K36" s="27"/>
      <c r="L36" s="301"/>
      <c r="M36" s="302"/>
    </row>
    <row r="37" spans="1:13" ht="15">
      <c r="A37" s="294"/>
      <c r="B37" s="295"/>
      <c r="C37" s="165"/>
      <c r="D37" s="296"/>
      <c r="E37" s="165"/>
      <c r="F37" s="297"/>
      <c r="G37" s="298"/>
      <c r="H37" s="294"/>
      <c r="I37" s="299"/>
      <c r="J37" s="300"/>
      <c r="K37" s="27"/>
      <c r="L37" s="301"/>
      <c r="M37" s="302"/>
    </row>
    <row r="38" spans="1:13" ht="15">
      <c r="A38" s="294"/>
      <c r="B38" s="295"/>
      <c r="C38" s="165"/>
      <c r="D38" s="296"/>
      <c r="E38" s="165"/>
      <c r="F38" s="297"/>
      <c r="G38" s="298"/>
      <c r="H38" s="294"/>
      <c r="I38" s="299"/>
      <c r="J38" s="300"/>
      <c r="K38" s="27"/>
      <c r="L38" s="301"/>
      <c r="M38" s="302"/>
    </row>
    <row r="39" spans="1:13" ht="15">
      <c r="A39" s="294"/>
      <c r="B39" s="295"/>
      <c r="C39" s="165"/>
      <c r="D39" s="296"/>
      <c r="E39" s="165"/>
      <c r="F39" s="297"/>
      <c r="G39" s="298"/>
      <c r="H39" s="294"/>
      <c r="I39" s="299"/>
      <c r="J39" s="300"/>
      <c r="K39" s="27"/>
      <c r="L39" s="301"/>
      <c r="M39" s="302"/>
    </row>
    <row r="40" spans="1:13" ht="15">
      <c r="A40" s="294"/>
      <c r="B40" s="295"/>
      <c r="C40" s="165"/>
      <c r="D40" s="296"/>
      <c r="E40" s="165"/>
      <c r="F40" s="297"/>
      <c r="G40" s="298"/>
      <c r="H40" s="294"/>
      <c r="I40" s="299"/>
      <c r="J40" s="300"/>
      <c r="K40" s="27"/>
      <c r="L40" s="301"/>
      <c r="M40" s="302"/>
    </row>
    <row r="41" spans="1:13" ht="15">
      <c r="A41" s="294"/>
      <c r="B41" s="295"/>
      <c r="C41" s="165"/>
      <c r="D41" s="296"/>
      <c r="E41" s="165"/>
      <c r="F41" s="297"/>
      <c r="G41" s="298"/>
      <c r="H41" s="294"/>
      <c r="I41" s="299"/>
      <c r="J41" s="300"/>
      <c r="K41" s="27"/>
      <c r="L41" s="301"/>
      <c r="M41" s="302"/>
    </row>
    <row r="42" spans="1:13" ht="15">
      <c r="A42" s="294"/>
      <c r="B42" s="295"/>
      <c r="C42" s="165"/>
      <c r="D42" s="296"/>
      <c r="E42" s="165"/>
      <c r="F42" s="297"/>
      <c r="G42" s="298"/>
      <c r="H42" s="294"/>
      <c r="I42" s="299"/>
      <c r="J42" s="300"/>
      <c r="K42" s="27"/>
      <c r="L42" s="301"/>
      <c r="M42" s="302"/>
    </row>
    <row r="43" spans="1:13" ht="15">
      <c r="A43" s="294"/>
      <c r="B43" s="295"/>
      <c r="C43" s="165"/>
      <c r="D43" s="296"/>
      <c r="E43" s="165"/>
      <c r="F43" s="297"/>
      <c r="G43" s="298"/>
      <c r="H43" s="294"/>
      <c r="I43" s="299"/>
      <c r="J43" s="300"/>
      <c r="K43" s="27"/>
      <c r="L43" s="301"/>
      <c r="M43" s="302"/>
    </row>
    <row r="44" spans="1:13" ht="15">
      <c r="A44" s="294"/>
      <c r="B44" s="295"/>
      <c r="C44" s="165"/>
      <c r="D44" s="296"/>
      <c r="E44" s="165"/>
      <c r="F44" s="297"/>
      <c r="G44" s="298"/>
      <c r="H44" s="294"/>
      <c r="I44" s="299"/>
      <c r="J44" s="300"/>
      <c r="K44" s="27"/>
      <c r="L44" s="301"/>
      <c r="M44" s="302"/>
    </row>
    <row r="45" spans="1:13" ht="15">
      <c r="A45" s="294"/>
      <c r="B45" s="295"/>
      <c r="C45" s="165"/>
      <c r="D45" s="296"/>
      <c r="E45" s="165"/>
      <c r="F45" s="297"/>
      <c r="G45" s="298"/>
      <c r="H45" s="294"/>
      <c r="I45" s="299"/>
      <c r="J45" s="300"/>
      <c r="K45" s="27"/>
      <c r="L45" s="301"/>
      <c r="M45" s="302"/>
    </row>
    <row r="46" spans="1:13" ht="15">
      <c r="A46" s="294"/>
      <c r="B46" s="295"/>
      <c r="C46" s="165"/>
      <c r="D46" s="296"/>
      <c r="E46" s="165"/>
      <c r="F46" s="297"/>
      <c r="G46" s="298"/>
      <c r="H46" s="294"/>
      <c r="I46" s="299"/>
      <c r="J46" s="300"/>
      <c r="K46" s="27"/>
      <c r="L46" s="301"/>
      <c r="M46" s="302"/>
    </row>
    <row r="47" spans="1:13" ht="15">
      <c r="A47" s="294"/>
      <c r="B47" s="295"/>
      <c r="C47" s="165"/>
      <c r="D47" s="296"/>
      <c r="E47" s="165"/>
      <c r="F47" s="297"/>
      <c r="G47" s="298"/>
      <c r="H47" s="294"/>
      <c r="I47" s="299"/>
      <c r="J47" s="300"/>
      <c r="K47" s="27"/>
      <c r="L47" s="301"/>
      <c r="M47" s="302"/>
    </row>
    <row r="48" spans="1:13" ht="15">
      <c r="A48" s="294"/>
      <c r="B48" s="295"/>
      <c r="C48" s="165"/>
      <c r="D48" s="296"/>
      <c r="E48" s="165"/>
      <c r="F48" s="297"/>
      <c r="G48" s="298"/>
      <c r="H48" s="294"/>
      <c r="I48" s="299"/>
      <c r="J48" s="300"/>
      <c r="K48" s="27"/>
      <c r="L48" s="301"/>
      <c r="M48" s="302"/>
    </row>
    <row r="49" spans="1:13" ht="15">
      <c r="A49" s="294"/>
      <c r="B49" s="295"/>
      <c r="C49" s="165"/>
      <c r="D49" s="296"/>
      <c r="E49" s="165"/>
      <c r="F49" s="297"/>
      <c r="G49" s="298"/>
      <c r="H49" s="294"/>
      <c r="I49" s="299"/>
      <c r="J49" s="300"/>
      <c r="K49" s="27"/>
      <c r="L49" s="301"/>
      <c r="M49" s="302"/>
    </row>
    <row r="50" spans="1:13" ht="15">
      <c r="A50" s="294"/>
      <c r="B50" s="295"/>
      <c r="C50" s="165"/>
      <c r="D50" s="296"/>
      <c r="E50" s="165"/>
      <c r="F50" s="297"/>
      <c r="G50" s="298"/>
      <c r="H50" s="294"/>
      <c r="I50" s="299"/>
      <c r="J50" s="300"/>
      <c r="K50" s="27"/>
      <c r="L50" s="301"/>
      <c r="M50" s="302"/>
    </row>
    <row r="51" spans="1:13" ht="15">
      <c r="A51" s="294"/>
      <c r="B51" s="295"/>
      <c r="C51" s="165"/>
      <c r="D51" s="296"/>
      <c r="E51" s="165"/>
      <c r="F51" s="297"/>
      <c r="G51" s="298"/>
      <c r="H51" s="294"/>
      <c r="I51" s="299"/>
      <c r="J51" s="300"/>
      <c r="K51" s="27"/>
      <c r="L51" s="301"/>
      <c r="M51" s="302"/>
    </row>
  </sheetData>
  <autoFilter ref="A1:M18" xr:uid="{CDCAC67B-510A-4153-BE10-2768A2C3E74F}">
    <filterColumn colId="5">
      <filters>
        <dateGroupItem year="2026" month="5" dateTimeGrouping="month"/>
      </filters>
    </filterColumn>
  </autoFilter>
  <mergeCells count="1">
    <mergeCell ref="A16:I16"/>
  </mergeCells>
  <conditionalFormatting sqref="D2:D15">
    <cfRule type="expression" dxfId="49" priority="3">
      <formula>AND($D2&lt;&gt;"",$F2&lt;&gt;"",$D2&lt;$F2)</formula>
    </cfRule>
    <cfRule type="expression" dxfId="48" priority="4">
      <formula>AND($D2&lt;&gt;"",$K2&lt;&gt;"",$D2&lt;=$K2)</formula>
    </cfRule>
    <cfRule type="expression" dxfId="47" priority="5">
      <formula>AND($D2&lt;&gt;"",$K2&lt;&gt;"",$D2&gt;$K2)</formula>
    </cfRule>
  </conditionalFormatting>
  <conditionalFormatting sqref="D3:D4">
    <cfRule type="cellIs" dxfId="46" priority="1" operator="lessThanOrEqual">
      <formula>J3</formula>
    </cfRule>
    <cfRule type="cellIs" dxfId="45" priority="2" operator="greaterThan">
      <formula>J3</formula>
    </cfRule>
  </conditionalFormatting>
  <conditionalFormatting sqref="D17:D51">
    <cfRule type="expression" dxfId="44" priority="6">
      <formula>AND($D17&lt;&gt;"",$F17&lt;&gt;"",$D17&lt;$F17)</formula>
    </cfRule>
    <cfRule type="expression" dxfId="43" priority="7">
      <formula>AND($D17&lt;&gt;"",$K17&lt;&gt;"",$D17&lt;=$K17)</formula>
    </cfRule>
    <cfRule type="expression" dxfId="42" priority="8">
      <formula>AND($D17&lt;&gt;"",$K17&lt;&gt;"",$D17&gt;$K17)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E158B35-A8F7-4534-A8DE-2802CF564A70}">
          <x14:formula1>
            <xm:f>' CARGOS Y ESTADOS'!$B$5:$B$42</xm:f>
          </x14:formula1>
          <xm:sqref>B2:B15 B17:B51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7A17-5EE5-4B05-99B2-33B041C083B6}">
  <dimension ref="A1:R960"/>
  <sheetViews>
    <sheetView workbookViewId="0">
      <pane xSplit="4" ySplit="1" topLeftCell="J158" activePane="bottomRight" state="frozen"/>
      <selection pane="topRight"/>
      <selection pane="bottomLeft"/>
      <selection pane="bottomRight" activeCell="K164" sqref="K164:M172"/>
    </sheetView>
  </sheetViews>
  <sheetFormatPr baseColWidth="10" defaultColWidth="12.5703125" defaultRowHeight="15" customHeight="1"/>
  <cols>
    <col min="1" max="1" width="44.5703125" style="80" bestFit="1" customWidth="1"/>
    <col min="2" max="2" width="30.7109375" style="80" bestFit="1" customWidth="1"/>
    <col min="3" max="3" width="20.140625" style="80" bestFit="1" customWidth="1"/>
    <col min="4" max="4" width="28.28515625" style="81" bestFit="1" customWidth="1"/>
    <col min="5" max="5" width="17.5703125" style="81" bestFit="1" customWidth="1"/>
    <col min="6" max="6" width="29.7109375" style="81" customWidth="1"/>
    <col min="7" max="7" width="30.7109375" style="80" bestFit="1" customWidth="1"/>
    <col min="8" max="8" width="48.140625" style="80" bestFit="1" customWidth="1"/>
    <col min="9" max="9" width="21.42578125" style="80" bestFit="1" customWidth="1"/>
    <col min="10" max="10" width="11.28515625" style="80" bestFit="1" customWidth="1"/>
    <col min="11" max="11" width="23.28515625" style="80" bestFit="1" customWidth="1"/>
    <col min="12" max="12" width="21.7109375" style="80" bestFit="1" customWidth="1"/>
    <col min="13" max="13" width="24.85546875" style="80" bestFit="1" customWidth="1"/>
    <col min="14" max="14" width="111" style="13" bestFit="1" customWidth="1"/>
    <col min="15" max="15" width="25.7109375" bestFit="1" customWidth="1"/>
    <col min="16" max="16" width="25.28515625" bestFit="1" customWidth="1"/>
    <col min="17" max="17" width="11.7109375" bestFit="1" customWidth="1"/>
    <col min="18" max="18" width="12.7109375" bestFit="1" customWidth="1"/>
  </cols>
  <sheetData>
    <row r="1" spans="1:18" ht="24.75" customHeight="1">
      <c r="A1" s="336" t="s">
        <v>24</v>
      </c>
      <c r="B1" s="337" t="s">
        <v>25</v>
      </c>
      <c r="C1" s="337" t="s">
        <v>26</v>
      </c>
      <c r="D1" s="336" t="s">
        <v>27</v>
      </c>
      <c r="E1" s="336" t="s">
        <v>28</v>
      </c>
      <c r="F1" s="336" t="s">
        <v>29</v>
      </c>
      <c r="G1" s="336" t="s">
        <v>30</v>
      </c>
      <c r="H1" s="336" t="s">
        <v>31</v>
      </c>
      <c r="I1" s="338" t="s">
        <v>32</v>
      </c>
      <c r="J1" s="338" t="s">
        <v>33</v>
      </c>
      <c r="K1" s="339" t="s">
        <v>34</v>
      </c>
      <c r="L1" s="338" t="s">
        <v>35</v>
      </c>
      <c r="M1" s="338" t="s">
        <v>36</v>
      </c>
      <c r="N1" s="350" t="s">
        <v>614</v>
      </c>
      <c r="O1" s="13"/>
    </row>
    <row r="2" spans="1:18" ht="14.25" customHeight="1">
      <c r="A2" s="260" t="s">
        <v>615</v>
      </c>
      <c r="B2" s="261" t="s">
        <v>616</v>
      </c>
      <c r="C2" s="263" t="s">
        <v>617</v>
      </c>
      <c r="D2" s="340">
        <v>45995</v>
      </c>
      <c r="E2" s="261" t="s">
        <v>618</v>
      </c>
      <c r="F2" s="341">
        <v>45992</v>
      </c>
      <c r="G2" s="263" t="s">
        <v>68</v>
      </c>
      <c r="H2" s="260" t="s">
        <v>619</v>
      </c>
      <c r="I2" s="260"/>
      <c r="J2" s="260"/>
      <c r="K2" s="342" cm="1">
        <f t="array" ref="K2">IF(OR($B2="",$F2=""),"",WORKDAY.INTL(IF(ISNUMBER($F2),$F2,FECHA.VALOR($F2)),IF(UPPER(TRIM($B2))="AUXILIAR DE COCINA",7,10),1,FESTIVOS!$D$3:$D$996))</f>
        <v>46002</v>
      </c>
      <c r="L2" s="343">
        <f>IF($F2="","",DATE(YEAR(EDATE($F2,IF(DAY($F2)&gt;=17,1,0))),MONTH(EDATE($F2,IF(DAY($F2)&gt;=17,1,0))),1))</f>
        <v>45992</v>
      </c>
      <c r="M2" s="348" t="str">
        <f>IF($K2="","",IF(OR($D2="",$D2&lt;$F2),"PENDIENTE",IF($D2&lt;=$K2,"A TIEMPO","FUERA DE TIEMPO")))</f>
        <v>A TIEMPO</v>
      </c>
      <c r="N2" s="11"/>
      <c r="O2" s="349" t="s">
        <v>43</v>
      </c>
      <c r="P2" s="75" t="s">
        <v>36</v>
      </c>
    </row>
    <row r="3" spans="1:18">
      <c r="A3" s="253" t="s">
        <v>620</v>
      </c>
      <c r="B3" s="254" t="s">
        <v>616</v>
      </c>
      <c r="C3" s="255" t="s">
        <v>617</v>
      </c>
      <c r="D3" s="340">
        <v>45995</v>
      </c>
      <c r="E3" s="254" t="s">
        <v>621</v>
      </c>
      <c r="F3" s="258">
        <v>45992</v>
      </c>
      <c r="G3" s="255" t="s">
        <v>68</v>
      </c>
      <c r="H3" s="253" t="s">
        <v>622</v>
      </c>
      <c r="I3" s="253"/>
      <c r="J3" s="253"/>
      <c r="K3" s="342" cm="1">
        <f t="array" ref="K3">IF(OR($B3="",$F3=""),"",WORKDAY.INTL(IF(ISNUMBER($F3),$F3,FECHA.VALOR($F3)),IF(UPPER(TRIM($B3))="AUXILIAR DE COCINA",7,10),1,FESTIVOS!$D$3:$D$996))</f>
        <v>46002</v>
      </c>
      <c r="L3" s="343">
        <f t="shared" ref="L3:L66" si="0">IF($F3="","",DATE(YEAR(EDATE($F3,IF(DAY($F3)&gt;=17,1,0))),MONTH(EDATE($F3,IF(DAY($F3)&gt;=17,1,0))),1))</f>
        <v>45992</v>
      </c>
      <c r="M3" s="348" t="str">
        <f t="shared" ref="M3:M66" si="1">IF($K3="","",IF(OR($D3="",$D3&lt;$F3),"PENDIENTE",IF($D3&lt;=$K3,"A TIEMPO","FUERA DE TIEMPO")))</f>
        <v>A TIEMPO</v>
      </c>
      <c r="N3" s="11"/>
      <c r="O3" s="349" t="s">
        <v>35</v>
      </c>
      <c r="P3" t="s">
        <v>47</v>
      </c>
      <c r="Q3" t="s">
        <v>49</v>
      </c>
      <c r="R3" t="s">
        <v>51</v>
      </c>
    </row>
    <row r="4" spans="1:18">
      <c r="A4" s="260" t="s">
        <v>623</v>
      </c>
      <c r="B4" s="261" t="s">
        <v>616</v>
      </c>
      <c r="C4" s="263" t="s">
        <v>617</v>
      </c>
      <c r="D4" s="340">
        <v>46002</v>
      </c>
      <c r="E4" s="261" t="s">
        <v>618</v>
      </c>
      <c r="F4" s="341">
        <v>45996</v>
      </c>
      <c r="G4" s="263" t="s">
        <v>624</v>
      </c>
      <c r="H4" s="260" t="s">
        <v>625</v>
      </c>
      <c r="I4" s="260"/>
      <c r="J4" s="260"/>
      <c r="K4" s="342" cm="1">
        <f t="array" ref="K4">IF(OR($B4="",$F4=""),"",WORKDAY.INTL(IF(ISNUMBER($F4),$F4,FECHA.VALOR($F4)),IF(UPPER(TRIM($B4))="AUXILIAR DE COCINA",7,10),1,FESTIVOS!$D$3:$D$996))</f>
        <v>46008</v>
      </c>
      <c r="L4" s="343">
        <f t="shared" si="0"/>
        <v>45992</v>
      </c>
      <c r="M4" s="348" t="str">
        <f t="shared" si="1"/>
        <v>A TIEMPO</v>
      </c>
      <c r="N4" s="11"/>
      <c r="O4" s="77">
        <v>45992</v>
      </c>
      <c r="P4">
        <v>9</v>
      </c>
      <c r="R4">
        <v>9</v>
      </c>
    </row>
    <row r="5" spans="1:18">
      <c r="A5" s="253" t="s">
        <v>626</v>
      </c>
      <c r="B5" s="254" t="s">
        <v>616</v>
      </c>
      <c r="C5" s="255" t="s">
        <v>617</v>
      </c>
      <c r="D5" s="340">
        <v>46002</v>
      </c>
      <c r="E5" s="257" t="s">
        <v>627</v>
      </c>
      <c r="F5" s="258">
        <v>46001</v>
      </c>
      <c r="G5" s="255" t="s">
        <v>68</v>
      </c>
      <c r="H5" s="253" t="s">
        <v>628</v>
      </c>
      <c r="I5" s="253"/>
      <c r="J5" s="253"/>
      <c r="K5" s="342" cm="1">
        <f t="array" ref="K5">IF(OR($B5="",$F5=""),"",WORKDAY.INTL(IF(ISNUMBER($F5),$F5,FECHA.VALOR($F5)),IF(UPPER(TRIM($B5))="AUXILIAR DE COCINA",7,10),1,FESTIVOS!$D$3:$D$996))</f>
        <v>46010</v>
      </c>
      <c r="L5" s="343">
        <f t="shared" si="0"/>
        <v>45992</v>
      </c>
      <c r="M5" s="348" t="str">
        <f t="shared" si="1"/>
        <v>A TIEMPO</v>
      </c>
      <c r="N5" s="11"/>
      <c r="O5" s="77">
        <v>46023</v>
      </c>
      <c r="P5">
        <v>3</v>
      </c>
      <c r="Q5">
        <v>5</v>
      </c>
      <c r="R5">
        <v>8</v>
      </c>
    </row>
    <row r="6" spans="1:18">
      <c r="A6" s="260" t="s">
        <v>629</v>
      </c>
      <c r="B6" s="261" t="s">
        <v>38</v>
      </c>
      <c r="C6" s="263" t="s">
        <v>617</v>
      </c>
      <c r="D6" s="340">
        <v>46002</v>
      </c>
      <c r="E6" s="264" t="s">
        <v>621</v>
      </c>
      <c r="F6" s="341">
        <v>46001</v>
      </c>
      <c r="G6" s="263" t="s">
        <v>68</v>
      </c>
      <c r="H6" s="260" t="s">
        <v>630</v>
      </c>
      <c r="I6" s="260"/>
      <c r="J6" s="260"/>
      <c r="K6" s="342" cm="1">
        <f t="array" ref="K6">IF(OR($B6="",$F6=""),"",WORKDAY.INTL(IF(ISNUMBER($F6),$F6,FECHA.VALOR($F6)),IF(UPPER(TRIM($B6))="AUXILIAR DE COCINA",7,10),1,FESTIVOS!$D$3:$D$996))</f>
        <v>46015</v>
      </c>
      <c r="L6" s="343">
        <f t="shared" si="0"/>
        <v>45992</v>
      </c>
      <c r="M6" s="348" t="str">
        <f t="shared" si="1"/>
        <v>A TIEMPO</v>
      </c>
      <c r="N6" s="11"/>
      <c r="O6" s="77" t="s">
        <v>51</v>
      </c>
      <c r="P6">
        <v>12</v>
      </c>
      <c r="Q6">
        <v>5</v>
      </c>
      <c r="R6">
        <v>17</v>
      </c>
    </row>
    <row r="7" spans="1:18">
      <c r="A7" s="253" t="s">
        <v>631</v>
      </c>
      <c r="B7" s="254" t="s">
        <v>616</v>
      </c>
      <c r="C7" s="255" t="s">
        <v>617</v>
      </c>
      <c r="D7" s="340">
        <v>46009</v>
      </c>
      <c r="E7" s="257" t="s">
        <v>627</v>
      </c>
      <c r="F7" s="258">
        <v>46002</v>
      </c>
      <c r="G7" s="255" t="s">
        <v>68</v>
      </c>
      <c r="H7" s="253" t="s">
        <v>615</v>
      </c>
      <c r="I7" s="253"/>
      <c r="J7" s="253"/>
      <c r="K7" s="342" cm="1">
        <f t="array" ref="K7">IF(OR($B7="",$F7=""),"",WORKDAY.INTL(IF(ISNUMBER($F7),$F7,FECHA.VALOR($F7)),IF(UPPER(TRIM($B7))="AUXILIAR DE COCINA",7,10),1,FESTIVOS!$D$3:$D$996))</f>
        <v>46013</v>
      </c>
      <c r="L7" s="343">
        <f t="shared" si="0"/>
        <v>45992</v>
      </c>
      <c r="M7" s="348" t="str">
        <f t="shared" si="1"/>
        <v>A TIEMPO</v>
      </c>
      <c r="N7" s="11"/>
      <c r="O7" s="13"/>
    </row>
    <row r="8" spans="1:18" ht="15.75" customHeight="1">
      <c r="A8" s="260" t="s">
        <v>632</v>
      </c>
      <c r="B8" s="261" t="s">
        <v>616</v>
      </c>
      <c r="C8" s="263" t="s">
        <v>617</v>
      </c>
      <c r="D8" s="340">
        <v>46009</v>
      </c>
      <c r="E8" s="264" t="s">
        <v>627</v>
      </c>
      <c r="F8" s="341">
        <v>46003</v>
      </c>
      <c r="G8" s="263" t="s">
        <v>68</v>
      </c>
      <c r="H8" s="260" t="s">
        <v>633</v>
      </c>
      <c r="I8" s="260"/>
      <c r="J8" s="260"/>
      <c r="K8" s="342" cm="1">
        <f t="array" ref="K8">IF(OR($B8="",$F8=""),"",WORKDAY.INTL(IF(ISNUMBER($F8),$F8,FECHA.VALOR($F8)),IF(UPPER(TRIM($B8))="AUXILIAR DE COCINA",7,10),1,FESTIVOS!$D$3:$D$996))</f>
        <v>46014</v>
      </c>
      <c r="L8" s="343">
        <f t="shared" si="0"/>
        <v>45992</v>
      </c>
      <c r="M8" s="348" t="str">
        <f t="shared" si="1"/>
        <v>A TIEMPO</v>
      </c>
      <c r="N8" s="11"/>
      <c r="O8" s="13"/>
    </row>
    <row r="9" spans="1:18" ht="15.75" customHeight="1">
      <c r="A9" s="253" t="s">
        <v>634</v>
      </c>
      <c r="B9" s="254" t="s">
        <v>616</v>
      </c>
      <c r="C9" s="255" t="s">
        <v>617</v>
      </c>
      <c r="D9" s="340">
        <v>46009</v>
      </c>
      <c r="E9" s="257" t="s">
        <v>618</v>
      </c>
      <c r="F9" s="258">
        <v>46003</v>
      </c>
      <c r="G9" s="255" t="s">
        <v>68</v>
      </c>
      <c r="H9" s="253" t="s">
        <v>635</v>
      </c>
      <c r="I9" s="253"/>
      <c r="J9" s="253"/>
      <c r="K9" s="342" cm="1">
        <f t="array" ref="K9">IF(OR($B9="",$F9=""),"",WORKDAY.INTL(IF(ISNUMBER($F9),$F9,FECHA.VALOR($F9)),IF(UPPER(TRIM($B9))="AUXILIAR DE COCINA",7,10),1,FESTIVOS!$D$3:$D$996))</f>
        <v>46014</v>
      </c>
      <c r="L9" s="343">
        <f t="shared" si="0"/>
        <v>45992</v>
      </c>
      <c r="M9" s="348" t="str">
        <f t="shared" si="1"/>
        <v>A TIEMPO</v>
      </c>
      <c r="N9" s="11"/>
      <c r="O9" s="13"/>
    </row>
    <row r="10" spans="1:18" ht="15.75" customHeight="1">
      <c r="A10" s="260" t="s">
        <v>636</v>
      </c>
      <c r="B10" s="261" t="s">
        <v>38</v>
      </c>
      <c r="C10" s="263" t="s">
        <v>617</v>
      </c>
      <c r="D10" s="340">
        <v>46009</v>
      </c>
      <c r="E10" s="264" t="s">
        <v>618</v>
      </c>
      <c r="F10" s="262">
        <v>46007</v>
      </c>
      <c r="G10" s="263" t="s">
        <v>624</v>
      </c>
      <c r="H10" s="260" t="s">
        <v>637</v>
      </c>
      <c r="I10" s="260"/>
      <c r="J10" s="260"/>
      <c r="K10" s="342" cm="1">
        <f t="array" ref="K10">IF(OR($B10="",$F10=""),"",WORKDAY.INTL(IF(ISNUMBER($F10),$F10,FECHA.VALOR($F10)),IF(UPPER(TRIM($B10))="AUXILIAR DE COCINA",7,10),1,FESTIVOS!$D$3:$D$996))</f>
        <v>46022</v>
      </c>
      <c r="L10" s="343">
        <f t="shared" si="0"/>
        <v>45992</v>
      </c>
      <c r="M10" s="348" t="str">
        <f t="shared" si="1"/>
        <v>A TIEMPO</v>
      </c>
      <c r="N10" s="11"/>
      <c r="O10" s="13"/>
    </row>
    <row r="11" spans="1:18" ht="15.75" customHeight="1">
      <c r="A11" s="253" t="s">
        <v>638</v>
      </c>
      <c r="B11" s="254" t="s">
        <v>616</v>
      </c>
      <c r="C11" s="255" t="s">
        <v>617</v>
      </c>
      <c r="D11" s="340">
        <v>46009</v>
      </c>
      <c r="E11" s="257" t="s">
        <v>618</v>
      </c>
      <c r="F11" s="267">
        <v>46008</v>
      </c>
      <c r="G11" s="255" t="s">
        <v>68</v>
      </c>
      <c r="H11" s="253" t="s">
        <v>639</v>
      </c>
      <c r="I11" s="253"/>
      <c r="J11" s="253"/>
      <c r="K11" s="342" cm="1">
        <f t="array" ref="K11">IF(OR($B11="",$F11=""),"",WORKDAY.INTL(IF(ISNUMBER($F11),$F11,FECHA.VALOR($F11)),IF(UPPER(TRIM($B11))="AUXILIAR DE COCINA",7,10),1,FESTIVOS!$D$3:$D$996))</f>
        <v>46020</v>
      </c>
      <c r="L11" s="343">
        <f t="shared" si="0"/>
        <v>46023</v>
      </c>
      <c r="M11" s="348" t="str">
        <f t="shared" si="1"/>
        <v>A TIEMPO</v>
      </c>
      <c r="N11" s="11"/>
      <c r="O11" s="13"/>
    </row>
    <row r="12" spans="1:18" ht="15.75" customHeight="1">
      <c r="A12" s="260" t="s">
        <v>640</v>
      </c>
      <c r="B12" s="261" t="s">
        <v>38</v>
      </c>
      <c r="C12" s="263" t="s">
        <v>617</v>
      </c>
      <c r="D12" s="340">
        <v>46013</v>
      </c>
      <c r="E12" s="264" t="s">
        <v>621</v>
      </c>
      <c r="F12" s="262">
        <v>46009</v>
      </c>
      <c r="G12" s="263" t="s">
        <v>68</v>
      </c>
      <c r="H12" s="260" t="s">
        <v>629</v>
      </c>
      <c r="I12" s="260"/>
      <c r="J12" s="260"/>
      <c r="K12" s="342" cm="1">
        <f t="array" ref="K12">IF(OR($B12="",$F12=""),"",WORKDAY.INTL(IF(ISNUMBER($F12),$F12,FECHA.VALOR($F12)),IF(UPPER(TRIM($B12))="AUXILIAR DE COCINA",7,10),1,FESTIVOS!$D$3:$D$996))</f>
        <v>46027</v>
      </c>
      <c r="L12" s="343">
        <f t="shared" si="0"/>
        <v>46023</v>
      </c>
      <c r="M12" s="348" t="str">
        <f t="shared" si="1"/>
        <v>A TIEMPO</v>
      </c>
      <c r="N12" s="11"/>
      <c r="O12" s="13"/>
    </row>
    <row r="13" spans="1:18" ht="15.75" customHeight="1">
      <c r="A13" s="253" t="s">
        <v>641</v>
      </c>
      <c r="B13" s="254" t="s">
        <v>616</v>
      </c>
      <c r="C13" s="255" t="s">
        <v>617</v>
      </c>
      <c r="D13" s="340">
        <v>46009</v>
      </c>
      <c r="E13" s="257" t="s">
        <v>618</v>
      </c>
      <c r="F13" s="267">
        <v>46011</v>
      </c>
      <c r="G13" s="255" t="s">
        <v>68</v>
      </c>
      <c r="H13" s="253" t="s">
        <v>642</v>
      </c>
      <c r="I13" s="253"/>
      <c r="J13" s="253"/>
      <c r="K13" s="342" cm="1">
        <f t="array" ref="K13">IF(OR($B13="",$F13=""),"",WORKDAY.INTL(IF(ISNUMBER($F13),$F13,FECHA.VALOR($F13)),IF(UPPER(TRIM($B13))="AUXILIAR DE COCINA",7,10),1,FESTIVOS!$D$3:$D$996))</f>
        <v>46022</v>
      </c>
      <c r="L13" s="343">
        <f t="shared" si="0"/>
        <v>46023</v>
      </c>
      <c r="M13" s="348" t="str">
        <f t="shared" si="1"/>
        <v>PENDIENTE</v>
      </c>
      <c r="N13" s="11"/>
      <c r="O13" s="13"/>
    </row>
    <row r="14" spans="1:18" ht="15.75" customHeight="1">
      <c r="A14" s="260" t="s">
        <v>643</v>
      </c>
      <c r="B14" s="261" t="s">
        <v>616</v>
      </c>
      <c r="C14" s="263" t="s">
        <v>617</v>
      </c>
      <c r="D14" s="340">
        <v>46027</v>
      </c>
      <c r="E14" s="264" t="s">
        <v>618</v>
      </c>
      <c r="F14" s="341">
        <v>46020</v>
      </c>
      <c r="G14" s="263" t="s">
        <v>68</v>
      </c>
      <c r="H14" s="344" t="s">
        <v>634</v>
      </c>
      <c r="I14" s="344"/>
      <c r="J14" s="344"/>
      <c r="K14" s="342" cm="1">
        <f t="array" ref="K14">IF(OR($B14="",$F14=""),"",WORKDAY.INTL(IF(ISNUMBER($F14),$F14,FECHA.VALOR($F14)),IF(UPPER(TRIM($B14))="AUXILIAR DE COCINA",7,10),1,FESTIVOS!$D$3:$D$996))</f>
        <v>46030</v>
      </c>
      <c r="L14" s="343">
        <f t="shared" si="0"/>
        <v>46023</v>
      </c>
      <c r="M14" s="348" t="str">
        <f t="shared" si="1"/>
        <v>A TIEMPO</v>
      </c>
      <c r="N14" s="11"/>
      <c r="O14" s="13"/>
    </row>
    <row r="15" spans="1:18" ht="15.75" customHeight="1">
      <c r="A15" s="253" t="s">
        <v>644</v>
      </c>
      <c r="B15" s="254" t="s">
        <v>38</v>
      </c>
      <c r="C15" s="255" t="s">
        <v>617</v>
      </c>
      <c r="D15" s="340">
        <v>46041</v>
      </c>
      <c r="E15" s="257" t="s">
        <v>621</v>
      </c>
      <c r="F15" s="258">
        <v>46027</v>
      </c>
      <c r="G15" s="253" t="s">
        <v>645</v>
      </c>
      <c r="H15" s="254" t="s">
        <v>646</v>
      </c>
      <c r="I15" s="255"/>
      <c r="J15" s="259"/>
      <c r="K15" s="342" cm="1">
        <f t="array" ref="K15">IF(OR($B15="",$F15=""),"",WORKDAY.INTL(IF(ISNUMBER($F15),$F15,FECHA.VALOR($F15)),IF(UPPER(TRIM($B15))="AUXILIAR DE COCINA",7,10),1,FESTIVOS!$D$3:$D$996))</f>
        <v>46042</v>
      </c>
      <c r="L15" s="343">
        <f t="shared" si="0"/>
        <v>46023</v>
      </c>
      <c r="M15" s="348" t="str">
        <f t="shared" si="1"/>
        <v>A TIEMPO</v>
      </c>
      <c r="N15" s="11"/>
      <c r="O15" s="13"/>
    </row>
    <row r="16" spans="1:18" ht="15.75" customHeight="1">
      <c r="A16" s="260" t="s">
        <v>647</v>
      </c>
      <c r="B16" s="261" t="s">
        <v>616</v>
      </c>
      <c r="C16" s="255" t="s">
        <v>617</v>
      </c>
      <c r="D16" s="340">
        <v>46030</v>
      </c>
      <c r="E16" s="264" t="s">
        <v>621</v>
      </c>
      <c r="F16" s="341">
        <v>46027</v>
      </c>
      <c r="G16" s="260" t="s">
        <v>645</v>
      </c>
      <c r="H16" s="261" t="s">
        <v>648</v>
      </c>
      <c r="I16" s="263"/>
      <c r="J16" s="256"/>
      <c r="K16" s="342" cm="1">
        <f t="array" ref="K16">IF(OR($B16="",$F16=""),"",WORKDAY.INTL(IF(ISNUMBER($F16),$F16,FECHA.VALOR($F16)),IF(UPPER(TRIM($B16))="AUXILIAR DE COCINA",7,10),1,FESTIVOS!$D$3:$D$996))</f>
        <v>46037</v>
      </c>
      <c r="L16" s="343">
        <f t="shared" si="0"/>
        <v>46023</v>
      </c>
      <c r="M16" s="348" t="str">
        <f t="shared" si="1"/>
        <v>A TIEMPO</v>
      </c>
      <c r="N16" s="11"/>
      <c r="O16" s="13"/>
    </row>
    <row r="17" spans="1:15" ht="15.75" customHeight="1">
      <c r="A17" s="253" t="s">
        <v>649</v>
      </c>
      <c r="B17" s="254" t="s">
        <v>616</v>
      </c>
      <c r="C17" s="255" t="s">
        <v>617</v>
      </c>
      <c r="D17" s="340">
        <v>46030</v>
      </c>
      <c r="E17" s="257" t="s">
        <v>618</v>
      </c>
      <c r="F17" s="258">
        <v>46028</v>
      </c>
      <c r="G17" s="253" t="s">
        <v>650</v>
      </c>
      <c r="H17" s="254" t="s">
        <v>651</v>
      </c>
      <c r="I17" s="255"/>
      <c r="J17" s="259"/>
      <c r="K17" s="342" cm="1">
        <f t="array" ref="K17">IF(OR($B17="",$F17=""),"",WORKDAY.INTL(IF(ISNUMBER($F17),$F17,FECHA.VALOR($F17)),IF(UPPER(TRIM($B17))="AUXILIAR DE COCINA",7,10),1,FESTIVOS!$D$3:$D$996))</f>
        <v>46038</v>
      </c>
      <c r="L17" s="343">
        <f t="shared" si="0"/>
        <v>46023</v>
      </c>
      <c r="M17" s="348" t="str">
        <f t="shared" si="1"/>
        <v>A TIEMPO</v>
      </c>
      <c r="N17" s="11"/>
      <c r="O17" s="13"/>
    </row>
    <row r="18" spans="1:15" ht="15.75" customHeight="1">
      <c r="A18" s="260" t="s">
        <v>652</v>
      </c>
      <c r="B18" s="261" t="s">
        <v>653</v>
      </c>
      <c r="C18" s="255" t="s">
        <v>617</v>
      </c>
      <c r="D18" s="340">
        <v>46030</v>
      </c>
      <c r="E18" s="264" t="s">
        <v>621</v>
      </c>
      <c r="F18" s="262">
        <v>46028</v>
      </c>
      <c r="G18" s="260" t="s">
        <v>68</v>
      </c>
      <c r="H18" s="261" t="s">
        <v>654</v>
      </c>
      <c r="I18" s="263"/>
      <c r="J18" s="256"/>
      <c r="K18" s="342" cm="1">
        <f t="array" ref="K18">IF(OR($B18="",$F18=""),"",WORKDAY.INTL(IF(ISNUMBER($F18),$F18,FECHA.VALOR($F18)),IF(UPPER(TRIM($B18))="AUXILIAR DE COCINA",7,10),1,FESTIVOS!$D$3:$D$996))</f>
        <v>46043</v>
      </c>
      <c r="L18" s="343">
        <f t="shared" si="0"/>
        <v>46023</v>
      </c>
      <c r="M18" s="348" t="str">
        <f t="shared" si="1"/>
        <v>A TIEMPO</v>
      </c>
      <c r="N18" s="11"/>
      <c r="O18" s="13"/>
    </row>
    <row r="19" spans="1:15" ht="15.75" customHeight="1">
      <c r="A19" s="253" t="s">
        <v>655</v>
      </c>
      <c r="B19" s="254" t="s">
        <v>616</v>
      </c>
      <c r="C19" s="255" t="s">
        <v>617</v>
      </c>
      <c r="D19" s="340">
        <v>46030</v>
      </c>
      <c r="E19" s="257" t="s">
        <v>618</v>
      </c>
      <c r="F19" s="267">
        <v>46028</v>
      </c>
      <c r="G19" s="253" t="s">
        <v>68</v>
      </c>
      <c r="H19" s="254" t="s">
        <v>631</v>
      </c>
      <c r="I19" s="255"/>
      <c r="J19" s="259"/>
      <c r="K19" s="342" cm="1">
        <f t="array" ref="K19">IF(OR($B19="",$F19=""),"",WORKDAY.INTL(IF(ISNUMBER($F19),$F19,FECHA.VALOR($F19)),IF(UPPER(TRIM($B19))="AUXILIAR DE COCINA",7,10),1,FESTIVOS!$D$3:$D$996))</f>
        <v>46038</v>
      </c>
      <c r="L19" s="343">
        <f t="shared" si="0"/>
        <v>46023</v>
      </c>
      <c r="M19" s="348" t="str">
        <f t="shared" si="1"/>
        <v>A TIEMPO</v>
      </c>
      <c r="N19" s="11"/>
      <c r="O19" s="13"/>
    </row>
    <row r="20" spans="1:15" ht="15.75" customHeight="1">
      <c r="A20" s="253" t="s">
        <v>644</v>
      </c>
      <c r="B20" s="254" t="s">
        <v>616</v>
      </c>
      <c r="C20" s="255" t="s">
        <v>617</v>
      </c>
      <c r="D20" s="340">
        <v>46041</v>
      </c>
      <c r="E20" s="257" t="s">
        <v>618</v>
      </c>
      <c r="F20" s="258">
        <v>46035</v>
      </c>
      <c r="G20" s="253" t="s">
        <v>68</v>
      </c>
      <c r="H20" s="254" t="s">
        <v>646</v>
      </c>
      <c r="I20" s="255"/>
      <c r="J20" s="259"/>
      <c r="K20" s="342" cm="1">
        <f t="array" ref="K20">IF(OR($B20="",$F20=""),"",WORKDAY.INTL(IF(ISNUMBER($F20),$F20,FECHA.VALOR($F20)),IF(UPPER(TRIM($B20))="AUXILIAR DE COCINA",7,10),1,FESTIVOS!$D$3:$D$996))</f>
        <v>46044</v>
      </c>
      <c r="L20" s="343">
        <f t="shared" si="0"/>
        <v>46023</v>
      </c>
      <c r="M20" s="348" t="str">
        <f t="shared" si="1"/>
        <v>A TIEMPO</v>
      </c>
      <c r="N20" s="11"/>
      <c r="O20" s="13"/>
    </row>
    <row r="21" spans="1:15" ht="15.75" customHeight="1">
      <c r="A21" s="260" t="s">
        <v>656</v>
      </c>
      <c r="B21" s="261" t="s">
        <v>616</v>
      </c>
      <c r="C21" s="255" t="s">
        <v>617</v>
      </c>
      <c r="D21" s="340">
        <v>46035</v>
      </c>
      <c r="E21" s="264" t="s">
        <v>618</v>
      </c>
      <c r="F21" s="341">
        <v>46036</v>
      </c>
      <c r="G21" s="260" t="s">
        <v>68</v>
      </c>
      <c r="H21" s="261" t="s">
        <v>623</v>
      </c>
      <c r="I21" s="263"/>
      <c r="J21" s="256"/>
      <c r="K21" s="342" cm="1">
        <f t="array" ref="K21">IF(OR($B21="",$F21=""),"",WORKDAY.INTL(IF(ISNUMBER($F21),$F21,FECHA.VALOR($F21)),IF(UPPER(TRIM($B21))="AUXILIAR DE COCINA",7,10),1,FESTIVOS!$D$3:$D$996))</f>
        <v>46045</v>
      </c>
      <c r="L21" s="343">
        <f t="shared" si="0"/>
        <v>46023</v>
      </c>
      <c r="M21" s="348" t="str">
        <f t="shared" si="1"/>
        <v>PENDIENTE</v>
      </c>
      <c r="N21" s="11"/>
      <c r="O21" s="13"/>
    </row>
    <row r="22" spans="1:15" ht="15.75" customHeight="1">
      <c r="A22" s="253" t="s">
        <v>657</v>
      </c>
      <c r="B22" s="254" t="s">
        <v>616</v>
      </c>
      <c r="C22" s="255" t="s">
        <v>617</v>
      </c>
      <c r="D22" s="340">
        <v>46035</v>
      </c>
      <c r="E22" s="257" t="s">
        <v>618</v>
      </c>
      <c r="F22" s="258">
        <v>46036</v>
      </c>
      <c r="G22" s="253" t="s">
        <v>68</v>
      </c>
      <c r="H22" s="254" t="s">
        <v>632</v>
      </c>
      <c r="I22" s="255"/>
      <c r="J22" s="259"/>
      <c r="K22" s="342" cm="1">
        <f t="array" ref="K22">IF(OR($B22="",$F22=""),"",WORKDAY.INTL(IF(ISNUMBER($F22),$F22,FECHA.VALOR($F22)),IF(UPPER(TRIM($B22))="AUXILIAR DE COCINA",7,10),1,FESTIVOS!$D$3:$D$996))</f>
        <v>46045</v>
      </c>
      <c r="L22" s="343">
        <f t="shared" si="0"/>
        <v>46023</v>
      </c>
      <c r="M22" s="348" t="str">
        <f t="shared" si="1"/>
        <v>PENDIENTE</v>
      </c>
      <c r="N22" s="11"/>
      <c r="O22" s="13"/>
    </row>
    <row r="23" spans="1:15" ht="15.75" customHeight="1">
      <c r="A23" s="260" t="s">
        <v>658</v>
      </c>
      <c r="B23" s="261" t="s">
        <v>653</v>
      </c>
      <c r="C23" s="255" t="s">
        <v>617</v>
      </c>
      <c r="D23" s="340">
        <v>46041</v>
      </c>
      <c r="E23" s="264" t="s">
        <v>621</v>
      </c>
      <c r="F23" s="262">
        <v>46041</v>
      </c>
      <c r="G23" s="260" t="s">
        <v>68</v>
      </c>
      <c r="H23" s="261" t="s">
        <v>659</v>
      </c>
      <c r="I23" s="263"/>
      <c r="J23" s="256"/>
      <c r="K23" s="342" cm="1">
        <f t="array" ref="K23">IF(OR($B23="",$F23=""),"",WORKDAY.INTL(IF(ISNUMBER($F23),$F23,FECHA.VALOR($F23)),IF(UPPER(TRIM($B23))="AUXILIAR DE COCINA",7,10),1,FESTIVOS!$D$3:$D$996))</f>
        <v>46055</v>
      </c>
      <c r="L23" s="343">
        <f t="shared" si="0"/>
        <v>46054</v>
      </c>
      <c r="M23" s="348" t="str">
        <f t="shared" si="1"/>
        <v>A TIEMPO</v>
      </c>
      <c r="N23" s="11"/>
      <c r="O23" s="13"/>
    </row>
    <row r="24" spans="1:15" ht="15.75" customHeight="1">
      <c r="A24" s="253" t="s">
        <v>660</v>
      </c>
      <c r="B24" s="254" t="s">
        <v>616</v>
      </c>
      <c r="C24" s="255" t="s">
        <v>617</v>
      </c>
      <c r="D24" s="340">
        <v>46044</v>
      </c>
      <c r="E24" s="257" t="s">
        <v>618</v>
      </c>
      <c r="F24" s="267">
        <v>46042</v>
      </c>
      <c r="G24" s="253" t="s">
        <v>68</v>
      </c>
      <c r="H24" s="254" t="s">
        <v>652</v>
      </c>
      <c r="I24" s="255"/>
      <c r="J24" s="259"/>
      <c r="K24" s="342" cm="1">
        <f t="array" ref="K24">IF(OR($B24="",$F24=""),"",WORKDAY.INTL(IF(ISNUMBER($F24),$F24,FECHA.VALOR($F24)),IF(UPPER(TRIM($B24))="AUXILIAR DE COCINA",7,10),1,FESTIVOS!$D$3:$D$996))</f>
        <v>46051</v>
      </c>
      <c r="L24" s="343">
        <f t="shared" si="0"/>
        <v>46054</v>
      </c>
      <c r="M24" s="348" t="str">
        <f t="shared" si="1"/>
        <v>A TIEMPO</v>
      </c>
      <c r="N24" s="11"/>
      <c r="O24" s="13"/>
    </row>
    <row r="25" spans="1:15" ht="15.75" customHeight="1">
      <c r="A25" s="253" t="s">
        <v>661</v>
      </c>
      <c r="B25" s="254" t="s">
        <v>616</v>
      </c>
      <c r="C25" s="255" t="s">
        <v>617</v>
      </c>
      <c r="D25" s="340">
        <v>46044</v>
      </c>
      <c r="E25" s="257" t="s">
        <v>618</v>
      </c>
      <c r="F25" s="258">
        <v>46043</v>
      </c>
      <c r="G25" s="253" t="s">
        <v>68</v>
      </c>
      <c r="H25" s="254" t="s">
        <v>662</v>
      </c>
      <c r="I25" s="255"/>
      <c r="J25" s="259"/>
      <c r="K25" s="342" cm="1">
        <f t="array" ref="K25">IF(OR($B25="",$F25=""),"",WORKDAY.INTL(IF(ISNUMBER($F25),$F25,FECHA.VALOR($F25)),IF(UPPER(TRIM($B25))="AUXILIAR DE COCINA",7,10),1,FESTIVOS!$D$3:$D$996))</f>
        <v>46052</v>
      </c>
      <c r="L25" s="343">
        <f t="shared" si="0"/>
        <v>46054</v>
      </c>
      <c r="M25" s="348" t="str">
        <f t="shared" si="1"/>
        <v>A TIEMPO</v>
      </c>
      <c r="N25" s="11"/>
      <c r="O25" s="13"/>
    </row>
    <row r="26" spans="1:15" ht="15.75" customHeight="1">
      <c r="A26" s="260" t="s">
        <v>663</v>
      </c>
      <c r="B26" s="261" t="s">
        <v>616</v>
      </c>
      <c r="C26" s="255" t="s">
        <v>617</v>
      </c>
      <c r="D26" s="340">
        <v>46044</v>
      </c>
      <c r="E26" s="264" t="s">
        <v>618</v>
      </c>
      <c r="F26" s="341">
        <v>46042</v>
      </c>
      <c r="G26" s="260" t="s">
        <v>68</v>
      </c>
      <c r="H26" s="261" t="s">
        <v>641</v>
      </c>
      <c r="I26" s="263"/>
      <c r="J26" s="256"/>
      <c r="K26" s="342" cm="1">
        <f t="array" ref="K26">IF(OR($B26="",$F26=""),"",WORKDAY.INTL(IF(ISNUMBER($F26),$F26,FECHA.VALOR($F26)),IF(UPPER(TRIM($B26))="AUXILIAR DE COCINA",7,10),1,FESTIVOS!$D$3:$D$996))</f>
        <v>46051</v>
      </c>
      <c r="L26" s="343">
        <f t="shared" si="0"/>
        <v>46054</v>
      </c>
      <c r="M26" s="348" t="str">
        <f t="shared" si="1"/>
        <v>A TIEMPO</v>
      </c>
      <c r="N26" s="11"/>
      <c r="O26" s="13"/>
    </row>
    <row r="27" spans="1:15" ht="15.75" customHeight="1">
      <c r="A27" s="253" t="s">
        <v>664</v>
      </c>
      <c r="B27" s="254" t="s">
        <v>616</v>
      </c>
      <c r="C27" s="255" t="s">
        <v>617</v>
      </c>
      <c r="D27" s="340">
        <v>46045</v>
      </c>
      <c r="E27" s="257" t="s">
        <v>618</v>
      </c>
      <c r="F27" s="258">
        <v>46043</v>
      </c>
      <c r="G27" s="253" t="s">
        <v>68</v>
      </c>
      <c r="H27" s="254" t="s">
        <v>665</v>
      </c>
      <c r="I27" s="255"/>
      <c r="J27" s="259"/>
      <c r="K27" s="342" cm="1">
        <f t="array" ref="K27">IF(OR($B27="",$F27=""),"",WORKDAY.INTL(IF(ISNUMBER($F27),$F27,FECHA.VALOR($F27)),IF(UPPER(TRIM($B27))="AUXILIAR DE COCINA",7,10),1,FESTIVOS!$D$3:$D$996))</f>
        <v>46052</v>
      </c>
      <c r="L27" s="343">
        <f t="shared" si="0"/>
        <v>46054</v>
      </c>
      <c r="M27" s="348" t="str">
        <f t="shared" si="1"/>
        <v>A TIEMPO</v>
      </c>
      <c r="N27" s="11"/>
      <c r="O27" s="13"/>
    </row>
    <row r="28" spans="1:15" ht="15.75" customHeight="1">
      <c r="A28" s="253" t="s">
        <v>666</v>
      </c>
      <c r="B28" s="254" t="s">
        <v>616</v>
      </c>
      <c r="C28" s="255" t="s">
        <v>617</v>
      </c>
      <c r="D28" s="340">
        <v>46046</v>
      </c>
      <c r="E28" s="257" t="s">
        <v>40</v>
      </c>
      <c r="F28" s="258">
        <v>46043</v>
      </c>
      <c r="G28" s="253" t="s">
        <v>650</v>
      </c>
      <c r="H28" s="254" t="s">
        <v>649</v>
      </c>
      <c r="I28" s="255"/>
      <c r="J28" s="259"/>
      <c r="K28" s="342" cm="1">
        <f t="array" ref="K28">IF(OR($B28="",$F28=""),"",WORKDAY.INTL(IF(ISNUMBER($F28),$F28,FECHA.VALOR($F28)),IF(UPPER(TRIM($B28))="AUXILIAR DE COCINA",7,10),1,FESTIVOS!$D$3:$D$996))</f>
        <v>46052</v>
      </c>
      <c r="L28" s="343">
        <f t="shared" si="0"/>
        <v>46054</v>
      </c>
      <c r="M28" s="348" t="str">
        <f t="shared" si="1"/>
        <v>A TIEMPO</v>
      </c>
      <c r="N28" s="11"/>
      <c r="O28" s="13"/>
    </row>
    <row r="29" spans="1:15" ht="15.75" customHeight="1">
      <c r="A29" s="260" t="s">
        <v>667</v>
      </c>
      <c r="B29" s="261" t="s">
        <v>38</v>
      </c>
      <c r="C29" s="255" t="s">
        <v>617</v>
      </c>
      <c r="D29" s="340">
        <v>46047</v>
      </c>
      <c r="E29" s="257" t="s">
        <v>40</v>
      </c>
      <c r="F29" s="262">
        <v>46043</v>
      </c>
      <c r="G29" s="260"/>
      <c r="H29" s="261" t="s">
        <v>668</v>
      </c>
      <c r="I29" s="263"/>
      <c r="J29" s="256"/>
      <c r="K29" s="342" cm="1">
        <f t="array" ref="K29">IF(OR($B29="",$F29=""),"",WORKDAY.INTL(IF(ISNUMBER($F29),$F29,FECHA.VALOR($F29)),IF(UPPER(TRIM($B29))="AUXILIAR DE COCINA",7,10),1,FESTIVOS!$D$3:$D$996))</f>
        <v>46057</v>
      </c>
      <c r="L29" s="343">
        <f t="shared" si="0"/>
        <v>46054</v>
      </c>
      <c r="M29" s="348" t="str">
        <f t="shared" si="1"/>
        <v>A TIEMPO</v>
      </c>
      <c r="N29" s="11"/>
      <c r="O29" s="13"/>
    </row>
    <row r="30" spans="1:15" ht="15.75" customHeight="1">
      <c r="A30" s="265" t="s">
        <v>669</v>
      </c>
      <c r="B30" s="254" t="s">
        <v>53</v>
      </c>
      <c r="C30" s="255" t="s">
        <v>617</v>
      </c>
      <c r="D30" s="340">
        <v>46048</v>
      </c>
      <c r="E30" s="257" t="s">
        <v>40</v>
      </c>
      <c r="F30" s="266">
        <v>46042</v>
      </c>
      <c r="G30" s="253"/>
      <c r="H30" s="254" t="s">
        <v>665</v>
      </c>
      <c r="I30" s="255"/>
      <c r="J30" s="259"/>
      <c r="K30" s="342" cm="1">
        <f t="array" ref="K30">IF(OR($B30="",$F30=""),"",WORKDAY.INTL(IF(ISNUMBER($F30),$F30,FECHA.VALOR($F30)),IF(UPPER(TRIM($B30))="AUXILIAR DE COCINA",7,10),1,FESTIVOS!$D$3:$D$996))</f>
        <v>46051</v>
      </c>
      <c r="L30" s="343">
        <f t="shared" si="0"/>
        <v>46054</v>
      </c>
      <c r="M30" s="348" t="str">
        <f t="shared" si="1"/>
        <v>A TIEMPO</v>
      </c>
      <c r="N30" s="11"/>
      <c r="O30" s="13"/>
    </row>
    <row r="31" spans="1:15" ht="15.75" customHeight="1">
      <c r="A31" s="265" t="s">
        <v>670</v>
      </c>
      <c r="B31" s="268" t="s">
        <v>653</v>
      </c>
      <c r="C31" s="252" t="s">
        <v>617</v>
      </c>
      <c r="D31" s="340">
        <v>46049</v>
      </c>
      <c r="E31" s="252" t="s">
        <v>621</v>
      </c>
      <c r="F31" s="266">
        <v>46048</v>
      </c>
      <c r="G31" s="252" t="s">
        <v>671</v>
      </c>
      <c r="H31" s="254" t="s">
        <v>672</v>
      </c>
      <c r="I31" s="255"/>
      <c r="J31" s="259"/>
      <c r="K31" s="342" cm="1">
        <f t="array" ref="K31">IF(OR($B31="",$F31=""),"",WORKDAY.INTL(IF(ISNUMBER($F31),$F31,FECHA.VALOR($F31)),IF(UPPER(TRIM($B31))="AUXILIAR DE COCINA",7,10),1,FESTIVOS!$D$3:$D$996))</f>
        <v>46062</v>
      </c>
      <c r="L31" s="343">
        <f t="shared" si="0"/>
        <v>46054</v>
      </c>
      <c r="M31" s="348" t="str">
        <f t="shared" si="1"/>
        <v>A TIEMPO</v>
      </c>
      <c r="N31" s="11"/>
      <c r="O31" s="13"/>
    </row>
    <row r="32" spans="1:15" ht="15.75" customHeight="1">
      <c r="A32" s="265" t="s">
        <v>673</v>
      </c>
      <c r="B32" s="268" t="s">
        <v>653</v>
      </c>
      <c r="C32" s="252" t="s">
        <v>617</v>
      </c>
      <c r="D32" s="340">
        <v>46050</v>
      </c>
      <c r="E32" s="252" t="s">
        <v>618</v>
      </c>
      <c r="F32" s="243">
        <v>46052</v>
      </c>
      <c r="G32" s="252" t="s">
        <v>68</v>
      </c>
      <c r="H32" s="254" t="s">
        <v>674</v>
      </c>
      <c r="I32" s="255"/>
      <c r="J32" s="259"/>
      <c r="K32" s="342" cm="1">
        <f t="array" ref="K32">IF(OR($B32="",$F32=""),"",WORKDAY.INTL(IF(ISNUMBER($F32),$F32,FECHA.VALOR($F32)),IF(UPPER(TRIM($B32))="AUXILIAR DE COCINA",7,10),1,FESTIVOS!$D$3:$D$996))</f>
        <v>46066</v>
      </c>
      <c r="L32" s="343">
        <f t="shared" si="0"/>
        <v>46054</v>
      </c>
      <c r="M32" s="348" t="str">
        <f t="shared" si="1"/>
        <v>PENDIENTE</v>
      </c>
      <c r="N32" s="11"/>
      <c r="O32" s="13"/>
    </row>
    <row r="33" spans="1:15" ht="15.75" customHeight="1">
      <c r="A33" s="265" t="s">
        <v>675</v>
      </c>
      <c r="B33" s="268" t="s">
        <v>616</v>
      </c>
      <c r="C33" s="252" t="s">
        <v>617</v>
      </c>
      <c r="D33" s="340">
        <v>46051</v>
      </c>
      <c r="E33" s="252" t="s">
        <v>618</v>
      </c>
      <c r="F33" s="243">
        <v>46055</v>
      </c>
      <c r="G33" s="252" t="s">
        <v>68</v>
      </c>
      <c r="H33" s="252"/>
      <c r="I33" s="252"/>
      <c r="J33" s="252"/>
      <c r="K33" s="342" cm="1">
        <f t="array" ref="K33">IF(OR($B33="",$F33=""),"",WORKDAY.INTL(IF(ISNUMBER($F33),$F33,FECHA.VALOR($F33)),IF(UPPER(TRIM($B33))="AUXILIAR DE COCINA",7,10),1,FESTIVOS!$D$3:$D$996))</f>
        <v>46064</v>
      </c>
      <c r="L33" s="343">
        <f t="shared" si="0"/>
        <v>46054</v>
      </c>
      <c r="M33" s="348" t="str">
        <f t="shared" si="1"/>
        <v>PENDIENTE</v>
      </c>
      <c r="N33" s="11"/>
      <c r="O33" s="13"/>
    </row>
    <row r="34" spans="1:15" ht="15.75" customHeight="1">
      <c r="A34" s="265" t="s">
        <v>676</v>
      </c>
      <c r="B34" s="268" t="s">
        <v>653</v>
      </c>
      <c r="C34" s="252" t="s">
        <v>617</v>
      </c>
      <c r="D34" s="340">
        <v>46052</v>
      </c>
      <c r="E34" s="252" t="s">
        <v>621</v>
      </c>
      <c r="F34" s="243">
        <v>46055</v>
      </c>
      <c r="G34" s="252" t="s">
        <v>671</v>
      </c>
      <c r="H34" s="252"/>
      <c r="I34" s="252"/>
      <c r="J34" s="252"/>
      <c r="K34" s="342" cm="1">
        <f t="array" ref="K34">IF(OR($B34="",$F34=""),"",WORKDAY.INTL(IF(ISNUMBER($F34),$F34,FECHA.VALOR($F34)),IF(UPPER(TRIM($B34))="AUXILIAR DE COCINA",7,10),1,FESTIVOS!$D$3:$D$996))</f>
        <v>46069</v>
      </c>
      <c r="L34" s="343">
        <f t="shared" si="0"/>
        <v>46054</v>
      </c>
      <c r="M34" s="348" t="str">
        <f t="shared" si="1"/>
        <v>PENDIENTE</v>
      </c>
      <c r="N34" s="11"/>
      <c r="O34" s="13"/>
    </row>
    <row r="35" spans="1:15" ht="15.75" customHeight="1">
      <c r="A35" s="265" t="s">
        <v>677</v>
      </c>
      <c r="B35" s="268" t="s">
        <v>616</v>
      </c>
      <c r="C35" s="252" t="s">
        <v>617</v>
      </c>
      <c r="D35" s="340">
        <v>46053</v>
      </c>
      <c r="E35" s="252" t="s">
        <v>618</v>
      </c>
      <c r="F35" s="243">
        <v>46057</v>
      </c>
      <c r="G35" s="252" t="s">
        <v>68</v>
      </c>
      <c r="H35" s="252"/>
      <c r="I35" s="252"/>
      <c r="J35" s="252"/>
      <c r="K35" s="342" cm="1">
        <f t="array" ref="K35">IF(OR($B35="",$F35=""),"",WORKDAY.INTL(IF(ISNUMBER($F35),$F35,FECHA.VALOR($F35)),IF(UPPER(TRIM($B35))="AUXILIAR DE COCINA",7,10),1,FESTIVOS!$D$3:$D$996))</f>
        <v>46066</v>
      </c>
      <c r="L35" s="343">
        <f t="shared" si="0"/>
        <v>46054</v>
      </c>
      <c r="M35" s="348" t="str">
        <f t="shared" si="1"/>
        <v>PENDIENTE</v>
      </c>
      <c r="N35" s="11"/>
      <c r="O35" s="13"/>
    </row>
    <row r="36" spans="1:15" ht="15.75" customHeight="1">
      <c r="A36" s="265" t="s">
        <v>678</v>
      </c>
      <c r="B36" s="268" t="s">
        <v>616</v>
      </c>
      <c r="C36" s="252" t="s">
        <v>617</v>
      </c>
      <c r="D36" s="340">
        <v>46054</v>
      </c>
      <c r="E36" s="252" t="s">
        <v>618</v>
      </c>
      <c r="F36" s="243">
        <v>46062</v>
      </c>
      <c r="G36" s="252" t="s">
        <v>68</v>
      </c>
      <c r="H36" s="252"/>
      <c r="I36" s="252"/>
      <c r="J36" s="252"/>
      <c r="K36" s="342" cm="1">
        <f t="array" ref="K36">IF(OR($B36="",$F36=""),"",WORKDAY.INTL(IF(ISNUMBER($F36),$F36,FECHA.VALOR($F36)),IF(UPPER(TRIM($B36))="AUXILIAR DE COCINA",7,10),1,FESTIVOS!$D$3:$D$996))</f>
        <v>46071</v>
      </c>
      <c r="L36" s="343">
        <f t="shared" si="0"/>
        <v>46054</v>
      </c>
      <c r="M36" s="348" t="str">
        <f t="shared" si="1"/>
        <v>PENDIENTE</v>
      </c>
      <c r="N36" s="11"/>
      <c r="O36" s="13"/>
    </row>
    <row r="37" spans="1:15" ht="15.75" customHeight="1">
      <c r="A37" s="265" t="s">
        <v>679</v>
      </c>
      <c r="B37" s="268" t="s">
        <v>616</v>
      </c>
      <c r="C37" s="252" t="s">
        <v>617</v>
      </c>
      <c r="D37" s="340">
        <v>46055</v>
      </c>
      <c r="E37" s="252" t="s">
        <v>618</v>
      </c>
      <c r="F37" s="243">
        <v>46062</v>
      </c>
      <c r="G37" s="252" t="s">
        <v>68</v>
      </c>
      <c r="H37" s="252"/>
      <c r="I37" s="252"/>
      <c r="J37" s="252"/>
      <c r="K37" s="342" cm="1">
        <f t="array" ref="K37">IF(OR($B37="",$F37=""),"",WORKDAY.INTL(IF(ISNUMBER($F37),$F37,FECHA.VALOR($F37)),IF(UPPER(TRIM($B37))="AUXILIAR DE COCINA",7,10),1,FESTIVOS!$D$3:$D$996))</f>
        <v>46071</v>
      </c>
      <c r="L37" s="343">
        <f t="shared" si="0"/>
        <v>46054</v>
      </c>
      <c r="M37" s="348" t="str">
        <f t="shared" si="1"/>
        <v>PENDIENTE</v>
      </c>
      <c r="N37" s="11"/>
      <c r="O37" s="13"/>
    </row>
    <row r="38" spans="1:15" ht="15.75" customHeight="1">
      <c r="A38" s="265" t="s">
        <v>670</v>
      </c>
      <c r="B38" s="268" t="s">
        <v>653</v>
      </c>
      <c r="C38" s="252" t="s">
        <v>617</v>
      </c>
      <c r="D38" s="340">
        <v>46058</v>
      </c>
      <c r="E38" s="252" t="s">
        <v>621</v>
      </c>
      <c r="F38" s="243">
        <v>46055</v>
      </c>
      <c r="G38" s="252" t="s">
        <v>671</v>
      </c>
      <c r="H38" s="252" t="s">
        <v>680</v>
      </c>
      <c r="I38" s="252"/>
      <c r="J38" s="252"/>
      <c r="K38" s="342" cm="1">
        <f t="array" ref="K38">IF(OR($B38="",$F38=""),"",WORKDAY.INTL(IF(ISNUMBER($F38),$F38,FECHA.VALOR($F38)),IF(UPPER(TRIM($B38))="AUXILIAR DE COCINA",7,10),1,FESTIVOS!$D$3:$D$996))</f>
        <v>46069</v>
      </c>
      <c r="L38" s="343">
        <f t="shared" si="0"/>
        <v>46054</v>
      </c>
      <c r="M38" s="348" t="str">
        <f t="shared" si="1"/>
        <v>A TIEMPO</v>
      </c>
      <c r="N38" s="11"/>
      <c r="O38" s="13"/>
    </row>
    <row r="39" spans="1:15" ht="15.75" customHeight="1">
      <c r="A39" s="265" t="s">
        <v>673</v>
      </c>
      <c r="B39" s="268" t="s">
        <v>653</v>
      </c>
      <c r="C39" s="252" t="s">
        <v>617</v>
      </c>
      <c r="D39" s="340">
        <v>46058</v>
      </c>
      <c r="E39" s="252" t="s">
        <v>618</v>
      </c>
      <c r="F39" s="243">
        <v>46055</v>
      </c>
      <c r="G39" s="252" t="s">
        <v>68</v>
      </c>
      <c r="H39" s="252" t="s">
        <v>681</v>
      </c>
      <c r="I39" s="252"/>
      <c r="J39" s="252"/>
      <c r="K39" s="342" cm="1">
        <f t="array" ref="K39">IF(OR($B39="",$F39=""),"",WORKDAY.INTL(IF(ISNUMBER($F39),$F39,FECHA.VALOR($F39)),IF(UPPER(TRIM($B39))="AUXILIAR DE COCINA",7,10),1,FESTIVOS!$D$3:$D$996))</f>
        <v>46069</v>
      </c>
      <c r="L39" s="343">
        <f t="shared" si="0"/>
        <v>46054</v>
      </c>
      <c r="M39" s="348" t="str">
        <f t="shared" si="1"/>
        <v>A TIEMPO</v>
      </c>
      <c r="N39" s="11"/>
      <c r="O39" s="13"/>
    </row>
    <row r="40" spans="1:15" ht="15.75" customHeight="1">
      <c r="A40" s="265" t="s">
        <v>675</v>
      </c>
      <c r="B40" s="268" t="s">
        <v>616</v>
      </c>
      <c r="C40" s="252" t="s">
        <v>617</v>
      </c>
      <c r="D40" s="340">
        <v>46058</v>
      </c>
      <c r="E40" s="252" t="s">
        <v>618</v>
      </c>
      <c r="F40" s="243">
        <v>46057</v>
      </c>
      <c r="G40" s="252" t="s">
        <v>68</v>
      </c>
      <c r="H40" s="252" t="s">
        <v>664</v>
      </c>
      <c r="I40" s="252"/>
      <c r="J40" s="252"/>
      <c r="K40" s="342" cm="1">
        <f t="array" ref="K40">IF(OR($B40="",$F40=""),"",WORKDAY.INTL(IF(ISNUMBER($F40),$F40,FECHA.VALOR($F40)),IF(UPPER(TRIM($B40))="AUXILIAR DE COCINA",7,10),1,FESTIVOS!$D$3:$D$996))</f>
        <v>46066</v>
      </c>
      <c r="L40" s="343">
        <f t="shared" si="0"/>
        <v>46054</v>
      </c>
      <c r="M40" s="348" t="str">
        <f t="shared" si="1"/>
        <v>A TIEMPO</v>
      </c>
      <c r="N40" s="11"/>
      <c r="O40" s="13"/>
    </row>
    <row r="41" spans="1:15" ht="15.75" customHeight="1">
      <c r="A41" s="265" t="s">
        <v>676</v>
      </c>
      <c r="B41" s="268" t="s">
        <v>653</v>
      </c>
      <c r="C41" s="252" t="s">
        <v>617</v>
      </c>
      <c r="D41" s="340">
        <v>46069</v>
      </c>
      <c r="E41" s="252" t="s">
        <v>621</v>
      </c>
      <c r="F41" s="243">
        <v>46062</v>
      </c>
      <c r="G41" s="252" t="s">
        <v>671</v>
      </c>
      <c r="H41" s="252" t="s">
        <v>682</v>
      </c>
      <c r="I41" s="252"/>
      <c r="J41" s="252"/>
      <c r="K41" s="342" cm="1">
        <f t="array" ref="K41">IF(OR($B41="",$F41=""),"",WORKDAY.INTL(IF(ISNUMBER($F41),$F41,FECHA.VALOR($F41)),IF(UPPER(TRIM($B41))="AUXILIAR DE COCINA",7,10),1,FESTIVOS!$D$3:$D$996))</f>
        <v>46076</v>
      </c>
      <c r="L41" s="343">
        <f t="shared" si="0"/>
        <v>46054</v>
      </c>
      <c r="M41" s="348" t="str">
        <f t="shared" si="1"/>
        <v>A TIEMPO</v>
      </c>
      <c r="N41" s="11"/>
      <c r="O41" s="13"/>
    </row>
    <row r="42" spans="1:15" ht="15.75" customHeight="1">
      <c r="A42" s="265" t="s">
        <v>677</v>
      </c>
      <c r="B42" s="268" t="s">
        <v>616</v>
      </c>
      <c r="C42" s="252" t="s">
        <v>617</v>
      </c>
      <c r="D42" s="340">
        <v>46065</v>
      </c>
      <c r="E42" s="252" t="s">
        <v>618</v>
      </c>
      <c r="F42" s="243">
        <v>46062</v>
      </c>
      <c r="G42" s="252" t="s">
        <v>68</v>
      </c>
      <c r="H42" s="252" t="s">
        <v>661</v>
      </c>
      <c r="I42" s="252"/>
      <c r="J42" s="252"/>
      <c r="K42" s="342" cm="1">
        <f t="array" ref="K42">IF(OR($B42="",$F42=""),"",WORKDAY.INTL(IF(ISNUMBER($F42),$F42,FECHA.VALOR($F42)),IF(UPPER(TRIM($B42))="AUXILIAR DE COCINA",7,10),1,FESTIVOS!$D$3:$D$996))</f>
        <v>46071</v>
      </c>
      <c r="L42" s="343">
        <f t="shared" si="0"/>
        <v>46054</v>
      </c>
      <c r="M42" s="348" t="str">
        <f t="shared" si="1"/>
        <v>A TIEMPO</v>
      </c>
      <c r="N42" s="11"/>
      <c r="O42" s="13"/>
    </row>
    <row r="43" spans="1:15" ht="15.75" customHeight="1">
      <c r="A43" s="265" t="s">
        <v>678</v>
      </c>
      <c r="B43" s="268" t="s">
        <v>616</v>
      </c>
      <c r="C43" s="252" t="s">
        <v>617</v>
      </c>
      <c r="D43" s="340">
        <v>46065</v>
      </c>
      <c r="E43" s="252" t="s">
        <v>618</v>
      </c>
      <c r="F43" s="243">
        <v>46062</v>
      </c>
      <c r="G43" s="252" t="s">
        <v>68</v>
      </c>
      <c r="H43" s="252" t="s">
        <v>638</v>
      </c>
      <c r="I43" s="252"/>
      <c r="J43" s="252"/>
      <c r="K43" s="342" cm="1">
        <f t="array" ref="K43">IF(OR($B43="",$F43=""),"",WORKDAY.INTL(IF(ISNUMBER($F43),$F43,FECHA.VALOR($F43)),IF(UPPER(TRIM($B43))="AUXILIAR DE COCINA",7,10),1,FESTIVOS!$D$3:$D$996))</f>
        <v>46071</v>
      </c>
      <c r="L43" s="343">
        <f t="shared" si="0"/>
        <v>46054</v>
      </c>
      <c r="M43" s="348" t="str">
        <f t="shared" si="1"/>
        <v>A TIEMPO</v>
      </c>
      <c r="N43" s="11"/>
      <c r="O43" s="13"/>
    </row>
    <row r="44" spans="1:15" ht="15.75" customHeight="1">
      <c r="A44" s="265" t="s">
        <v>679</v>
      </c>
      <c r="B44" s="268" t="s">
        <v>616</v>
      </c>
      <c r="C44" s="252" t="s">
        <v>617</v>
      </c>
      <c r="D44" s="340">
        <v>46069</v>
      </c>
      <c r="E44" s="252" t="s">
        <v>618</v>
      </c>
      <c r="F44" s="243">
        <v>46062</v>
      </c>
      <c r="G44" s="252" t="s">
        <v>68</v>
      </c>
      <c r="H44" s="252" t="s">
        <v>683</v>
      </c>
      <c r="I44" s="252"/>
      <c r="J44" s="252"/>
      <c r="K44" s="342" cm="1">
        <f t="array" ref="K44">IF(OR($B44="",$F44=""),"",WORKDAY.INTL(IF(ISNUMBER($F44),$F44,FECHA.VALOR($F44)),IF(UPPER(TRIM($B44))="AUXILIAR DE COCINA",7,10),1,FESTIVOS!$D$3:$D$996))</f>
        <v>46071</v>
      </c>
      <c r="L44" s="343">
        <f t="shared" si="0"/>
        <v>46054</v>
      </c>
      <c r="M44" s="348" t="str">
        <f t="shared" si="1"/>
        <v>A TIEMPO</v>
      </c>
      <c r="N44" s="11"/>
      <c r="O44" s="13"/>
    </row>
    <row r="45" spans="1:15" ht="15.75" customHeight="1">
      <c r="A45" s="265" t="s">
        <v>684</v>
      </c>
      <c r="B45" s="268" t="s">
        <v>616</v>
      </c>
      <c r="C45" s="252" t="s">
        <v>617</v>
      </c>
      <c r="D45" s="340">
        <v>46069</v>
      </c>
      <c r="E45" s="252" t="s">
        <v>618</v>
      </c>
      <c r="F45" s="243">
        <v>46064</v>
      </c>
      <c r="G45" s="252" t="s">
        <v>68</v>
      </c>
      <c r="H45" s="252" t="s">
        <v>685</v>
      </c>
      <c r="I45" s="252"/>
      <c r="J45" s="252"/>
      <c r="K45" s="342" cm="1">
        <f t="array" ref="K45">IF(OR($B45="",$F45=""),"",WORKDAY.INTL(IF(ISNUMBER($F45),$F45,FECHA.VALOR($F45)),IF(UPPER(TRIM($B45))="AUXILIAR DE COCINA",7,10),1,FESTIVOS!$D$3:$D$996))</f>
        <v>46073</v>
      </c>
      <c r="L45" s="343">
        <f t="shared" si="0"/>
        <v>46054</v>
      </c>
      <c r="M45" s="348" t="str">
        <f t="shared" si="1"/>
        <v>A TIEMPO</v>
      </c>
      <c r="N45" s="11"/>
      <c r="O45" s="13"/>
    </row>
    <row r="46" spans="1:15" ht="15.75" customHeight="1">
      <c r="A46" s="265" t="s">
        <v>686</v>
      </c>
      <c r="B46" s="268" t="s">
        <v>616</v>
      </c>
      <c r="C46" s="252" t="s">
        <v>617</v>
      </c>
      <c r="D46" s="340">
        <v>46069</v>
      </c>
      <c r="E46" s="252" t="s">
        <v>618</v>
      </c>
      <c r="F46" s="243">
        <v>46064</v>
      </c>
      <c r="G46" s="252" t="s">
        <v>68</v>
      </c>
      <c r="H46" s="252" t="s">
        <v>687</v>
      </c>
      <c r="I46" s="252"/>
      <c r="J46" s="252"/>
      <c r="K46" s="342" cm="1">
        <f t="array" ref="K46">IF(OR($B46="",$F46=""),"",WORKDAY.INTL(IF(ISNUMBER($F46),$F46,FECHA.VALOR($F46)),IF(UPPER(TRIM($B46))="AUXILIAR DE COCINA",7,10),1,FESTIVOS!$D$3:$D$996))</f>
        <v>46073</v>
      </c>
      <c r="L46" s="343">
        <f t="shared" si="0"/>
        <v>46054</v>
      </c>
      <c r="M46" s="348" t="str">
        <f t="shared" si="1"/>
        <v>A TIEMPO</v>
      </c>
      <c r="N46" s="11"/>
      <c r="O46" s="13"/>
    </row>
    <row r="47" spans="1:15" ht="15.75" customHeight="1">
      <c r="A47" s="265" t="s">
        <v>688</v>
      </c>
      <c r="B47" s="268" t="s">
        <v>653</v>
      </c>
      <c r="C47" s="252" t="s">
        <v>617</v>
      </c>
      <c r="D47" s="340">
        <v>46072</v>
      </c>
      <c r="E47" s="252" t="s">
        <v>621</v>
      </c>
      <c r="F47" s="243">
        <v>46069</v>
      </c>
      <c r="G47" s="252" t="s">
        <v>68</v>
      </c>
      <c r="H47" s="252" t="s">
        <v>644</v>
      </c>
      <c r="I47" s="252"/>
      <c r="J47" s="252"/>
      <c r="K47" s="342" cm="1">
        <f t="array" ref="K47">IF(OR($B47="",$F47=""),"",WORKDAY.INTL(IF(ISNUMBER($F47),$F47,FECHA.VALOR($F47)),IF(UPPER(TRIM($B47))="AUXILIAR DE COCINA",7,10),1,FESTIVOS!$D$3:$D$996))</f>
        <v>46083</v>
      </c>
      <c r="L47" s="343">
        <f t="shared" si="0"/>
        <v>46054</v>
      </c>
      <c r="M47" s="348" t="str">
        <f t="shared" si="1"/>
        <v>A TIEMPO</v>
      </c>
      <c r="N47" s="11"/>
      <c r="O47" s="13"/>
    </row>
    <row r="48" spans="1:15" ht="15.75" customHeight="1">
      <c r="A48" s="265" t="s">
        <v>689</v>
      </c>
      <c r="B48" s="268" t="s">
        <v>616</v>
      </c>
      <c r="C48" s="252" t="s">
        <v>617</v>
      </c>
      <c r="D48" s="340">
        <v>46072</v>
      </c>
      <c r="E48" s="252" t="s">
        <v>618</v>
      </c>
      <c r="F48" s="243">
        <v>46069</v>
      </c>
      <c r="G48" s="252" t="s">
        <v>68</v>
      </c>
      <c r="H48" s="252" t="s">
        <v>690</v>
      </c>
      <c r="I48" s="252"/>
      <c r="J48" s="252"/>
      <c r="K48" s="342" cm="1">
        <f t="array" ref="K48">IF(OR($B48="",$F48=""),"",WORKDAY.INTL(IF(ISNUMBER($F48),$F48,FECHA.VALOR($F48)),IF(UPPER(TRIM($B48))="AUXILIAR DE COCINA",7,10),1,FESTIVOS!$D$3:$D$996))</f>
        <v>46078</v>
      </c>
      <c r="L48" s="343">
        <f t="shared" si="0"/>
        <v>46054</v>
      </c>
      <c r="M48" s="348" t="str">
        <f t="shared" si="1"/>
        <v>A TIEMPO</v>
      </c>
      <c r="N48" s="11"/>
      <c r="O48" s="13"/>
    </row>
    <row r="49" spans="1:15" ht="15.75" customHeight="1">
      <c r="A49" s="265" t="s">
        <v>691</v>
      </c>
      <c r="B49" s="268" t="s">
        <v>616</v>
      </c>
      <c r="C49" s="252" t="s">
        <v>617</v>
      </c>
      <c r="D49" s="340">
        <v>46073</v>
      </c>
      <c r="E49" s="252" t="s">
        <v>618</v>
      </c>
      <c r="F49" s="243">
        <v>46069</v>
      </c>
      <c r="G49" s="252" t="s">
        <v>68</v>
      </c>
      <c r="H49" s="252" t="s">
        <v>669</v>
      </c>
      <c r="I49" s="252"/>
      <c r="J49" s="252"/>
      <c r="K49" s="342" cm="1">
        <f t="array" ref="K49">IF(OR($B49="",$F49=""),"",WORKDAY.INTL(IF(ISNUMBER($F49),$F49,FECHA.VALOR($F49)),IF(UPPER(TRIM($B49))="AUXILIAR DE COCINA",7,10),1,FESTIVOS!$D$3:$D$996))</f>
        <v>46078</v>
      </c>
      <c r="L49" s="343">
        <f t="shared" si="0"/>
        <v>46054</v>
      </c>
      <c r="M49" s="348" t="str">
        <f t="shared" si="1"/>
        <v>A TIEMPO</v>
      </c>
      <c r="N49" s="11"/>
      <c r="O49" s="13"/>
    </row>
    <row r="50" spans="1:15" ht="15.75" customHeight="1">
      <c r="A50" s="265" t="s">
        <v>692</v>
      </c>
      <c r="B50" s="268" t="s">
        <v>616</v>
      </c>
      <c r="C50" s="252" t="s">
        <v>617</v>
      </c>
      <c r="D50" s="340">
        <v>46073</v>
      </c>
      <c r="E50" s="252" t="s">
        <v>618</v>
      </c>
      <c r="F50" s="243">
        <v>46069</v>
      </c>
      <c r="G50" s="252" t="s">
        <v>68</v>
      </c>
      <c r="H50" s="252" t="s">
        <v>686</v>
      </c>
      <c r="I50" s="252"/>
      <c r="J50" s="252"/>
      <c r="K50" s="342" cm="1">
        <f t="array" ref="K50">IF(OR($B50="",$F50=""),"",WORKDAY.INTL(IF(ISNUMBER($F50),$F50,FECHA.VALOR($F50)),IF(UPPER(TRIM($B50))="AUXILIAR DE COCINA",7,10),1,FESTIVOS!$D$3:$D$996))</f>
        <v>46078</v>
      </c>
      <c r="L50" s="343">
        <f t="shared" si="0"/>
        <v>46054</v>
      </c>
      <c r="M50" s="348" t="str">
        <f t="shared" si="1"/>
        <v>A TIEMPO</v>
      </c>
      <c r="N50" s="11"/>
      <c r="O50" s="13"/>
    </row>
    <row r="51" spans="1:15" ht="15.75" customHeight="1">
      <c r="A51" s="265" t="s">
        <v>693</v>
      </c>
      <c r="B51" s="268" t="s">
        <v>616</v>
      </c>
      <c r="C51" s="252" t="s">
        <v>617</v>
      </c>
      <c r="D51" s="340">
        <v>46079</v>
      </c>
      <c r="E51" s="252" t="s">
        <v>621</v>
      </c>
      <c r="F51" s="243">
        <v>46077</v>
      </c>
      <c r="G51" s="252" t="s">
        <v>671</v>
      </c>
      <c r="H51" s="252" t="s">
        <v>694</v>
      </c>
      <c r="I51" s="252"/>
      <c r="J51" s="252"/>
      <c r="K51" s="342" cm="1">
        <f t="array" ref="K51">IF(OR($B51="",$F51=""),"",WORKDAY.INTL(IF(ISNUMBER($F51),$F51,FECHA.VALOR($F51)),IF(UPPER(TRIM($B51))="AUXILIAR DE COCINA",7,10),1,FESTIVOS!$D$3:$D$996))</f>
        <v>46086</v>
      </c>
      <c r="L51" s="343">
        <f t="shared" si="0"/>
        <v>46082</v>
      </c>
      <c r="M51" s="348" t="str">
        <f t="shared" si="1"/>
        <v>A TIEMPO</v>
      </c>
      <c r="N51" s="11"/>
      <c r="O51" s="13"/>
    </row>
    <row r="52" spans="1:15" ht="15.75" customHeight="1">
      <c r="A52" s="265" t="s">
        <v>695</v>
      </c>
      <c r="B52" s="268" t="s">
        <v>616</v>
      </c>
      <c r="C52" s="252" t="s">
        <v>617</v>
      </c>
      <c r="D52" s="340">
        <v>46083</v>
      </c>
      <c r="E52" s="252" t="s">
        <v>618</v>
      </c>
      <c r="F52" s="243">
        <v>46077</v>
      </c>
      <c r="G52" s="252" t="s">
        <v>221</v>
      </c>
      <c r="H52" s="252" t="s">
        <v>696</v>
      </c>
      <c r="I52" s="252"/>
      <c r="J52" s="252"/>
      <c r="K52" s="342" cm="1">
        <f t="array" ref="K52">IF(OR($B52="",$F52=""),"",WORKDAY.INTL(IF(ISNUMBER($F52),$F52,FECHA.VALOR($F52)),IF(UPPER(TRIM($B52))="AUXILIAR DE COCINA",7,10),1,FESTIVOS!$D$3:$D$996))</f>
        <v>46086</v>
      </c>
      <c r="L52" s="343">
        <f t="shared" si="0"/>
        <v>46082</v>
      </c>
      <c r="M52" s="348" t="str">
        <f t="shared" si="1"/>
        <v>A TIEMPO</v>
      </c>
      <c r="N52" s="11"/>
      <c r="O52" s="13"/>
    </row>
    <row r="53" spans="1:15" ht="15.75" customHeight="1">
      <c r="A53" s="265" t="s">
        <v>697</v>
      </c>
      <c r="B53" s="268" t="s">
        <v>616</v>
      </c>
      <c r="C53" s="252" t="s">
        <v>617</v>
      </c>
      <c r="D53" s="340">
        <v>46086</v>
      </c>
      <c r="E53" s="252" t="s">
        <v>618</v>
      </c>
      <c r="F53" s="243">
        <v>46083</v>
      </c>
      <c r="G53" s="252" t="s">
        <v>221</v>
      </c>
      <c r="H53" s="252" t="s">
        <v>643</v>
      </c>
      <c r="I53" s="252"/>
      <c r="J53" s="252"/>
      <c r="K53" s="342" cm="1">
        <f t="array" ref="K53">IF(OR($B53="",$F53=""),"",WORKDAY.INTL(IF(ISNUMBER($F53),$F53,FECHA.VALOR($F53)),IF(UPPER(TRIM($B53))="AUXILIAR DE COCINA",7,10),1,FESTIVOS!$D$3:$D$996))</f>
        <v>46092</v>
      </c>
      <c r="L53" s="343">
        <f t="shared" si="0"/>
        <v>46082</v>
      </c>
      <c r="M53" s="348" t="str">
        <f t="shared" si="1"/>
        <v>A TIEMPO</v>
      </c>
      <c r="N53" s="11"/>
      <c r="O53" s="13"/>
    </row>
    <row r="54" spans="1:15" ht="15.75" customHeight="1">
      <c r="A54" s="265" t="s">
        <v>698</v>
      </c>
      <c r="B54" s="268" t="s">
        <v>616</v>
      </c>
      <c r="C54" s="252" t="s">
        <v>617</v>
      </c>
      <c r="D54" s="340">
        <v>46086</v>
      </c>
      <c r="E54" s="252" t="s">
        <v>618</v>
      </c>
      <c r="F54" s="243">
        <v>46083</v>
      </c>
      <c r="G54" s="252" t="s">
        <v>221</v>
      </c>
      <c r="H54" s="252" t="s">
        <v>689</v>
      </c>
      <c r="I54" s="252"/>
      <c r="J54" s="252"/>
      <c r="K54" s="342" cm="1">
        <f t="array" ref="K54">IF(OR($B54="",$F54=""),"",WORKDAY.INTL(IF(ISNUMBER($F54),$F54,FECHA.VALOR($F54)),IF(UPPER(TRIM($B54))="AUXILIAR DE COCINA",7,10),1,FESTIVOS!$D$3:$D$996))</f>
        <v>46092</v>
      </c>
      <c r="L54" s="343">
        <f t="shared" si="0"/>
        <v>46082</v>
      </c>
      <c r="M54" s="348" t="str">
        <f t="shared" si="1"/>
        <v>A TIEMPO</v>
      </c>
      <c r="N54" s="11"/>
      <c r="O54" s="13"/>
    </row>
    <row r="55" spans="1:15" ht="15.75" customHeight="1">
      <c r="A55" s="265" t="s">
        <v>699</v>
      </c>
      <c r="B55" s="268" t="s">
        <v>616</v>
      </c>
      <c r="C55" s="252" t="s">
        <v>617</v>
      </c>
      <c r="D55" s="340">
        <v>46090</v>
      </c>
      <c r="E55" s="252" t="s">
        <v>618</v>
      </c>
      <c r="F55" s="243">
        <v>46083</v>
      </c>
      <c r="G55" s="252" t="s">
        <v>221</v>
      </c>
      <c r="H55" s="252" t="s">
        <v>700</v>
      </c>
      <c r="I55" s="252"/>
      <c r="J55" s="252"/>
      <c r="K55" s="342" cm="1">
        <f t="array" ref="K55">IF(OR($B55="",$F55=""),"",WORKDAY.INTL(IF(ISNUMBER($F55),$F55,FECHA.VALOR($F55)),IF(UPPER(TRIM($B55))="AUXILIAR DE COCINA",7,10),1,FESTIVOS!$D$3:$D$996))</f>
        <v>46092</v>
      </c>
      <c r="L55" s="343">
        <f t="shared" si="0"/>
        <v>46082</v>
      </c>
      <c r="M55" s="348" t="str">
        <f t="shared" si="1"/>
        <v>A TIEMPO</v>
      </c>
      <c r="N55" s="11"/>
      <c r="O55" s="13"/>
    </row>
    <row r="56" spans="1:15" ht="15.75" customHeight="1">
      <c r="A56" s="265" t="s">
        <v>701</v>
      </c>
      <c r="B56" s="268" t="s">
        <v>653</v>
      </c>
      <c r="C56" s="252" t="s">
        <v>617</v>
      </c>
      <c r="D56" s="340">
        <v>46090</v>
      </c>
      <c r="E56" s="252" t="s">
        <v>621</v>
      </c>
      <c r="F56" s="243">
        <v>46083</v>
      </c>
      <c r="G56" s="252" t="s">
        <v>68</v>
      </c>
      <c r="H56" s="252" t="s">
        <v>702</v>
      </c>
      <c r="I56" s="252"/>
      <c r="J56" s="252"/>
      <c r="K56" s="342" cm="1">
        <f t="array" ref="K56">IF(OR($B56="",$F56=""),"",WORKDAY.INTL(IF(ISNUMBER($F56),$F56,FECHA.VALOR($F56)),IF(UPPER(TRIM($B56))="AUXILIAR DE COCINA",7,10),1,FESTIVOS!$D$3:$D$996))</f>
        <v>46097</v>
      </c>
      <c r="L56" s="343">
        <f t="shared" si="0"/>
        <v>46082</v>
      </c>
      <c r="M56" s="348" t="str">
        <f t="shared" si="1"/>
        <v>A TIEMPO</v>
      </c>
      <c r="N56" s="11"/>
      <c r="O56" s="13"/>
    </row>
    <row r="57" spans="1:15" ht="15.75" customHeight="1">
      <c r="A57" s="265" t="s">
        <v>703</v>
      </c>
      <c r="B57" s="268" t="s">
        <v>616</v>
      </c>
      <c r="C57" s="252" t="s">
        <v>617</v>
      </c>
      <c r="D57" s="340">
        <v>46090</v>
      </c>
      <c r="E57" s="252" t="s">
        <v>618</v>
      </c>
      <c r="F57" s="243">
        <v>46086</v>
      </c>
      <c r="G57" s="252" t="s">
        <v>221</v>
      </c>
      <c r="H57" s="252" t="s">
        <v>692</v>
      </c>
      <c r="I57" s="252"/>
      <c r="J57" s="252"/>
      <c r="K57" s="342" cm="1">
        <f t="array" ref="K57">IF(OR($B57="",$F57=""),"",WORKDAY.INTL(IF(ISNUMBER($F57),$F57,FECHA.VALOR($F57)),IF(UPPER(TRIM($B57))="AUXILIAR DE COCINA",7,10),1,FESTIVOS!$D$3:$D$996))</f>
        <v>46097</v>
      </c>
      <c r="L57" s="343">
        <f t="shared" si="0"/>
        <v>46082</v>
      </c>
      <c r="M57" s="348" t="str">
        <f t="shared" si="1"/>
        <v>A TIEMPO</v>
      </c>
      <c r="N57" s="11"/>
      <c r="O57" s="13"/>
    </row>
    <row r="58" spans="1:15" ht="15.75" customHeight="1">
      <c r="A58" s="265" t="s">
        <v>704</v>
      </c>
      <c r="B58" s="268" t="s">
        <v>653</v>
      </c>
      <c r="C58" s="252" t="s">
        <v>617</v>
      </c>
      <c r="D58" s="340">
        <v>46090</v>
      </c>
      <c r="E58" s="252" t="s">
        <v>621</v>
      </c>
      <c r="F58" s="243">
        <v>46090</v>
      </c>
      <c r="G58" s="252" t="s">
        <v>705</v>
      </c>
      <c r="H58" s="252" t="s">
        <v>706</v>
      </c>
      <c r="I58" s="252"/>
      <c r="J58" s="252"/>
      <c r="K58" s="342" cm="1">
        <f t="array" ref="K58">IF(OR($B58="",$F58=""),"",WORKDAY.INTL(IF(ISNUMBER($F58),$F58,FECHA.VALOR($F58)),IF(UPPER(TRIM($B58))="AUXILIAR DE COCINA",7,10),1,FESTIVOS!$D$3:$D$996))</f>
        <v>46105</v>
      </c>
      <c r="L58" s="343">
        <f t="shared" si="0"/>
        <v>46082</v>
      </c>
      <c r="M58" s="348" t="str">
        <f t="shared" si="1"/>
        <v>A TIEMPO</v>
      </c>
      <c r="N58" s="11"/>
      <c r="O58" s="13"/>
    </row>
    <row r="59" spans="1:15" ht="15.75" customHeight="1">
      <c r="A59" s="265" t="s">
        <v>707</v>
      </c>
      <c r="B59" s="268" t="s">
        <v>616</v>
      </c>
      <c r="C59" s="252" t="s">
        <v>617</v>
      </c>
      <c r="D59" s="340">
        <v>46093</v>
      </c>
      <c r="E59" s="252" t="s">
        <v>618</v>
      </c>
      <c r="F59" s="243">
        <v>46088</v>
      </c>
      <c r="G59" s="252" t="s">
        <v>221</v>
      </c>
      <c r="H59" s="252" t="s">
        <v>693</v>
      </c>
      <c r="I59" s="252"/>
      <c r="J59" s="252"/>
      <c r="K59" s="342" cm="1">
        <f t="array" ref="K59">IF(OR($B59="",$F59=""),"",WORKDAY.INTL(IF(ISNUMBER($F59),$F59,FECHA.VALOR($F59)),IF(UPPER(TRIM($B59))="AUXILIAR DE COCINA",7,10),1,FESTIVOS!$D$3:$D$996))</f>
        <v>46098</v>
      </c>
      <c r="L59" s="343">
        <f t="shared" si="0"/>
        <v>46082</v>
      </c>
      <c r="M59" s="348" t="str">
        <f t="shared" si="1"/>
        <v>A TIEMPO</v>
      </c>
      <c r="N59" s="11"/>
      <c r="O59" s="13"/>
    </row>
    <row r="60" spans="1:15" ht="15.75" customHeight="1">
      <c r="A60" s="265" t="s">
        <v>708</v>
      </c>
      <c r="B60" s="268" t="s">
        <v>616</v>
      </c>
      <c r="C60" s="252" t="s">
        <v>617</v>
      </c>
      <c r="D60" s="340">
        <v>46093</v>
      </c>
      <c r="E60" s="252" t="s">
        <v>621</v>
      </c>
      <c r="F60" s="243">
        <v>46088</v>
      </c>
      <c r="G60" s="252" t="s">
        <v>705</v>
      </c>
      <c r="H60" s="252" t="s">
        <v>709</v>
      </c>
      <c r="I60" s="252"/>
      <c r="J60" s="252"/>
      <c r="K60" s="342" cm="1">
        <f t="array" ref="K60">IF(OR($B60="",$F60=""),"",WORKDAY.INTL(IF(ISNUMBER($F60),$F60,FECHA.VALOR($F60)),IF(UPPER(TRIM($B60))="AUXILIAR DE COCINA",7,10),1,FESTIVOS!$D$3:$D$996))</f>
        <v>46098</v>
      </c>
      <c r="L60" s="343">
        <f t="shared" si="0"/>
        <v>46082</v>
      </c>
      <c r="M60" s="348" t="str">
        <f t="shared" si="1"/>
        <v>A TIEMPO</v>
      </c>
      <c r="N60" s="11"/>
      <c r="O60" s="13"/>
    </row>
    <row r="61" spans="1:15" ht="15.75" customHeight="1">
      <c r="A61" s="265" t="s">
        <v>710</v>
      </c>
      <c r="B61" s="268" t="s">
        <v>616</v>
      </c>
      <c r="C61" s="252" t="s">
        <v>617</v>
      </c>
      <c r="D61" s="340">
        <v>46093</v>
      </c>
      <c r="E61" s="252" t="s">
        <v>621</v>
      </c>
      <c r="F61" s="243">
        <v>46090</v>
      </c>
      <c r="G61" s="252" t="s">
        <v>705</v>
      </c>
      <c r="H61" s="252" t="s">
        <v>711</v>
      </c>
      <c r="I61" s="252"/>
      <c r="J61" s="252"/>
      <c r="K61" s="342" cm="1">
        <f t="array" ref="K61">IF(OR($B61="",$F61=""),"",WORKDAY.INTL(IF(ISNUMBER($F61),$F61,FECHA.VALOR($F61)),IF(UPPER(TRIM($B61))="AUXILIAR DE COCINA",7,10),1,FESTIVOS!$D$3:$D$996))</f>
        <v>46099</v>
      </c>
      <c r="L61" s="343">
        <f t="shared" si="0"/>
        <v>46082</v>
      </c>
      <c r="M61" s="348" t="str">
        <f t="shared" si="1"/>
        <v>A TIEMPO</v>
      </c>
      <c r="N61" s="11"/>
      <c r="O61" s="13"/>
    </row>
    <row r="62" spans="1:15" ht="15.75" customHeight="1">
      <c r="A62" s="265" t="s">
        <v>712</v>
      </c>
      <c r="B62" s="268" t="s">
        <v>616</v>
      </c>
      <c r="C62" s="252" t="s">
        <v>617</v>
      </c>
      <c r="D62" s="340">
        <v>46105</v>
      </c>
      <c r="E62" s="252" t="s">
        <v>618</v>
      </c>
      <c r="F62" s="243">
        <v>46093</v>
      </c>
      <c r="G62" s="252" t="s">
        <v>68</v>
      </c>
      <c r="H62" s="252" t="s">
        <v>698</v>
      </c>
      <c r="I62" s="252"/>
      <c r="J62" s="252"/>
      <c r="K62" s="342" cm="1">
        <f t="array" ref="K62">IF(OR($B62="",$F62=""),"",WORKDAY.INTL(IF(ISNUMBER($F62),$F62,FECHA.VALOR($F62)),IF(UPPER(TRIM($B62))="AUXILIAR DE COCINA",7,10),1,FESTIVOS!$D$3:$D$996))</f>
        <v>46105</v>
      </c>
      <c r="L62" s="343">
        <f t="shared" si="0"/>
        <v>46082</v>
      </c>
      <c r="M62" s="348" t="str">
        <f t="shared" si="1"/>
        <v>A TIEMPO</v>
      </c>
      <c r="N62" s="11"/>
      <c r="O62" s="13"/>
    </row>
    <row r="63" spans="1:15" ht="15.75" customHeight="1">
      <c r="A63" s="265" t="s">
        <v>713</v>
      </c>
      <c r="B63" s="268" t="s">
        <v>616</v>
      </c>
      <c r="C63" s="252" t="s">
        <v>617</v>
      </c>
      <c r="D63" s="340">
        <v>46105</v>
      </c>
      <c r="E63" s="252" t="s">
        <v>618</v>
      </c>
      <c r="F63" s="243">
        <v>46095</v>
      </c>
      <c r="G63" s="252" t="s">
        <v>624</v>
      </c>
      <c r="H63" s="252" t="s">
        <v>714</v>
      </c>
      <c r="I63" s="252"/>
      <c r="J63" s="252"/>
      <c r="K63" s="342" cm="1">
        <f t="array" ref="K63">IF(OR($B63="",$F63=""),"",WORKDAY.INTL(IF(ISNUMBER($F63),$F63,FECHA.VALOR($F63)),IF(UPPER(TRIM($B63))="AUXILIAR DE COCINA",7,10),1,FESTIVOS!$D$3:$D$996))</f>
        <v>46106</v>
      </c>
      <c r="L63" s="343">
        <f t="shared" si="0"/>
        <v>46082</v>
      </c>
      <c r="M63" s="348" t="str">
        <f t="shared" si="1"/>
        <v>A TIEMPO</v>
      </c>
      <c r="N63" s="11"/>
      <c r="O63" s="13"/>
    </row>
    <row r="64" spans="1:15" ht="15.75" customHeight="1">
      <c r="A64" s="265" t="s">
        <v>715</v>
      </c>
      <c r="B64" s="268" t="s">
        <v>616</v>
      </c>
      <c r="C64" s="252" t="s">
        <v>617</v>
      </c>
      <c r="D64" s="340">
        <v>46105</v>
      </c>
      <c r="E64" s="252" t="s">
        <v>618</v>
      </c>
      <c r="F64" s="243">
        <v>46096</v>
      </c>
      <c r="G64" s="252" t="s">
        <v>68</v>
      </c>
      <c r="H64" s="252" t="s">
        <v>710</v>
      </c>
      <c r="I64" s="252"/>
      <c r="J64" s="252"/>
      <c r="K64" s="342" cm="1">
        <f t="array" ref="K64">IF(OR($B64="",$F64=""),"",WORKDAY.INTL(IF(ISNUMBER($F64),$F64,FECHA.VALOR($F64)),IF(UPPER(TRIM($B64))="AUXILIAR DE COCINA",7,10),1,FESTIVOS!$D$3:$D$996))</f>
        <v>46106</v>
      </c>
      <c r="L64" s="343">
        <f t="shared" si="0"/>
        <v>46082</v>
      </c>
      <c r="M64" s="348" t="str">
        <f t="shared" si="1"/>
        <v>A TIEMPO</v>
      </c>
      <c r="N64" s="11"/>
      <c r="O64" s="13"/>
    </row>
    <row r="65" spans="1:15" ht="15.75" customHeight="1">
      <c r="A65" s="265" t="s">
        <v>716</v>
      </c>
      <c r="B65" s="268" t="s">
        <v>616</v>
      </c>
      <c r="C65" s="252" t="s">
        <v>617</v>
      </c>
      <c r="D65" s="340">
        <v>46105</v>
      </c>
      <c r="E65" s="252" t="s">
        <v>618</v>
      </c>
      <c r="F65" s="243">
        <v>46101</v>
      </c>
      <c r="G65" s="252" t="s">
        <v>68</v>
      </c>
      <c r="H65" s="252" t="s">
        <v>717</v>
      </c>
      <c r="I65" s="252"/>
      <c r="J65" s="252"/>
      <c r="K65" s="342" cm="1">
        <f t="array" ref="K65">IF(OR($B65="",$F65=""),"",WORKDAY.INTL(IF(ISNUMBER($F65),$F65,FECHA.VALOR($F65)),IF(UPPER(TRIM($B65))="AUXILIAR DE COCINA",7,10),1,FESTIVOS!$D$3:$D$996))</f>
        <v>46113</v>
      </c>
      <c r="L65" s="343">
        <f t="shared" si="0"/>
        <v>46113</v>
      </c>
      <c r="M65" s="348" t="str">
        <f t="shared" si="1"/>
        <v>A TIEMPO</v>
      </c>
      <c r="N65" s="11"/>
      <c r="O65" s="13"/>
    </row>
    <row r="66" spans="1:15" ht="15.75" customHeight="1">
      <c r="A66" s="265" t="s">
        <v>712</v>
      </c>
      <c r="B66" s="268" t="s">
        <v>616</v>
      </c>
      <c r="C66" s="252" t="s">
        <v>617</v>
      </c>
      <c r="D66" s="340">
        <v>46111</v>
      </c>
      <c r="E66" s="252" t="s">
        <v>618</v>
      </c>
      <c r="F66" s="243">
        <v>46105</v>
      </c>
      <c r="G66" s="252" t="s">
        <v>68</v>
      </c>
      <c r="H66" s="265" t="s">
        <v>712</v>
      </c>
      <c r="I66" s="252"/>
      <c r="J66" s="252"/>
      <c r="K66" s="342" cm="1">
        <f t="array" ref="K66">IF(OR($B66="",$F66=""),"",WORKDAY.INTL(IF(ISNUMBER($F66),$F66,FECHA.VALOR($F66)),IF(UPPER(TRIM($B66))="AUXILIAR DE COCINA",7,10),1,FESTIVOS!$D$3:$D$996))</f>
        <v>46118</v>
      </c>
      <c r="L66" s="343">
        <f t="shared" si="0"/>
        <v>46113</v>
      </c>
      <c r="M66" s="348" t="str">
        <f t="shared" si="1"/>
        <v>A TIEMPO</v>
      </c>
      <c r="N66" s="11"/>
      <c r="O66" s="13"/>
    </row>
    <row r="67" spans="1:15" ht="15.75" customHeight="1">
      <c r="A67" s="265" t="s">
        <v>718</v>
      </c>
      <c r="B67" s="268" t="s">
        <v>616</v>
      </c>
      <c r="C67" s="252" t="s">
        <v>617</v>
      </c>
      <c r="D67" s="340">
        <v>46111</v>
      </c>
      <c r="E67" s="252" t="s">
        <v>618</v>
      </c>
      <c r="F67" s="243">
        <v>46105</v>
      </c>
      <c r="G67" s="252" t="s">
        <v>68</v>
      </c>
      <c r="H67" s="265" t="s">
        <v>715</v>
      </c>
      <c r="I67" s="252"/>
      <c r="J67" s="252"/>
      <c r="K67" s="342" cm="1">
        <f t="array" ref="K67">IF(OR($B67="",$F67=""),"",WORKDAY.INTL(IF(ISNUMBER($F67),$F67,FECHA.VALOR($F67)),IF(UPPER(TRIM($B67))="AUXILIAR DE COCINA",7,10),1,FESTIVOS!$D$3:$D$996))</f>
        <v>46118</v>
      </c>
      <c r="L67" s="343">
        <f t="shared" ref="L67:L172" si="2">IF($F67="","",DATE(YEAR(EDATE($F67,IF(DAY($F67)&gt;=17,1,0))),MONTH(EDATE($F67,IF(DAY($F67)&gt;=17,1,0))),1))</f>
        <v>46113</v>
      </c>
      <c r="M67" s="348" t="str">
        <f t="shared" ref="M67:M172" si="3">IF($K67="","",IF(OR($D67="",$D67&lt;$F67),"PENDIENTE",IF($D67&lt;=$K67,"A TIEMPO","FUERA DE TIEMPO")))</f>
        <v>A TIEMPO</v>
      </c>
      <c r="N67" s="11"/>
      <c r="O67" s="13"/>
    </row>
    <row r="68" spans="1:15" ht="15.75" customHeight="1">
      <c r="A68" s="265" t="s">
        <v>719</v>
      </c>
      <c r="B68" s="252" t="s">
        <v>616</v>
      </c>
      <c r="C68" s="252" t="s">
        <v>617</v>
      </c>
      <c r="D68" s="340">
        <v>46111</v>
      </c>
      <c r="E68" s="252" t="s">
        <v>618</v>
      </c>
      <c r="F68" s="243">
        <v>46105</v>
      </c>
      <c r="G68" s="252" t="s">
        <v>624</v>
      </c>
      <c r="H68" s="265" t="s">
        <v>656</v>
      </c>
      <c r="I68" s="252"/>
      <c r="J68" s="252"/>
      <c r="K68" s="342" cm="1">
        <f t="array" ref="K68">IF(OR($B68="",$F68=""),"",WORKDAY.INTL(IF(ISNUMBER($F68),$F68,FECHA.VALOR($F68)),IF(UPPER(TRIM($B68))="AUXILIAR DE COCINA",7,10),1,FESTIVOS!$D$3:$D$996))</f>
        <v>46118</v>
      </c>
      <c r="L68" s="343">
        <f t="shared" si="2"/>
        <v>46113</v>
      </c>
      <c r="M68" s="348" t="str">
        <f t="shared" si="3"/>
        <v>A TIEMPO</v>
      </c>
      <c r="N68" s="11"/>
      <c r="O68" s="13"/>
    </row>
    <row r="69" spans="1:15" ht="15.75" customHeight="1">
      <c r="A69" s="265" t="s">
        <v>720</v>
      </c>
      <c r="B69" s="252" t="s">
        <v>616</v>
      </c>
      <c r="C69" s="252" t="s">
        <v>617</v>
      </c>
      <c r="D69" s="340">
        <v>46111</v>
      </c>
      <c r="E69" s="252" t="s">
        <v>618</v>
      </c>
      <c r="F69" s="243">
        <v>46106</v>
      </c>
      <c r="G69" s="252" t="s">
        <v>624</v>
      </c>
      <c r="H69" s="265" t="s">
        <v>721</v>
      </c>
      <c r="I69" s="252"/>
      <c r="J69" s="252"/>
      <c r="K69" s="342" cm="1">
        <f t="array" ref="K69">IF(OR($B69="",$F69=""),"",WORKDAY.INTL(IF(ISNUMBER($F69),$F69,FECHA.VALOR($F69)),IF(UPPER(TRIM($B69))="AUXILIAR DE COCINA",7,10),1,FESTIVOS!$D$3:$D$996))</f>
        <v>46119</v>
      </c>
      <c r="L69" s="343">
        <f t="shared" si="2"/>
        <v>46113</v>
      </c>
      <c r="M69" s="348" t="str">
        <f t="shared" si="3"/>
        <v>A TIEMPO</v>
      </c>
      <c r="N69" s="11"/>
      <c r="O69" s="13"/>
    </row>
    <row r="70" spans="1:15" ht="15.75" customHeight="1">
      <c r="A70" s="265" t="s">
        <v>722</v>
      </c>
      <c r="B70" s="252" t="s">
        <v>616</v>
      </c>
      <c r="C70" s="252" t="s">
        <v>617</v>
      </c>
      <c r="D70" s="340">
        <v>46119</v>
      </c>
      <c r="E70" s="252" t="s">
        <v>618</v>
      </c>
      <c r="F70" s="243">
        <v>46111</v>
      </c>
      <c r="G70" s="252" t="s">
        <v>68</v>
      </c>
      <c r="H70" s="265" t="s">
        <v>712</v>
      </c>
      <c r="I70" s="252"/>
      <c r="J70" s="252"/>
      <c r="K70" s="342" cm="1">
        <f t="array" ref="K70">IF(OR($B70="",$F70=""),"",WORKDAY.INTL(IF(ISNUMBER($F70),$F70,FECHA.VALOR($F70)),IF(UPPER(TRIM($B70))="AUXILIAR DE COCINA",7,10),1,FESTIVOS!$D$3:$D$996))</f>
        <v>46122</v>
      </c>
      <c r="L70" s="343">
        <f t="shared" si="2"/>
        <v>46113</v>
      </c>
      <c r="M70" s="348" t="str">
        <f t="shared" si="3"/>
        <v>A TIEMPO</v>
      </c>
      <c r="N70" s="11"/>
      <c r="O70" s="13"/>
    </row>
    <row r="71" spans="1:15" ht="15.75" customHeight="1">
      <c r="A71" s="265" t="s">
        <v>723</v>
      </c>
      <c r="B71" s="252" t="s">
        <v>616</v>
      </c>
      <c r="C71" s="252" t="s">
        <v>617</v>
      </c>
      <c r="D71" s="340">
        <v>46119</v>
      </c>
      <c r="E71" s="252" t="s">
        <v>618</v>
      </c>
      <c r="F71" s="243">
        <v>46111</v>
      </c>
      <c r="G71" s="252" t="s">
        <v>624</v>
      </c>
      <c r="H71" s="265" t="s">
        <v>703</v>
      </c>
      <c r="I71" s="252"/>
      <c r="J71" s="252"/>
      <c r="K71" s="342" cm="1">
        <f t="array" ref="K71">IF(OR($B71="",$F71=""),"",WORKDAY.INTL(IF(ISNUMBER($F71),$F71,FECHA.VALOR($F71)),IF(UPPER(TRIM($B71))="AUXILIAR DE COCINA",7,10),1,FESTIVOS!$D$3:$D$996))</f>
        <v>46122</v>
      </c>
      <c r="L71" s="343">
        <f t="shared" si="2"/>
        <v>46113</v>
      </c>
      <c r="M71" s="348" t="str">
        <f t="shared" si="3"/>
        <v>A TIEMPO</v>
      </c>
      <c r="N71" s="11"/>
      <c r="O71" s="13"/>
    </row>
    <row r="72" spans="1:15" ht="15.75" customHeight="1">
      <c r="A72" s="265" t="s">
        <v>724</v>
      </c>
      <c r="B72" s="252" t="s">
        <v>616</v>
      </c>
      <c r="C72" s="252" t="s">
        <v>617</v>
      </c>
      <c r="D72" s="340">
        <v>46119</v>
      </c>
      <c r="E72" s="252" t="s">
        <v>618</v>
      </c>
      <c r="F72" s="243">
        <v>46111</v>
      </c>
      <c r="G72" s="252" t="s">
        <v>705</v>
      </c>
      <c r="H72" s="265" t="s">
        <v>708</v>
      </c>
      <c r="I72" s="252"/>
      <c r="J72" s="252"/>
      <c r="K72" s="342" cm="1">
        <f t="array" ref="K72">IF(OR($B72="",$F72=""),"",WORKDAY.INTL(IF(ISNUMBER($F72),$F72,FECHA.VALOR($F72)),IF(UPPER(TRIM($B72))="AUXILIAR DE COCINA",7,10),1,FESTIVOS!$D$3:$D$996))</f>
        <v>46122</v>
      </c>
      <c r="L72" s="343">
        <f t="shared" si="2"/>
        <v>46113</v>
      </c>
      <c r="M72" s="348" t="str">
        <f t="shared" si="3"/>
        <v>A TIEMPO</v>
      </c>
      <c r="N72" s="11"/>
      <c r="O72" s="13"/>
    </row>
    <row r="73" spans="1:15" ht="15.75" customHeight="1">
      <c r="A73" s="265" t="s">
        <v>725</v>
      </c>
      <c r="B73" s="252" t="s">
        <v>616</v>
      </c>
      <c r="C73" s="252" t="s">
        <v>617</v>
      </c>
      <c r="D73" s="340">
        <v>46119</v>
      </c>
      <c r="E73" s="252" t="s">
        <v>618</v>
      </c>
      <c r="F73" s="243">
        <v>46111</v>
      </c>
      <c r="G73" s="252" t="s">
        <v>68</v>
      </c>
      <c r="H73" s="265" t="s">
        <v>647</v>
      </c>
      <c r="I73" s="252"/>
      <c r="J73" s="252"/>
      <c r="K73" s="342" cm="1">
        <f t="array" ref="K73">IF(OR($B73="",$F73=""),"",WORKDAY.INTL(IF(ISNUMBER($F73),$F73,FECHA.VALOR($F73)),IF(UPPER(TRIM($B73))="AUXILIAR DE COCINA",7,10),1,FESTIVOS!$D$3:$D$996))</f>
        <v>46122</v>
      </c>
      <c r="L73" s="343">
        <f t="shared" si="2"/>
        <v>46113</v>
      </c>
      <c r="M73" s="348" t="str">
        <f t="shared" si="3"/>
        <v>A TIEMPO</v>
      </c>
      <c r="N73" s="11"/>
      <c r="O73" s="13"/>
    </row>
    <row r="74" spans="1:15" ht="15.75" customHeight="1">
      <c r="A74" s="265" t="s">
        <v>726</v>
      </c>
      <c r="B74" s="252" t="s">
        <v>616</v>
      </c>
      <c r="C74" s="252" t="s">
        <v>617</v>
      </c>
      <c r="D74" s="340">
        <v>46119</v>
      </c>
      <c r="E74" s="252" t="s">
        <v>618</v>
      </c>
      <c r="F74" s="243">
        <v>46111</v>
      </c>
      <c r="G74" s="252" t="s">
        <v>68</v>
      </c>
      <c r="H74" s="265" t="s">
        <v>699</v>
      </c>
      <c r="I74" s="252"/>
      <c r="J74" s="252"/>
      <c r="K74" s="342" cm="1">
        <f t="array" ref="K74">IF(OR($B74="",$F74=""),"",WORKDAY.INTL(IF(ISNUMBER($F74),$F74,FECHA.VALOR($F74)),IF(UPPER(TRIM($B74))="AUXILIAR DE COCINA",7,10),1,FESTIVOS!$D$3:$D$996))</f>
        <v>46122</v>
      </c>
      <c r="L74" s="343">
        <f t="shared" si="2"/>
        <v>46113</v>
      </c>
      <c r="M74" s="348" t="str">
        <f t="shared" si="3"/>
        <v>A TIEMPO</v>
      </c>
      <c r="N74" s="11"/>
      <c r="O74" s="13"/>
    </row>
    <row r="75" spans="1:15" ht="15.75" customHeight="1">
      <c r="A75" s="265" t="s">
        <v>727</v>
      </c>
      <c r="B75" s="252" t="s">
        <v>616</v>
      </c>
      <c r="C75" s="252" t="s">
        <v>617</v>
      </c>
      <c r="D75" s="340">
        <v>46119</v>
      </c>
      <c r="E75" s="252" t="s">
        <v>618</v>
      </c>
      <c r="F75" s="243">
        <v>46112</v>
      </c>
      <c r="G75" s="252" t="s">
        <v>68</v>
      </c>
      <c r="H75" s="265" t="s">
        <v>728</v>
      </c>
      <c r="I75" s="252"/>
      <c r="J75" s="252"/>
      <c r="K75" s="342" cm="1">
        <f t="array" ref="K75">IF(OR($B75="",$F75=""),"",WORKDAY.INTL(IF(ISNUMBER($F75),$F75,FECHA.VALOR($F75)),IF(UPPER(TRIM($B75))="AUXILIAR DE COCINA",7,10),1,FESTIVOS!$D$3:$D$996))</f>
        <v>46125</v>
      </c>
      <c r="L75" s="343">
        <f t="shared" si="2"/>
        <v>46113</v>
      </c>
      <c r="M75" s="348" t="str">
        <f t="shared" si="3"/>
        <v>A TIEMPO</v>
      </c>
      <c r="N75" s="11"/>
      <c r="O75" s="13"/>
    </row>
    <row r="76" spans="1:15" ht="15.75" customHeight="1">
      <c r="A76" s="265" t="s">
        <v>729</v>
      </c>
      <c r="B76" s="252" t="s">
        <v>616</v>
      </c>
      <c r="C76" s="252" t="s">
        <v>617</v>
      </c>
      <c r="D76" s="340">
        <v>46119</v>
      </c>
      <c r="E76" s="252" t="s">
        <v>618</v>
      </c>
      <c r="F76" s="243">
        <v>46112</v>
      </c>
      <c r="G76" s="252" t="s">
        <v>68</v>
      </c>
      <c r="H76" s="265" t="s">
        <v>720</v>
      </c>
      <c r="I76" s="252"/>
      <c r="J76" s="252"/>
      <c r="K76" s="342" cm="1">
        <f t="array" ref="K76">IF(OR($B76="",$F76=""),"",WORKDAY.INTL(IF(ISNUMBER($F76),$F76,FECHA.VALOR($F76)),IF(UPPER(TRIM($B76))="AUXILIAR DE COCINA",7,10),1,FESTIVOS!$D$3:$D$996))</f>
        <v>46125</v>
      </c>
      <c r="L76" s="343">
        <f t="shared" si="2"/>
        <v>46113</v>
      </c>
      <c r="M76" s="348" t="str">
        <f t="shared" si="3"/>
        <v>A TIEMPO</v>
      </c>
      <c r="N76" s="11"/>
      <c r="O76" s="13"/>
    </row>
    <row r="77" spans="1:15" ht="15.75" customHeight="1">
      <c r="A77" s="265" t="s">
        <v>730</v>
      </c>
      <c r="B77" s="252" t="s">
        <v>616</v>
      </c>
      <c r="C77" s="252" t="s">
        <v>617</v>
      </c>
      <c r="D77" s="340">
        <v>46119</v>
      </c>
      <c r="E77" s="252" t="s">
        <v>621</v>
      </c>
      <c r="F77" s="243">
        <v>46118</v>
      </c>
      <c r="G77" s="252" t="s">
        <v>705</v>
      </c>
      <c r="H77" s="265" t="s">
        <v>731</v>
      </c>
      <c r="I77" s="252"/>
      <c r="J77" s="252"/>
      <c r="K77" s="342" cm="1">
        <f t="array" ref="K77">IF(OR($B77="",$F77=""),"",WORKDAY.INTL(IF(ISNUMBER($F77),$F77,FECHA.VALOR($F77)),IF(UPPER(TRIM($B77))="AUXILIAR DE COCINA",7,10),1,FESTIVOS!$D$3:$D$996))</f>
        <v>46127</v>
      </c>
      <c r="L77" s="343">
        <f t="shared" si="2"/>
        <v>46113</v>
      </c>
      <c r="M77" s="348" t="str">
        <f t="shared" si="3"/>
        <v>A TIEMPO</v>
      </c>
      <c r="N77" s="11"/>
      <c r="O77" s="13"/>
    </row>
    <row r="78" spans="1:15" ht="15.75" customHeight="1">
      <c r="A78" s="265" t="s">
        <v>732</v>
      </c>
      <c r="B78" s="252" t="s">
        <v>616</v>
      </c>
      <c r="C78" s="252" t="s">
        <v>617</v>
      </c>
      <c r="D78" s="340">
        <v>46125</v>
      </c>
      <c r="E78" s="252" t="s">
        <v>618</v>
      </c>
      <c r="F78" s="243">
        <v>46119</v>
      </c>
      <c r="G78" s="252" t="s">
        <v>68</v>
      </c>
      <c r="H78" s="265" t="s">
        <v>716</v>
      </c>
      <c r="I78" s="252"/>
      <c r="J78" s="252"/>
      <c r="K78" s="342" cm="1">
        <f t="array" ref="K78">IF(OR($B78="",$F78=""),"",WORKDAY.INTL(IF(ISNUMBER($F78),$F78,FECHA.VALOR($F78)),IF(UPPER(TRIM($B78))="AUXILIAR DE COCINA",7,10),1,FESTIVOS!$D$3:$D$996))</f>
        <v>46128</v>
      </c>
      <c r="L78" s="343">
        <f t="shared" si="2"/>
        <v>46113</v>
      </c>
      <c r="M78" s="348" t="str">
        <f t="shared" si="3"/>
        <v>A TIEMPO</v>
      </c>
      <c r="N78" s="11"/>
      <c r="O78" s="13"/>
    </row>
    <row r="79" spans="1:15" ht="15.75" customHeight="1">
      <c r="A79" s="265" t="s">
        <v>733</v>
      </c>
      <c r="B79" s="252" t="s">
        <v>53</v>
      </c>
      <c r="C79" s="252" t="s">
        <v>617</v>
      </c>
      <c r="D79" s="340">
        <v>46125</v>
      </c>
      <c r="E79" s="252" t="s">
        <v>618</v>
      </c>
      <c r="F79" s="243">
        <v>46120</v>
      </c>
      <c r="G79" s="252" t="s">
        <v>68</v>
      </c>
      <c r="H79" s="265" t="s">
        <v>734</v>
      </c>
      <c r="I79" s="252"/>
      <c r="J79" s="252"/>
      <c r="K79" s="342" cm="1">
        <f t="array" ref="K79">IF(OR($B79="",$F79=""),"",WORKDAY.INTL(IF(ISNUMBER($F79),$F79,FECHA.VALOR($F79)),IF(UPPER(TRIM($B79))="AUXILIAR DE COCINA",7,10),1,FESTIVOS!$D$3:$D$996))</f>
        <v>46129</v>
      </c>
      <c r="L79" s="343">
        <f t="shared" si="2"/>
        <v>46113</v>
      </c>
      <c r="M79" s="348" t="str">
        <f t="shared" si="3"/>
        <v>A TIEMPO</v>
      </c>
      <c r="N79" s="11"/>
      <c r="O79" s="13"/>
    </row>
    <row r="80" spans="1:15" ht="15.75" customHeight="1">
      <c r="A80" s="265" t="s">
        <v>735</v>
      </c>
      <c r="B80" s="252" t="s">
        <v>53</v>
      </c>
      <c r="C80" s="252" t="s">
        <v>617</v>
      </c>
      <c r="D80" s="340">
        <v>46125</v>
      </c>
      <c r="E80" s="252" t="s">
        <v>618</v>
      </c>
      <c r="F80" s="243">
        <v>46120</v>
      </c>
      <c r="G80" s="252" t="s">
        <v>68</v>
      </c>
      <c r="H80" s="265" t="s">
        <v>723</v>
      </c>
      <c r="I80" s="252"/>
      <c r="J80" s="252"/>
      <c r="K80" s="342" cm="1">
        <f t="array" ref="K80">IF(OR($B80="",$F80=""),"",WORKDAY.INTL(IF(ISNUMBER($F80),$F80,FECHA.VALOR($F80)),IF(UPPER(TRIM($B80))="AUXILIAR DE COCINA",7,10),1,FESTIVOS!$D$3:$D$996))</f>
        <v>46129</v>
      </c>
      <c r="L80" s="343">
        <f t="shared" si="2"/>
        <v>46113</v>
      </c>
      <c r="M80" s="348" t="str">
        <f t="shared" si="3"/>
        <v>A TIEMPO</v>
      </c>
      <c r="N80" s="11"/>
      <c r="O80" s="13"/>
    </row>
    <row r="81" spans="1:15" ht="15.75" customHeight="1">
      <c r="A81" s="265" t="s">
        <v>736</v>
      </c>
      <c r="B81" s="252" t="s">
        <v>53</v>
      </c>
      <c r="C81" s="252" t="s">
        <v>617</v>
      </c>
      <c r="D81" s="340">
        <v>46125</v>
      </c>
      <c r="E81" s="252" t="s">
        <v>618</v>
      </c>
      <c r="F81" s="243">
        <v>46120</v>
      </c>
      <c r="G81" s="252" t="s">
        <v>68</v>
      </c>
      <c r="H81" s="265" t="s">
        <v>725</v>
      </c>
      <c r="I81" s="252"/>
      <c r="J81" s="252"/>
      <c r="K81" s="342" cm="1">
        <f t="array" ref="K81">IF(OR($B81="",$F81=""),"",WORKDAY.INTL(IF(ISNUMBER($F81),$F81,FECHA.VALOR($F81)),IF(UPPER(TRIM($B81))="AUXILIAR DE COCINA",7,10),1,FESTIVOS!$D$3:$D$996))</f>
        <v>46129</v>
      </c>
      <c r="L81" s="343">
        <f t="shared" si="2"/>
        <v>46113</v>
      </c>
      <c r="M81" s="348" t="str">
        <f t="shared" si="3"/>
        <v>A TIEMPO</v>
      </c>
      <c r="N81" s="11"/>
      <c r="O81" s="13"/>
    </row>
    <row r="82" spans="1:15" ht="15.75" customHeight="1">
      <c r="A82" s="265" t="s">
        <v>737</v>
      </c>
      <c r="B82" s="252" t="s">
        <v>53</v>
      </c>
      <c r="C82" s="252" t="s">
        <v>617</v>
      </c>
      <c r="D82" s="340">
        <v>46125</v>
      </c>
      <c r="E82" s="252" t="s">
        <v>618</v>
      </c>
      <c r="F82" s="243">
        <v>46120</v>
      </c>
      <c r="G82" s="252" t="s">
        <v>624</v>
      </c>
      <c r="H82" s="265" t="s">
        <v>695</v>
      </c>
      <c r="I82" s="252"/>
      <c r="J82" s="252"/>
      <c r="K82" s="342" cm="1">
        <f t="array" ref="K82">IF(OR($B82="",$F82=""),"",WORKDAY.INTL(IF(ISNUMBER($F82),$F82,FECHA.VALOR($F82)),IF(UPPER(TRIM($B82))="AUXILIAR DE COCINA",7,10),1,FESTIVOS!$D$3:$D$996))</f>
        <v>46129</v>
      </c>
      <c r="L82" s="343">
        <f t="shared" si="2"/>
        <v>46113</v>
      </c>
      <c r="M82" s="348" t="str">
        <f t="shared" si="3"/>
        <v>A TIEMPO</v>
      </c>
      <c r="N82" s="11"/>
      <c r="O82" s="13"/>
    </row>
    <row r="83" spans="1:15" ht="15.75" customHeight="1">
      <c r="A83" s="265" t="s">
        <v>738</v>
      </c>
      <c r="B83" s="252" t="s">
        <v>610</v>
      </c>
      <c r="C83" s="252" t="s">
        <v>617</v>
      </c>
      <c r="D83" s="340">
        <v>46125</v>
      </c>
      <c r="E83" s="252" t="s">
        <v>621</v>
      </c>
      <c r="F83" s="243">
        <v>46121</v>
      </c>
      <c r="G83" s="252" t="s">
        <v>739</v>
      </c>
      <c r="H83" s="265" t="s">
        <v>740</v>
      </c>
      <c r="I83" s="252"/>
      <c r="J83" s="252"/>
      <c r="K83" s="342" cm="1">
        <f t="array" ref="K83">IF(OR($B83="",$F83=""),"",WORKDAY.INTL(IF(ISNUMBER($F83),$F83,FECHA.VALOR($F83)),IF(UPPER(TRIM($B83))="AUXILIAR DE COCINA",7,10),1,FESTIVOS!$D$3:$D$996))</f>
        <v>46135</v>
      </c>
      <c r="L83" s="343">
        <f t="shared" si="2"/>
        <v>46113</v>
      </c>
      <c r="M83" s="348" t="str">
        <f t="shared" si="3"/>
        <v>A TIEMPO</v>
      </c>
      <c r="N83" s="11"/>
      <c r="O83" s="13"/>
    </row>
    <row r="84" spans="1:15" ht="15.75" customHeight="1">
      <c r="A84" s="265" t="s">
        <v>741</v>
      </c>
      <c r="B84" s="252" t="s">
        <v>53</v>
      </c>
      <c r="C84" s="252" t="s">
        <v>617</v>
      </c>
      <c r="D84" s="340">
        <v>46125</v>
      </c>
      <c r="E84" s="252" t="s">
        <v>618</v>
      </c>
      <c r="F84" s="243">
        <v>46126</v>
      </c>
      <c r="G84" s="252" t="s">
        <v>68</v>
      </c>
      <c r="H84" s="265" t="s">
        <v>724</v>
      </c>
      <c r="I84" s="252"/>
      <c r="J84" s="252"/>
      <c r="K84" s="342" cm="1">
        <f t="array" ref="K84">IF(OR($B84="",$F84=""),"",WORKDAY.INTL(IF(ISNUMBER($F84),$F84,FECHA.VALOR($F84)),IF(UPPER(TRIM($B84))="AUXILIAR DE COCINA",7,10),1,FESTIVOS!$D$3:$D$996))</f>
        <v>46135</v>
      </c>
      <c r="L84" s="343">
        <f t="shared" si="2"/>
        <v>46113</v>
      </c>
      <c r="M84" s="348" t="str">
        <f t="shared" si="3"/>
        <v>PENDIENTE</v>
      </c>
      <c r="N84" s="11"/>
      <c r="O84" s="13"/>
    </row>
    <row r="85" spans="1:15" ht="15.75" customHeight="1">
      <c r="A85" s="265" t="s">
        <v>742</v>
      </c>
      <c r="B85" s="252" t="s">
        <v>53</v>
      </c>
      <c r="C85" s="252" t="s">
        <v>617</v>
      </c>
      <c r="D85" s="340">
        <v>46125</v>
      </c>
      <c r="E85" s="252" t="s">
        <v>618</v>
      </c>
      <c r="F85" s="243">
        <v>46126</v>
      </c>
      <c r="G85" s="252" t="s">
        <v>624</v>
      </c>
      <c r="H85" s="265" t="s">
        <v>743</v>
      </c>
      <c r="I85" s="252"/>
      <c r="J85" s="252"/>
      <c r="K85" s="342" cm="1">
        <f t="array" ref="K85">IF(OR($B85="",$F85=""),"",WORKDAY.INTL(IF(ISNUMBER($F85),$F85,FECHA.VALOR($F85)),IF(UPPER(TRIM($B85))="AUXILIAR DE COCINA",7,10),1,FESTIVOS!$D$3:$D$996))</f>
        <v>46135</v>
      </c>
      <c r="L85" s="343">
        <f t="shared" si="2"/>
        <v>46113</v>
      </c>
      <c r="M85" s="348" t="str">
        <f t="shared" si="3"/>
        <v>PENDIENTE</v>
      </c>
      <c r="N85" s="11"/>
      <c r="O85" s="13"/>
    </row>
    <row r="86" spans="1:15" ht="15.75" customHeight="1">
      <c r="A86" s="265" t="s">
        <v>744</v>
      </c>
      <c r="B86" s="252" t="s">
        <v>53</v>
      </c>
      <c r="C86" s="252" t="s">
        <v>617</v>
      </c>
      <c r="D86" s="340">
        <v>46125</v>
      </c>
      <c r="E86" s="252" t="s">
        <v>618</v>
      </c>
      <c r="F86" s="243">
        <v>46126</v>
      </c>
      <c r="G86" s="252" t="s">
        <v>68</v>
      </c>
      <c r="H86" s="265" t="s">
        <v>745</v>
      </c>
      <c r="I86" s="252"/>
      <c r="J86" s="252"/>
      <c r="K86" s="342" cm="1">
        <f t="array" ref="K86">IF(OR($B86="",$F86=""),"",WORKDAY.INTL(IF(ISNUMBER($F86),$F86,FECHA.VALOR($F86)),IF(UPPER(TRIM($B86))="AUXILIAR DE COCINA",7,10),1,FESTIVOS!$D$3:$D$996))</f>
        <v>46135</v>
      </c>
      <c r="L86" s="343">
        <f t="shared" si="2"/>
        <v>46113</v>
      </c>
      <c r="M86" s="348" t="str">
        <f t="shared" si="3"/>
        <v>PENDIENTE</v>
      </c>
      <c r="N86" s="11"/>
      <c r="O86" s="13"/>
    </row>
    <row r="87" spans="1:15" ht="15.75" customHeight="1">
      <c r="A87" s="265" t="s">
        <v>746</v>
      </c>
      <c r="B87" s="252" t="s">
        <v>53</v>
      </c>
      <c r="C87" s="252" t="s">
        <v>617</v>
      </c>
      <c r="D87" s="340">
        <v>46125</v>
      </c>
      <c r="E87" s="252" t="s">
        <v>747</v>
      </c>
      <c r="F87" s="243">
        <v>46125</v>
      </c>
      <c r="G87" s="252" t="s">
        <v>748</v>
      </c>
      <c r="H87" s="265" t="s">
        <v>735</v>
      </c>
      <c r="I87" s="345"/>
      <c r="J87" s="345"/>
      <c r="K87" s="342" cm="1">
        <f t="array" ref="K87">IF(OR($B87="",$F87=""),"",WORKDAY.INTL(IF(ISNUMBER($F87),$F87,FECHA.VALOR($F87)),IF(UPPER(TRIM($B87))="AUXILIAR DE COCINA",7,10),1,FESTIVOS!$D$3:$D$996))</f>
        <v>46134</v>
      </c>
      <c r="L87" s="343">
        <f t="shared" si="2"/>
        <v>46113</v>
      </c>
      <c r="M87" s="348" t="str">
        <f t="shared" si="3"/>
        <v>A TIEMPO</v>
      </c>
      <c r="N87" s="11"/>
      <c r="O87" s="13"/>
    </row>
    <row r="88" spans="1:15" ht="15.75" customHeight="1">
      <c r="A88" s="265" t="s">
        <v>749</v>
      </c>
      <c r="B88" s="252" t="s">
        <v>53</v>
      </c>
      <c r="C88" s="252" t="s">
        <v>617</v>
      </c>
      <c r="D88" s="340">
        <v>46128</v>
      </c>
      <c r="E88" s="252" t="s">
        <v>747</v>
      </c>
      <c r="F88" s="243">
        <v>46125</v>
      </c>
      <c r="G88" s="252" t="s">
        <v>748</v>
      </c>
      <c r="H88" s="265" t="s">
        <v>750</v>
      </c>
      <c r="I88" s="345"/>
      <c r="J88" s="345"/>
      <c r="K88" s="342" cm="1">
        <f t="array" ref="K88">IF(OR($B88="",$F88=""),"",WORKDAY.INTL(IF(ISNUMBER($F88),$F88,FECHA.VALOR($F88)),IF(UPPER(TRIM($B88))="AUXILIAR DE COCINA",7,10),1,FESTIVOS!$D$3:$D$996))</f>
        <v>46134</v>
      </c>
      <c r="L88" s="343">
        <f t="shared" si="2"/>
        <v>46113</v>
      </c>
      <c r="M88" s="348" t="str">
        <f t="shared" si="3"/>
        <v>A TIEMPO</v>
      </c>
      <c r="N88" s="11"/>
      <c r="O88" s="13"/>
    </row>
    <row r="89" spans="1:15" ht="15.75" customHeight="1">
      <c r="A89" s="265" t="s">
        <v>751</v>
      </c>
      <c r="B89" s="252" t="s">
        <v>53</v>
      </c>
      <c r="C89" s="252" t="s">
        <v>617</v>
      </c>
      <c r="D89" s="340">
        <v>46128</v>
      </c>
      <c r="E89" s="252" t="s">
        <v>747</v>
      </c>
      <c r="F89" s="243">
        <v>46125</v>
      </c>
      <c r="G89" s="252" t="s">
        <v>748</v>
      </c>
      <c r="H89" s="265" t="s">
        <v>750</v>
      </c>
      <c r="I89" s="346"/>
      <c r="J89" s="346"/>
      <c r="K89" s="342" cm="1">
        <f t="array" ref="K89">IF(OR($B89="",$F89=""),"",WORKDAY.INTL(IF(ISNUMBER($F89),$F89,FECHA.VALOR($F89)),IF(UPPER(TRIM($B89))="AUXILIAR DE COCINA",7,10),1,FESTIVOS!$D$3:$D$996))</f>
        <v>46134</v>
      </c>
      <c r="L89" s="343">
        <f t="shared" si="2"/>
        <v>46113</v>
      </c>
      <c r="M89" s="348" t="str">
        <f t="shared" si="3"/>
        <v>A TIEMPO</v>
      </c>
      <c r="N89" s="11"/>
      <c r="O89" s="13"/>
    </row>
    <row r="90" spans="1:15" ht="15.75" customHeight="1">
      <c r="A90" s="265" t="s">
        <v>752</v>
      </c>
      <c r="B90" s="252" t="s">
        <v>53</v>
      </c>
      <c r="C90" s="252" t="s">
        <v>617</v>
      </c>
      <c r="D90" s="340">
        <v>46128</v>
      </c>
      <c r="E90" s="252" t="s">
        <v>747</v>
      </c>
      <c r="F90" s="243">
        <v>46125</v>
      </c>
      <c r="G90" s="252" t="s">
        <v>748</v>
      </c>
      <c r="H90" s="265" t="s">
        <v>750</v>
      </c>
      <c r="I90" s="346"/>
      <c r="J90" s="346"/>
      <c r="K90" s="342" cm="1">
        <f t="array" ref="K90">IF(OR($B90="",$F90=""),"",WORKDAY.INTL(IF(ISNUMBER($F90),$F90,FECHA.VALOR($F90)),IF(UPPER(TRIM($B90))="AUXILIAR DE COCINA",7,10),1,FESTIVOS!$D$3:$D$996))</f>
        <v>46134</v>
      </c>
      <c r="L90" s="343">
        <f t="shared" si="2"/>
        <v>46113</v>
      </c>
      <c r="M90" s="348" t="str">
        <f t="shared" si="3"/>
        <v>A TIEMPO</v>
      </c>
      <c r="N90" s="11"/>
      <c r="O90" s="13"/>
    </row>
    <row r="91" spans="1:15" ht="15.75" customHeight="1">
      <c r="A91" s="265" t="s">
        <v>753</v>
      </c>
      <c r="B91" s="252" t="s">
        <v>53</v>
      </c>
      <c r="C91" s="252" t="s">
        <v>617</v>
      </c>
      <c r="D91" s="340">
        <v>46132</v>
      </c>
      <c r="E91" s="252" t="s">
        <v>747</v>
      </c>
      <c r="F91" s="243">
        <v>46125</v>
      </c>
      <c r="G91" s="252" t="s">
        <v>748</v>
      </c>
      <c r="H91" s="265" t="s">
        <v>750</v>
      </c>
      <c r="I91" s="346"/>
      <c r="J91" s="346"/>
      <c r="K91" s="342" cm="1">
        <f t="array" ref="K91">IF(OR($B91="",$F91=""),"",WORKDAY.INTL(IF(ISNUMBER($F91),$F91,FECHA.VALOR($F91)),IF(UPPER(TRIM($B91))="AUXILIAR DE COCINA",7,10),1,FESTIVOS!$D$3:$D$996))</f>
        <v>46134</v>
      </c>
      <c r="L91" s="343">
        <f t="shared" si="2"/>
        <v>46113</v>
      </c>
      <c r="M91" s="348" t="str">
        <f t="shared" si="3"/>
        <v>A TIEMPO</v>
      </c>
      <c r="N91" s="11"/>
      <c r="O91" s="13"/>
    </row>
    <row r="92" spans="1:15" ht="15.75" customHeight="1">
      <c r="A92" s="265" t="s">
        <v>754</v>
      </c>
      <c r="B92" s="252" t="s">
        <v>53</v>
      </c>
      <c r="C92" s="252" t="s">
        <v>617</v>
      </c>
      <c r="D92" s="340">
        <v>46132</v>
      </c>
      <c r="E92" s="252" t="s">
        <v>747</v>
      </c>
      <c r="F92" s="243">
        <v>46125</v>
      </c>
      <c r="G92" s="252" t="s">
        <v>748</v>
      </c>
      <c r="H92" s="265" t="s">
        <v>750</v>
      </c>
      <c r="I92" s="346"/>
      <c r="J92" s="346"/>
      <c r="K92" s="342" cm="1">
        <f t="array" ref="K92">IF(OR($B92="",$F92=""),"",WORKDAY.INTL(IF(ISNUMBER($F92),$F92,FECHA.VALOR($F92)),IF(UPPER(TRIM($B92))="AUXILIAR DE COCINA",7,10),1,FESTIVOS!$D$3:$D$996))</f>
        <v>46134</v>
      </c>
      <c r="L92" s="343">
        <f t="shared" si="2"/>
        <v>46113</v>
      </c>
      <c r="M92" s="348" t="str">
        <f t="shared" si="3"/>
        <v>A TIEMPO</v>
      </c>
      <c r="N92" s="11"/>
      <c r="O92" s="13"/>
    </row>
    <row r="93" spans="1:15" ht="15.75" customHeight="1">
      <c r="A93" s="265" t="s">
        <v>755</v>
      </c>
      <c r="B93" s="252" t="s">
        <v>53</v>
      </c>
      <c r="C93" s="252" t="s">
        <v>617</v>
      </c>
      <c r="D93" s="340">
        <v>46132</v>
      </c>
      <c r="E93" s="252" t="s">
        <v>747</v>
      </c>
      <c r="F93" s="243">
        <v>46125</v>
      </c>
      <c r="G93" s="252" t="s">
        <v>748</v>
      </c>
      <c r="H93" s="265" t="s">
        <v>750</v>
      </c>
      <c r="I93" s="346"/>
      <c r="J93" s="346"/>
      <c r="K93" s="342" cm="1">
        <f t="array" ref="K93">IF(OR($B93="",$F93=""),"",WORKDAY.INTL(IF(ISNUMBER($F93),$F93,FECHA.VALOR($F93)),IF(UPPER(TRIM($B93))="AUXILIAR DE COCINA",7,10),1,FESTIVOS!$D$3:$D$996))</f>
        <v>46134</v>
      </c>
      <c r="L93" s="343">
        <f t="shared" si="2"/>
        <v>46113</v>
      </c>
      <c r="M93" s="348" t="str">
        <f t="shared" si="3"/>
        <v>A TIEMPO</v>
      </c>
      <c r="N93" s="11"/>
      <c r="O93" s="13"/>
    </row>
    <row r="94" spans="1:15" ht="15.75" customHeight="1">
      <c r="A94" s="265" t="s">
        <v>756</v>
      </c>
      <c r="B94" s="252" t="s">
        <v>38</v>
      </c>
      <c r="C94" s="252" t="s">
        <v>617</v>
      </c>
      <c r="D94" s="340">
        <v>46128</v>
      </c>
      <c r="E94" s="252" t="s">
        <v>747</v>
      </c>
      <c r="F94" s="243">
        <v>46125</v>
      </c>
      <c r="G94" s="252" t="s">
        <v>748</v>
      </c>
      <c r="H94" s="265" t="s">
        <v>750</v>
      </c>
      <c r="I94" s="346"/>
      <c r="J94" s="346"/>
      <c r="K94" s="342" cm="1">
        <f t="array" ref="K94">IF(OR($B94="",$F94=""),"",WORKDAY.INTL(IF(ISNUMBER($F94),$F94,FECHA.VALOR($F94)),IF(UPPER(TRIM($B94))="AUXILIAR DE COCINA",7,10),1,FESTIVOS!$D$3:$D$996))</f>
        <v>46139</v>
      </c>
      <c r="L94" s="343">
        <f t="shared" si="2"/>
        <v>46113</v>
      </c>
      <c r="M94" s="348" t="str">
        <f t="shared" si="3"/>
        <v>A TIEMPO</v>
      </c>
      <c r="N94" s="11"/>
      <c r="O94" s="13"/>
    </row>
    <row r="95" spans="1:15" ht="15.75" customHeight="1">
      <c r="A95" s="265" t="s">
        <v>757</v>
      </c>
      <c r="B95" s="252" t="s">
        <v>38</v>
      </c>
      <c r="C95" s="252" t="s">
        <v>617</v>
      </c>
      <c r="D95" s="340">
        <v>46135</v>
      </c>
      <c r="E95" s="252" t="s">
        <v>747</v>
      </c>
      <c r="F95" s="243">
        <v>46125</v>
      </c>
      <c r="G95" s="252" t="s">
        <v>748</v>
      </c>
      <c r="H95" s="265" t="s">
        <v>750</v>
      </c>
      <c r="I95" s="346"/>
      <c r="J95" s="346"/>
      <c r="K95" s="342" cm="1">
        <f t="array" ref="K95">IF(OR($B95="",$F95=""),"",WORKDAY.INTL(IF(ISNUMBER($F95),$F95,FECHA.VALOR($F95)),IF(UPPER(TRIM($B95))="AUXILIAR DE COCINA",7,10),1,FESTIVOS!$D$3:$D$996))</f>
        <v>46139</v>
      </c>
      <c r="L95" s="343">
        <f t="shared" si="2"/>
        <v>46113</v>
      </c>
      <c r="M95" s="348" t="str">
        <f t="shared" si="3"/>
        <v>A TIEMPO</v>
      </c>
      <c r="N95" s="11"/>
      <c r="O95" s="13"/>
    </row>
    <row r="96" spans="1:15" ht="15.75" customHeight="1">
      <c r="A96" s="265" t="s">
        <v>758</v>
      </c>
      <c r="B96" s="252" t="s">
        <v>53</v>
      </c>
      <c r="C96" s="252" t="s">
        <v>617</v>
      </c>
      <c r="D96" s="340">
        <v>46135</v>
      </c>
      <c r="E96" s="252" t="s">
        <v>618</v>
      </c>
      <c r="F96" s="243">
        <v>46133</v>
      </c>
      <c r="G96" s="252" t="s">
        <v>68</v>
      </c>
      <c r="H96" s="265" t="s">
        <v>749</v>
      </c>
      <c r="I96" s="346"/>
      <c r="J96" s="346"/>
      <c r="K96" s="342" cm="1">
        <f t="array" ref="K96">IF(OR($B96="",$F96=""),"",WORKDAY.INTL(IF(ISNUMBER($F96),$F96,FECHA.VALOR($F96)),IF(UPPER(TRIM($B96))="AUXILIAR DE COCINA",7,10),1,FESTIVOS!$D$3:$D$996))</f>
        <v>46142</v>
      </c>
      <c r="L96" s="343">
        <f t="shared" si="2"/>
        <v>46143</v>
      </c>
      <c r="M96" s="348" t="str">
        <f t="shared" si="3"/>
        <v>A TIEMPO</v>
      </c>
      <c r="N96" s="11"/>
      <c r="O96" s="13"/>
    </row>
    <row r="97" spans="1:15" ht="15.75" customHeight="1">
      <c r="A97" s="265" t="s">
        <v>759</v>
      </c>
      <c r="B97" s="252" t="s">
        <v>53</v>
      </c>
      <c r="C97" s="252" t="s">
        <v>617</v>
      </c>
      <c r="D97" s="340">
        <v>46135</v>
      </c>
      <c r="E97" s="252" t="s">
        <v>621</v>
      </c>
      <c r="F97" s="243">
        <v>46133</v>
      </c>
      <c r="G97" s="252" t="s">
        <v>671</v>
      </c>
      <c r="H97" s="265" t="s">
        <v>697</v>
      </c>
      <c r="I97" s="346"/>
      <c r="J97" s="346"/>
      <c r="K97" s="342" cm="1">
        <f t="array" ref="K97">IF(OR($B97="",$F97=""),"",WORKDAY.INTL(IF(ISNUMBER($F97),$F97,FECHA.VALOR($F97)),IF(UPPER(TRIM($B97))="AUXILIAR DE COCINA",7,10),1,FESTIVOS!$D$3:$D$996))</f>
        <v>46142</v>
      </c>
      <c r="L97" s="343">
        <f t="shared" si="2"/>
        <v>46143</v>
      </c>
      <c r="M97" s="348" t="str">
        <f t="shared" si="3"/>
        <v>A TIEMPO</v>
      </c>
      <c r="N97" s="11"/>
      <c r="O97" s="13"/>
    </row>
    <row r="98" spans="1:15" ht="15.75" customHeight="1">
      <c r="A98" s="265" t="s">
        <v>760</v>
      </c>
      <c r="B98" s="252" t="s">
        <v>53</v>
      </c>
      <c r="C98" s="252" t="s">
        <v>617</v>
      </c>
      <c r="D98" s="340">
        <v>46135</v>
      </c>
      <c r="E98" s="252" t="s">
        <v>618</v>
      </c>
      <c r="F98" s="243">
        <v>46133</v>
      </c>
      <c r="G98" s="252" t="s">
        <v>68</v>
      </c>
      <c r="H98" s="265" t="s">
        <v>730</v>
      </c>
      <c r="I98" s="346"/>
      <c r="J98" s="346"/>
      <c r="K98" s="342" cm="1">
        <f t="array" ref="K98">IF(OR($B98="",$F98=""),"",WORKDAY.INTL(IF(ISNUMBER($F98),$F98,FECHA.VALOR($F98)),IF(UPPER(TRIM($B98))="AUXILIAR DE COCINA",7,10),1,FESTIVOS!$D$3:$D$996))</f>
        <v>46142</v>
      </c>
      <c r="L98" s="343">
        <f t="shared" si="2"/>
        <v>46143</v>
      </c>
      <c r="M98" s="348" t="str">
        <f t="shared" si="3"/>
        <v>A TIEMPO</v>
      </c>
      <c r="N98" s="11"/>
      <c r="O98" s="13"/>
    </row>
    <row r="99" spans="1:15" ht="15.75" customHeight="1">
      <c r="A99" s="265" t="s">
        <v>761</v>
      </c>
      <c r="B99" s="252" t="s">
        <v>38</v>
      </c>
      <c r="C99" s="252" t="s">
        <v>617</v>
      </c>
      <c r="D99" s="340">
        <v>46139</v>
      </c>
      <c r="E99" s="252" t="s">
        <v>621</v>
      </c>
      <c r="F99" s="243">
        <v>46135</v>
      </c>
      <c r="G99" s="252" t="s">
        <v>762</v>
      </c>
      <c r="H99" s="265" t="s">
        <v>763</v>
      </c>
      <c r="I99" s="346"/>
      <c r="J99" s="346"/>
      <c r="K99" s="342" cm="1">
        <f t="array" ref="K99">IF(OR($B99="",$F99=""),"",WORKDAY.INTL(IF(ISNUMBER($F99),$F99,FECHA.VALOR($F99)),IF(UPPER(TRIM($B99))="AUXILIAR DE COCINA",7,10),1,FESTIVOS!$D$3:$D$996))</f>
        <v>46150</v>
      </c>
      <c r="L99" s="343">
        <f t="shared" si="2"/>
        <v>46143</v>
      </c>
      <c r="M99" s="348" t="str">
        <f t="shared" si="3"/>
        <v>A TIEMPO</v>
      </c>
      <c r="N99" s="11"/>
      <c r="O99" s="13"/>
    </row>
    <row r="100" spans="1:15" ht="15.75" customHeight="1">
      <c r="A100" s="265" t="s">
        <v>764</v>
      </c>
      <c r="B100" s="252" t="s">
        <v>38</v>
      </c>
      <c r="C100" s="252" t="s">
        <v>617</v>
      </c>
      <c r="D100" s="340">
        <v>46139</v>
      </c>
      <c r="E100" s="252" t="s">
        <v>621</v>
      </c>
      <c r="F100" s="243">
        <v>46135</v>
      </c>
      <c r="G100" s="252" t="s">
        <v>68</v>
      </c>
      <c r="H100" s="265" t="s">
        <v>704</v>
      </c>
      <c r="I100" s="346"/>
      <c r="J100" s="346"/>
      <c r="K100" s="342" cm="1">
        <f t="array" ref="K100">IF(OR($B100="",$F100=""),"",WORKDAY.INTL(IF(ISNUMBER($F100),$F100,FECHA.VALOR($F100)),IF(UPPER(TRIM($B100))="AUXILIAR DE COCINA",7,10),1,FESTIVOS!$D$3:$D$996))</f>
        <v>46150</v>
      </c>
      <c r="L100" s="343">
        <f t="shared" si="2"/>
        <v>46143</v>
      </c>
      <c r="M100" s="348" t="str">
        <f t="shared" si="3"/>
        <v>A TIEMPO</v>
      </c>
      <c r="N100" s="11"/>
      <c r="O100" s="13"/>
    </row>
    <row r="101" spans="1:15" ht="15.75" customHeight="1">
      <c r="A101" s="265" t="s">
        <v>765</v>
      </c>
      <c r="B101" s="252" t="s">
        <v>53</v>
      </c>
      <c r="C101" s="252" t="s">
        <v>617</v>
      </c>
      <c r="D101" s="340">
        <v>46139</v>
      </c>
      <c r="E101" s="252" t="s">
        <v>618</v>
      </c>
      <c r="F101" s="243">
        <v>46135</v>
      </c>
      <c r="G101" s="252" t="s">
        <v>68</v>
      </c>
      <c r="H101" s="265" t="s">
        <v>719</v>
      </c>
      <c r="I101" s="346"/>
      <c r="J101" s="346"/>
      <c r="K101" s="342" cm="1">
        <f t="array" ref="K101">IF(OR($B101="",$F101=""),"",WORKDAY.INTL(IF(ISNUMBER($F101),$F101,FECHA.VALOR($F101)),IF(UPPER(TRIM($B101))="AUXILIAR DE COCINA",7,10),1,FESTIVOS!$D$3:$D$996))</f>
        <v>46147</v>
      </c>
      <c r="L101" s="343">
        <f t="shared" si="2"/>
        <v>46143</v>
      </c>
      <c r="M101" s="348" t="str">
        <f t="shared" si="3"/>
        <v>A TIEMPO</v>
      </c>
      <c r="N101" s="11"/>
      <c r="O101" s="13"/>
    </row>
    <row r="102" spans="1:15" ht="15.75" customHeight="1">
      <c r="A102" s="265" t="s">
        <v>766</v>
      </c>
      <c r="B102" s="252" t="s">
        <v>38</v>
      </c>
      <c r="C102" s="252" t="s">
        <v>617</v>
      </c>
      <c r="D102" s="340">
        <v>46139</v>
      </c>
      <c r="E102" s="252" t="s">
        <v>621</v>
      </c>
      <c r="F102" s="243">
        <v>46147</v>
      </c>
      <c r="G102" s="252" t="s">
        <v>767</v>
      </c>
      <c r="H102" s="265" t="s">
        <v>768</v>
      </c>
      <c r="I102" s="346"/>
      <c r="J102" s="346"/>
      <c r="K102" s="342" cm="1">
        <f t="array" ref="K102">IF(OR($B102="",$F102=""),"",WORKDAY.INTL(IF(ISNUMBER($F102),$F102,FECHA.VALOR($F102)),IF(UPPER(TRIM($B102))="AUXILIAR DE COCINA",7,10),1,FESTIVOS!$D$3:$D$996))</f>
        <v>46162</v>
      </c>
      <c r="L102" s="343">
        <f t="shared" si="2"/>
        <v>46143</v>
      </c>
      <c r="M102" s="348" t="str">
        <f t="shared" si="3"/>
        <v>PENDIENTE</v>
      </c>
      <c r="N102" s="11"/>
      <c r="O102" s="13"/>
    </row>
    <row r="103" spans="1:15" ht="15.75" customHeight="1">
      <c r="A103" s="265" t="s">
        <v>769</v>
      </c>
      <c r="B103" s="252" t="s">
        <v>53</v>
      </c>
      <c r="C103" s="252" t="s">
        <v>617</v>
      </c>
      <c r="D103" s="340">
        <v>46139</v>
      </c>
      <c r="E103" s="252" t="s">
        <v>618</v>
      </c>
      <c r="F103" s="243">
        <v>46135</v>
      </c>
      <c r="G103" s="252" t="s">
        <v>68</v>
      </c>
      <c r="H103" s="265" t="s">
        <v>759</v>
      </c>
      <c r="I103" s="346"/>
      <c r="J103" s="346"/>
      <c r="K103" s="342" cm="1">
        <f t="array" ref="K103">IF(OR($B103="",$F103=""),"",WORKDAY.INTL(IF(ISNUMBER($F103),$F103,FECHA.VALOR($F103)),IF(UPPER(TRIM($B103))="AUXILIAR DE COCINA",7,10),1,FESTIVOS!$D$3:$D$996))</f>
        <v>46147</v>
      </c>
      <c r="L103" s="343">
        <f t="shared" si="2"/>
        <v>46143</v>
      </c>
      <c r="M103" s="348" t="str">
        <f t="shared" si="3"/>
        <v>A TIEMPO</v>
      </c>
      <c r="N103" s="11"/>
      <c r="O103" s="13"/>
    </row>
    <row r="104" spans="1:15" ht="15.75" customHeight="1">
      <c r="A104" s="265" t="s">
        <v>770</v>
      </c>
      <c r="B104" s="252" t="s">
        <v>53</v>
      </c>
      <c r="C104" s="252" t="s">
        <v>617</v>
      </c>
      <c r="D104" s="340">
        <v>46139</v>
      </c>
      <c r="E104" s="252" t="s">
        <v>618</v>
      </c>
      <c r="F104" s="243">
        <v>46135</v>
      </c>
      <c r="G104" s="252" t="s">
        <v>68</v>
      </c>
      <c r="H104" s="265" t="s">
        <v>771</v>
      </c>
      <c r="I104" s="346"/>
      <c r="J104" s="346"/>
      <c r="K104" s="342" cm="1">
        <f t="array" ref="K104">IF(OR($B104="",$F104=""),"",WORKDAY.INTL(IF(ISNUMBER($F104),$F104,FECHA.VALOR($F104)),IF(UPPER(TRIM($B104))="AUXILIAR DE COCINA",7,10),1,FESTIVOS!$D$3:$D$996))</f>
        <v>46147</v>
      </c>
      <c r="L104" s="343">
        <f t="shared" si="2"/>
        <v>46143</v>
      </c>
      <c r="M104" s="348" t="str">
        <f t="shared" si="3"/>
        <v>A TIEMPO</v>
      </c>
      <c r="N104" s="11"/>
      <c r="O104" s="13"/>
    </row>
    <row r="105" spans="1:15" ht="15.75" customHeight="1">
      <c r="A105" s="265" t="s">
        <v>772</v>
      </c>
      <c r="B105" s="252" t="s">
        <v>53</v>
      </c>
      <c r="C105" s="252" t="s">
        <v>617</v>
      </c>
      <c r="D105" s="340">
        <v>46139</v>
      </c>
      <c r="E105" s="252" t="s">
        <v>618</v>
      </c>
      <c r="F105" s="243">
        <v>46135</v>
      </c>
      <c r="G105" s="252" t="s">
        <v>68</v>
      </c>
      <c r="H105" s="265" t="s">
        <v>773</v>
      </c>
      <c r="I105" s="346"/>
      <c r="J105" s="346"/>
      <c r="K105" s="342" cm="1">
        <f t="array" ref="K105">IF(OR($B105="",$F105=""),"",WORKDAY.INTL(IF(ISNUMBER($F105),$F105,FECHA.VALOR($F105)),IF(UPPER(TRIM($B105))="AUXILIAR DE COCINA",7,10),1,FESTIVOS!$D$3:$D$996))</f>
        <v>46147</v>
      </c>
      <c r="L105" s="343">
        <f t="shared" si="2"/>
        <v>46143</v>
      </c>
      <c r="M105" s="348" t="str">
        <f t="shared" si="3"/>
        <v>A TIEMPO</v>
      </c>
      <c r="N105" s="11"/>
      <c r="O105" s="13"/>
    </row>
    <row r="106" spans="1:15" ht="15.75" customHeight="1">
      <c r="A106" s="265" t="s">
        <v>774</v>
      </c>
      <c r="B106" s="252" t="s">
        <v>53</v>
      </c>
      <c r="C106" s="252" t="s">
        <v>617</v>
      </c>
      <c r="D106" s="340">
        <v>46139</v>
      </c>
      <c r="E106" s="252" t="s">
        <v>618</v>
      </c>
      <c r="F106" s="243">
        <v>46135</v>
      </c>
      <c r="G106" s="252" t="s">
        <v>739</v>
      </c>
      <c r="H106" s="265" t="s">
        <v>775</v>
      </c>
      <c r="I106" s="346"/>
      <c r="J106" s="346"/>
      <c r="K106" s="342" cm="1">
        <f t="array" ref="K106">IF(OR($B106="",$F106=""),"",WORKDAY.INTL(IF(ISNUMBER($F106),$F106,FECHA.VALOR($F106)),IF(UPPER(TRIM($B106))="AUXILIAR DE COCINA",7,10),1,FESTIVOS!$D$3:$D$996))</f>
        <v>46147</v>
      </c>
      <c r="L106" s="343">
        <f t="shared" si="2"/>
        <v>46143</v>
      </c>
      <c r="M106" s="348" t="str">
        <f t="shared" si="3"/>
        <v>A TIEMPO</v>
      </c>
      <c r="N106" s="11"/>
      <c r="O106" s="13"/>
    </row>
    <row r="107" spans="1:15" ht="15.75" customHeight="1">
      <c r="A107" s="265" t="s">
        <v>765</v>
      </c>
      <c r="B107" s="252" t="s">
        <v>53</v>
      </c>
      <c r="C107" s="252" t="s">
        <v>617</v>
      </c>
      <c r="D107" s="340">
        <v>46147</v>
      </c>
      <c r="E107" s="252" t="s">
        <v>618</v>
      </c>
      <c r="F107" s="243">
        <v>46146</v>
      </c>
      <c r="G107" s="252" t="s">
        <v>68</v>
      </c>
      <c r="H107" s="265" t="s">
        <v>744</v>
      </c>
      <c r="I107" s="346"/>
      <c r="J107" s="346"/>
      <c r="K107" s="342" cm="1">
        <f t="array" ref="K107">IF(OR($B107="",$F107=""),"",WORKDAY.INTL(IF(ISNUMBER($F107),$F107,FECHA.VALOR($F107)),IF(UPPER(TRIM($B107))="AUXILIAR DE COCINA",7,10),1,FESTIVOS!$D$3:$D$996))</f>
        <v>46155</v>
      </c>
      <c r="L107" s="343">
        <f t="shared" si="2"/>
        <v>46143</v>
      </c>
      <c r="M107" s="348" t="str">
        <f t="shared" si="3"/>
        <v>A TIEMPO</v>
      </c>
      <c r="N107" s="11"/>
      <c r="O107" s="13"/>
    </row>
    <row r="108" spans="1:15" ht="15.75" customHeight="1">
      <c r="A108" s="265" t="s">
        <v>776</v>
      </c>
      <c r="B108" s="252" t="s">
        <v>53</v>
      </c>
      <c r="C108" s="252" t="s">
        <v>617</v>
      </c>
      <c r="D108" s="340">
        <v>46149</v>
      </c>
      <c r="E108" s="252" t="s">
        <v>618</v>
      </c>
      <c r="F108" s="243">
        <v>46146</v>
      </c>
      <c r="G108" s="252" t="s">
        <v>68</v>
      </c>
      <c r="H108" s="265" t="s">
        <v>733</v>
      </c>
      <c r="I108" s="346"/>
      <c r="J108" s="346"/>
      <c r="K108" s="342" cm="1">
        <f t="array" ref="K108">IF(OR($B108="",$F108=""),"",WORKDAY.INTL(IF(ISNUMBER($F108),$F108,FECHA.VALOR($F108)),IF(UPPER(TRIM($B108))="AUXILIAR DE COCINA",7,10),1,FESTIVOS!$D$3:$D$996))</f>
        <v>46155</v>
      </c>
      <c r="L108" s="343">
        <f t="shared" si="2"/>
        <v>46143</v>
      </c>
      <c r="M108" s="348" t="str">
        <f t="shared" si="3"/>
        <v>A TIEMPO</v>
      </c>
      <c r="N108" s="11"/>
      <c r="O108" s="13"/>
    </row>
    <row r="109" spans="1:15" ht="15.75" customHeight="1">
      <c r="A109" s="265" t="s">
        <v>777</v>
      </c>
      <c r="B109" s="252" t="s">
        <v>616</v>
      </c>
      <c r="C109" s="252" t="s">
        <v>617</v>
      </c>
      <c r="D109" s="340">
        <v>46163</v>
      </c>
      <c r="E109" s="252" t="s">
        <v>618</v>
      </c>
      <c r="F109" s="243">
        <v>46154</v>
      </c>
      <c r="G109" s="252" t="s">
        <v>68</v>
      </c>
      <c r="H109" s="265" t="s">
        <v>684</v>
      </c>
      <c r="I109" s="346"/>
      <c r="J109" s="346"/>
      <c r="K109" s="342" cm="1">
        <f t="array" ref="K109">IF(OR($B109="",$F109=""),"",WORKDAY.INTL(IF(ISNUMBER($F109),$F109,FECHA.VALOR($F109)),IF(UPPER(TRIM($B109))="AUXILIAR DE COCINA",7,10),1,FESTIVOS!$D$3:$D$996))</f>
        <v>46164</v>
      </c>
      <c r="L109" s="343">
        <f t="shared" si="2"/>
        <v>46143</v>
      </c>
      <c r="M109" s="348" t="str">
        <f t="shared" si="3"/>
        <v>A TIEMPO</v>
      </c>
      <c r="N109" s="11"/>
      <c r="O109" s="13"/>
    </row>
    <row r="110" spans="1:15" ht="15.75" customHeight="1">
      <c r="A110" s="265" t="s">
        <v>778</v>
      </c>
      <c r="B110" s="252" t="s">
        <v>616</v>
      </c>
      <c r="C110" s="252" t="s">
        <v>617</v>
      </c>
      <c r="D110" s="340">
        <v>46167</v>
      </c>
      <c r="E110" s="252" t="s">
        <v>618</v>
      </c>
      <c r="F110" s="243">
        <v>46154</v>
      </c>
      <c r="G110" s="252" t="s">
        <v>68</v>
      </c>
      <c r="H110" s="265" t="s">
        <v>758</v>
      </c>
      <c r="I110" s="346"/>
      <c r="J110" s="346"/>
      <c r="K110" s="342" cm="1">
        <f t="array" ref="K110">IF(OR($B110="",$F110=""),"",WORKDAY.INTL(IF(ISNUMBER($F110),$F110,FECHA.VALOR($F110)),IF(UPPER(TRIM($B110))="AUXILIAR DE COCINA",7,10),1,FESTIVOS!$D$3:$D$996))</f>
        <v>46164</v>
      </c>
      <c r="L110" s="343">
        <f t="shared" si="2"/>
        <v>46143</v>
      </c>
      <c r="M110" s="348" t="str">
        <f t="shared" si="3"/>
        <v>FUERA DE TIEMPO</v>
      </c>
      <c r="N110" s="11" t="s">
        <v>779</v>
      </c>
      <c r="O110" s="13"/>
    </row>
    <row r="111" spans="1:15" ht="15.75" customHeight="1">
      <c r="A111" s="265" t="s">
        <v>777</v>
      </c>
      <c r="B111" s="252" t="s">
        <v>616</v>
      </c>
      <c r="C111" s="252" t="s">
        <v>617</v>
      </c>
      <c r="D111" s="340">
        <v>46167</v>
      </c>
      <c r="E111" s="252" t="s">
        <v>618</v>
      </c>
      <c r="F111" s="243">
        <v>46154</v>
      </c>
      <c r="G111" s="252" t="s">
        <v>68</v>
      </c>
      <c r="H111" s="265" t="s">
        <v>765</v>
      </c>
      <c r="I111" s="346"/>
      <c r="J111" s="346"/>
      <c r="K111" s="342" cm="1">
        <f t="array" ref="K111">IF(OR($B111="",$F111=""),"",WORKDAY.INTL(IF(ISNUMBER($F111),$F111,FECHA.VALOR($F111)),IF(UPPER(TRIM($B111))="AUXILIAR DE COCINA",7,10),1,FESTIVOS!$D$3:$D$996))</f>
        <v>46164</v>
      </c>
      <c r="L111" s="343">
        <f t="shared" si="2"/>
        <v>46143</v>
      </c>
      <c r="M111" s="348" t="str">
        <f t="shared" si="3"/>
        <v>FUERA DE TIEMPO</v>
      </c>
      <c r="N111" s="11" t="s">
        <v>779</v>
      </c>
      <c r="O111" s="13"/>
    </row>
    <row r="112" spans="1:15" ht="15.75" customHeight="1">
      <c r="A112" s="265" t="s">
        <v>780</v>
      </c>
      <c r="B112" s="252" t="s">
        <v>616</v>
      </c>
      <c r="C112" s="252" t="s">
        <v>617</v>
      </c>
      <c r="D112" s="340">
        <v>46170</v>
      </c>
      <c r="E112" s="252" t="s">
        <v>618</v>
      </c>
      <c r="F112" s="243">
        <v>46156</v>
      </c>
      <c r="G112" s="252" t="s">
        <v>624</v>
      </c>
      <c r="H112" s="265" t="s">
        <v>722</v>
      </c>
      <c r="I112" s="346"/>
      <c r="J112" s="346"/>
      <c r="K112" s="342" cm="1">
        <f t="array" ref="K112">IF(OR($B112="",$F112=""),"",WORKDAY.INTL(IF(ISNUMBER($F112),$F112,FECHA.VALOR($F112)),IF(UPPER(TRIM($B112))="AUXILIAR DE COCINA",7,10),1,FESTIVOS!$D$3:$D$996))</f>
        <v>46168</v>
      </c>
      <c r="L112" s="343">
        <f t="shared" si="2"/>
        <v>46143</v>
      </c>
      <c r="M112" s="348" t="str">
        <f t="shared" si="3"/>
        <v>FUERA DE TIEMPO</v>
      </c>
      <c r="N112" s="11" t="s">
        <v>779</v>
      </c>
      <c r="O112" s="13"/>
    </row>
    <row r="113" spans="1:15" ht="15.75" customHeight="1">
      <c r="A113" s="265" t="s">
        <v>781</v>
      </c>
      <c r="B113" s="252" t="s">
        <v>616</v>
      </c>
      <c r="C113" s="252" t="s">
        <v>617</v>
      </c>
      <c r="D113" s="340">
        <v>46170</v>
      </c>
      <c r="E113" s="252" t="s">
        <v>618</v>
      </c>
      <c r="F113" s="243">
        <v>46156</v>
      </c>
      <c r="G113" s="252" t="s">
        <v>168</v>
      </c>
      <c r="H113" s="265" t="s">
        <v>782</v>
      </c>
      <c r="I113" s="346"/>
      <c r="J113" s="346"/>
      <c r="K113" s="342" cm="1">
        <f t="array" ref="K113">IF(OR($B113="",$F113=""),"",WORKDAY.INTL(IF(ISNUMBER($F113),$F113,FECHA.VALOR($F113)),IF(UPPER(TRIM($B113))="AUXILIAR DE COCINA",7,10),1,FESTIVOS!$D$3:$D$996))</f>
        <v>46168</v>
      </c>
      <c r="L113" s="343">
        <f t="shared" si="2"/>
        <v>46143</v>
      </c>
      <c r="M113" s="348" t="str">
        <f t="shared" si="3"/>
        <v>FUERA DE TIEMPO</v>
      </c>
      <c r="N113" s="11" t="s">
        <v>779</v>
      </c>
      <c r="O113" s="13"/>
    </row>
    <row r="114" spans="1:15" ht="15.75" customHeight="1">
      <c r="A114" s="265" t="s">
        <v>783</v>
      </c>
      <c r="B114" s="252" t="s">
        <v>616</v>
      </c>
      <c r="C114" s="252" t="s">
        <v>617</v>
      </c>
      <c r="D114" s="340">
        <v>46170</v>
      </c>
      <c r="E114" s="252" t="s">
        <v>618</v>
      </c>
      <c r="F114" s="243">
        <v>46161</v>
      </c>
      <c r="G114" s="252" t="s">
        <v>168</v>
      </c>
      <c r="H114" s="265" t="s">
        <v>657</v>
      </c>
      <c r="I114" s="346"/>
      <c r="J114" s="346"/>
      <c r="K114" s="342" cm="1">
        <f t="array" ref="K114">IF(OR($B114="",$F114=""),"",WORKDAY.INTL(IF(ISNUMBER($F114),$F114,FECHA.VALOR($F114)),IF(UPPER(TRIM($B114))="AUXILIAR DE COCINA",7,10),1,FESTIVOS!$D$3:$D$996))</f>
        <v>46170</v>
      </c>
      <c r="L114" s="343">
        <f t="shared" si="2"/>
        <v>46174</v>
      </c>
      <c r="M114" s="348" t="str">
        <f t="shared" si="3"/>
        <v>A TIEMPO</v>
      </c>
      <c r="N114" s="11"/>
      <c r="O114" s="13"/>
    </row>
    <row r="115" spans="1:15" ht="15.75" customHeight="1">
      <c r="A115" s="265" t="s">
        <v>784</v>
      </c>
      <c r="B115" s="252" t="s">
        <v>616</v>
      </c>
      <c r="C115" s="252" t="s">
        <v>617</v>
      </c>
      <c r="D115" s="340">
        <v>46170</v>
      </c>
      <c r="E115" s="252" t="s">
        <v>618</v>
      </c>
      <c r="F115" s="243">
        <v>46161</v>
      </c>
      <c r="G115" s="252" t="s">
        <v>68</v>
      </c>
      <c r="H115" s="265" t="s">
        <v>718</v>
      </c>
      <c r="I115" s="346"/>
      <c r="J115" s="346"/>
      <c r="K115" s="342" cm="1">
        <f t="array" ref="K115">IF(OR($B115="",$F115=""),"",WORKDAY.INTL(IF(ISNUMBER($F115),$F115,FECHA.VALOR($F115)),IF(UPPER(TRIM($B115))="AUXILIAR DE COCINA",7,10),1,FESTIVOS!$D$3:$D$996))</f>
        <v>46170</v>
      </c>
      <c r="L115" s="343">
        <f t="shared" si="2"/>
        <v>46174</v>
      </c>
      <c r="M115" s="348" t="str">
        <f t="shared" si="3"/>
        <v>A TIEMPO</v>
      </c>
      <c r="N115" s="11"/>
      <c r="O115" s="13"/>
    </row>
    <row r="116" spans="1:15" ht="15.75" customHeight="1">
      <c r="A116" s="265" t="s">
        <v>785</v>
      </c>
      <c r="B116" s="252" t="s">
        <v>616</v>
      </c>
      <c r="C116" s="252" t="s">
        <v>617</v>
      </c>
      <c r="D116" s="340">
        <v>46170</v>
      </c>
      <c r="E116" s="252" t="s">
        <v>618</v>
      </c>
      <c r="F116" s="243">
        <v>46161</v>
      </c>
      <c r="G116" s="252" t="s">
        <v>786</v>
      </c>
      <c r="H116" s="265" t="s">
        <v>787</v>
      </c>
      <c r="I116" s="346"/>
      <c r="J116" s="346"/>
      <c r="K116" s="342" cm="1">
        <f t="array" ref="K116">IF(OR($B116="",$F116=""),"",WORKDAY.INTL(IF(ISNUMBER($F116),$F116,FECHA.VALOR($F116)),IF(UPPER(TRIM($B116))="AUXILIAR DE COCINA",7,10),1,FESTIVOS!$D$3:$D$996))</f>
        <v>46170</v>
      </c>
      <c r="L116" s="343">
        <f t="shared" si="2"/>
        <v>46174</v>
      </c>
      <c r="M116" s="348" t="str">
        <f t="shared" si="3"/>
        <v>A TIEMPO</v>
      </c>
      <c r="N116" s="11"/>
      <c r="O116" s="13"/>
    </row>
    <row r="117" spans="1:15" ht="15.75" customHeight="1">
      <c r="A117" s="265" t="s">
        <v>788</v>
      </c>
      <c r="B117" s="252" t="s">
        <v>616</v>
      </c>
      <c r="C117" s="252" t="s">
        <v>617</v>
      </c>
      <c r="D117" s="340">
        <v>46170</v>
      </c>
      <c r="E117" s="252" t="s">
        <v>618</v>
      </c>
      <c r="F117" s="243">
        <v>46161</v>
      </c>
      <c r="G117" s="252" t="s">
        <v>68</v>
      </c>
      <c r="H117" s="265" t="s">
        <v>658</v>
      </c>
      <c r="I117" s="346"/>
      <c r="J117" s="346"/>
      <c r="K117" s="342" cm="1">
        <f t="array" ref="K117">IF(OR($B117="",$F117=""),"",WORKDAY.INTL(IF(ISNUMBER($F117),$F117,FECHA.VALOR($F117)),IF(UPPER(TRIM($B117))="AUXILIAR DE COCINA",7,10),1,FESTIVOS!$D$3:$D$996))</f>
        <v>46170</v>
      </c>
      <c r="L117" s="343">
        <f t="shared" si="2"/>
        <v>46174</v>
      </c>
      <c r="M117" s="348" t="str">
        <f t="shared" si="3"/>
        <v>A TIEMPO</v>
      </c>
      <c r="N117" s="11"/>
      <c r="O117" s="13"/>
    </row>
    <row r="118" spans="1:15" ht="15.75" customHeight="1">
      <c r="A118" s="265" t="s">
        <v>789</v>
      </c>
      <c r="B118" s="252" t="s">
        <v>616</v>
      </c>
      <c r="C118" s="252" t="s">
        <v>617</v>
      </c>
      <c r="D118" s="340">
        <v>46170</v>
      </c>
      <c r="E118" s="252" t="s">
        <v>618</v>
      </c>
      <c r="F118" s="243">
        <v>46161</v>
      </c>
      <c r="G118" s="252" t="s">
        <v>168</v>
      </c>
      <c r="H118" s="265" t="s">
        <v>790</v>
      </c>
      <c r="I118" s="346"/>
      <c r="J118" s="346"/>
      <c r="K118" s="342" cm="1">
        <f t="array" ref="K118">IF(OR($B118="",$F118=""),"",WORKDAY.INTL(IF(ISNUMBER($F118),$F118,FECHA.VALOR($F118)),IF(UPPER(TRIM($B118))="AUXILIAR DE COCINA",7,10),1,FESTIVOS!$D$3:$D$996))</f>
        <v>46170</v>
      </c>
      <c r="L118" s="343">
        <f t="shared" si="2"/>
        <v>46174</v>
      </c>
      <c r="M118" s="348" t="str">
        <f t="shared" si="3"/>
        <v>A TIEMPO</v>
      </c>
      <c r="N118" s="11"/>
      <c r="O118" s="13"/>
    </row>
    <row r="119" spans="1:15" ht="15.75" customHeight="1">
      <c r="A119" s="265" t="s">
        <v>791</v>
      </c>
      <c r="B119" s="252" t="s">
        <v>38</v>
      </c>
      <c r="C119" s="252" t="s">
        <v>617</v>
      </c>
      <c r="D119" s="340">
        <v>46163</v>
      </c>
      <c r="E119" s="252" t="s">
        <v>621</v>
      </c>
      <c r="F119" s="243">
        <v>46162</v>
      </c>
      <c r="G119" s="252" t="s">
        <v>168</v>
      </c>
      <c r="H119" s="265" t="s">
        <v>792</v>
      </c>
      <c r="I119" s="346"/>
      <c r="J119" s="346"/>
      <c r="K119" s="342" cm="1">
        <f t="array" ref="K119">IF(OR($B119="",$F119=""),"",WORKDAY.INTL(IF(ISNUMBER($F119),$F119,FECHA.VALOR($F119)),IF(UPPER(TRIM($B119))="AUXILIAR DE COCINA",7,10),1,FESTIVOS!$D$3:$D$996))</f>
        <v>46176</v>
      </c>
      <c r="L119" s="343">
        <f t="shared" si="2"/>
        <v>46174</v>
      </c>
      <c r="M119" s="348" t="str">
        <f t="shared" si="3"/>
        <v>A TIEMPO</v>
      </c>
      <c r="N119" s="11"/>
      <c r="O119" s="13"/>
    </row>
    <row r="120" spans="1:15" ht="15.75" customHeight="1">
      <c r="A120" s="265" t="s">
        <v>793</v>
      </c>
      <c r="B120" s="252" t="s">
        <v>616</v>
      </c>
      <c r="C120" s="252" t="s">
        <v>617</v>
      </c>
      <c r="D120" s="340">
        <v>46170</v>
      </c>
      <c r="E120" s="252" t="s">
        <v>618</v>
      </c>
      <c r="F120" s="243">
        <v>46162</v>
      </c>
      <c r="G120" s="252" t="s">
        <v>624</v>
      </c>
      <c r="H120" s="265" t="s">
        <v>773</v>
      </c>
      <c r="I120" s="346"/>
      <c r="J120" s="346"/>
      <c r="K120" s="342" cm="1">
        <f t="array" ref="K120">IF(OR($B120="",$F120=""),"",WORKDAY.INTL(IF(ISNUMBER($F120),$F120,FECHA.VALOR($F120)),IF(UPPER(TRIM($B120))="AUXILIAR DE COCINA",7,10),1,FESTIVOS!$D$3:$D$996))</f>
        <v>46171</v>
      </c>
      <c r="L120" s="343">
        <f t="shared" si="2"/>
        <v>46174</v>
      </c>
      <c r="M120" s="348" t="str">
        <f t="shared" si="3"/>
        <v>A TIEMPO</v>
      </c>
      <c r="N120" s="11"/>
      <c r="O120" s="13"/>
    </row>
    <row r="121" spans="1:15" ht="15.75" customHeight="1">
      <c r="A121" s="265" t="s">
        <v>794</v>
      </c>
      <c r="B121" s="252" t="s">
        <v>616</v>
      </c>
      <c r="C121" s="252" t="s">
        <v>617</v>
      </c>
      <c r="D121" s="340">
        <v>46177</v>
      </c>
      <c r="E121" s="252" t="s">
        <v>618</v>
      </c>
      <c r="F121" s="243">
        <v>46162</v>
      </c>
      <c r="G121" s="252" t="s">
        <v>767</v>
      </c>
      <c r="H121" s="265" t="s">
        <v>795</v>
      </c>
      <c r="I121" s="346"/>
      <c r="J121" s="346"/>
      <c r="K121" s="342" cm="1">
        <f t="array" ref="K121">IF(OR($B121="",$F121=""),"",WORKDAY.INTL(IF(ISNUMBER($F121),$F121,FECHA.VALOR($F121)),IF(UPPER(TRIM($B121))="AUXILIAR DE COCINA",7,10),1,FESTIVOS!$D$3:$D$996))</f>
        <v>46171</v>
      </c>
      <c r="L121" s="343">
        <f t="shared" si="2"/>
        <v>46174</v>
      </c>
      <c r="M121" s="348" t="str">
        <f t="shared" si="3"/>
        <v>FUERA DE TIEMPO</v>
      </c>
      <c r="N121" s="11" t="s">
        <v>779</v>
      </c>
      <c r="O121" s="13"/>
    </row>
    <row r="122" spans="1:15" ht="15.75" customHeight="1">
      <c r="A122" s="265" t="s">
        <v>796</v>
      </c>
      <c r="B122" s="252" t="s">
        <v>616</v>
      </c>
      <c r="C122" s="252" t="s">
        <v>617</v>
      </c>
      <c r="D122" s="340">
        <v>46177</v>
      </c>
      <c r="E122" s="252" t="s">
        <v>618</v>
      </c>
      <c r="F122" s="243">
        <v>46162</v>
      </c>
      <c r="G122" s="252" t="s">
        <v>68</v>
      </c>
      <c r="H122" s="265" t="s">
        <v>753</v>
      </c>
      <c r="I122" s="346"/>
      <c r="J122" s="346"/>
      <c r="K122" s="342" cm="1">
        <f t="array" ref="K122">IF(OR($B122="",$F122=""),"",WORKDAY.INTL(IF(ISNUMBER($F122),$F122,FECHA.VALOR($F122)),IF(UPPER(TRIM($B122))="AUXILIAR DE COCINA",7,10),1,FESTIVOS!$D$3:$D$996))</f>
        <v>46171</v>
      </c>
      <c r="L122" s="343">
        <f t="shared" si="2"/>
        <v>46174</v>
      </c>
      <c r="M122" s="348" t="str">
        <f t="shared" si="3"/>
        <v>FUERA DE TIEMPO</v>
      </c>
      <c r="N122" s="11" t="s">
        <v>779</v>
      </c>
      <c r="O122" s="13"/>
    </row>
    <row r="123" spans="1:15" ht="15.75" customHeight="1">
      <c r="A123" s="265" t="s">
        <v>797</v>
      </c>
      <c r="B123" s="252" t="s">
        <v>616</v>
      </c>
      <c r="C123" s="252" t="s">
        <v>617</v>
      </c>
      <c r="D123" s="340">
        <v>46177</v>
      </c>
      <c r="E123" s="252" t="s">
        <v>621</v>
      </c>
      <c r="F123" s="243">
        <v>46167</v>
      </c>
      <c r="G123" s="252" t="s">
        <v>168</v>
      </c>
      <c r="H123" s="265" t="s">
        <v>798</v>
      </c>
      <c r="I123" s="346"/>
      <c r="J123" s="346"/>
      <c r="K123" s="342" cm="1">
        <f t="array" ref="K123">IF(OR($B123="",$F123=""),"",WORKDAY.INTL(IF(ISNUMBER($F123),$F123,FECHA.VALOR($F123)),IF(UPPER(TRIM($B123))="AUXILIAR DE COCINA",7,10),1,FESTIVOS!$D$3:$D$996))</f>
        <v>46176</v>
      </c>
      <c r="L123" s="343">
        <f t="shared" si="2"/>
        <v>46174</v>
      </c>
      <c r="M123" s="348" t="str">
        <f t="shared" si="3"/>
        <v>FUERA DE TIEMPO</v>
      </c>
      <c r="N123" s="11" t="s">
        <v>779</v>
      </c>
      <c r="O123" s="13"/>
    </row>
    <row r="124" spans="1:15" ht="15.75" customHeight="1">
      <c r="A124" s="265" t="s">
        <v>799</v>
      </c>
      <c r="B124" s="252" t="s">
        <v>616</v>
      </c>
      <c r="C124" s="252" t="s">
        <v>617</v>
      </c>
      <c r="D124" s="340">
        <v>46177</v>
      </c>
      <c r="E124" s="252" t="s">
        <v>621</v>
      </c>
      <c r="F124" s="243">
        <v>46167</v>
      </c>
      <c r="G124" s="252" t="s">
        <v>168</v>
      </c>
      <c r="H124" s="265" t="s">
        <v>736</v>
      </c>
      <c r="I124" s="346"/>
      <c r="J124" s="346"/>
      <c r="K124" s="342" cm="1">
        <f t="array" ref="K124">IF(OR($B124="",$F124=""),"",WORKDAY.INTL(IF(ISNUMBER($F124),$F124,FECHA.VALOR($F124)),IF(UPPER(TRIM($B124))="AUXILIAR DE COCINA",7,10),1,FESTIVOS!$D$3:$D$996))</f>
        <v>46176</v>
      </c>
      <c r="L124" s="343">
        <f t="shared" si="2"/>
        <v>46174</v>
      </c>
      <c r="M124" s="348" t="str">
        <f t="shared" si="3"/>
        <v>FUERA DE TIEMPO</v>
      </c>
      <c r="N124" s="11" t="s">
        <v>779</v>
      </c>
      <c r="O124" s="13"/>
    </row>
    <row r="125" spans="1:15" ht="15.75" customHeight="1">
      <c r="A125" s="265" t="s">
        <v>800</v>
      </c>
      <c r="B125" s="252" t="s">
        <v>38</v>
      </c>
      <c r="C125" s="252" t="s">
        <v>617</v>
      </c>
      <c r="D125" s="340">
        <v>46170</v>
      </c>
      <c r="E125" s="252" t="s">
        <v>621</v>
      </c>
      <c r="F125" s="243">
        <v>46168</v>
      </c>
      <c r="G125" s="252" t="s">
        <v>68</v>
      </c>
      <c r="H125" s="265" t="s">
        <v>791</v>
      </c>
      <c r="I125" s="347"/>
      <c r="J125" s="347"/>
      <c r="K125" s="342" cm="1">
        <f t="array" ref="K125">IF(OR($B125="",$F125=""),"",WORKDAY.INTL(IF(ISNUMBER($F125),$F125,FECHA.VALOR($F125)),IF(UPPER(TRIM($B125))="AUXILIAR DE COCINA",7,10),1,FESTIVOS!$D$3:$D$996))</f>
        <v>46183</v>
      </c>
      <c r="L125" s="343">
        <f t="shared" si="2"/>
        <v>46174</v>
      </c>
      <c r="M125" s="348" t="str">
        <f t="shared" si="3"/>
        <v>A TIEMPO</v>
      </c>
      <c r="N125" s="11"/>
      <c r="O125" s="13"/>
    </row>
    <row r="126" spans="1:15" ht="15.75" customHeight="1">
      <c r="A126" s="265" t="s">
        <v>801</v>
      </c>
      <c r="B126" s="252" t="s">
        <v>616</v>
      </c>
      <c r="C126" s="252" t="s">
        <v>617</v>
      </c>
      <c r="D126" s="340">
        <v>46177</v>
      </c>
      <c r="E126" s="252" t="s">
        <v>618</v>
      </c>
      <c r="F126" s="243">
        <v>46169</v>
      </c>
      <c r="G126" s="252" t="s">
        <v>767</v>
      </c>
      <c r="H126" s="265" t="s">
        <v>726</v>
      </c>
      <c r="I126" s="346"/>
      <c r="J126" s="346"/>
      <c r="K126" s="342" cm="1">
        <f t="array" ref="K126">IF(OR($B126="",$F126=""),"",WORKDAY.INTL(IF(ISNUMBER($F126),$F126,FECHA.VALOR($F126)),IF(UPPER(TRIM($B126))="AUXILIAR DE COCINA",7,10),1,FESTIVOS!$D$3:$D$996))</f>
        <v>46178</v>
      </c>
      <c r="L126" s="343">
        <f t="shared" si="2"/>
        <v>46174</v>
      </c>
      <c r="M126" s="348" t="str">
        <f t="shared" si="3"/>
        <v>A TIEMPO</v>
      </c>
      <c r="N126" s="11"/>
      <c r="O126" s="13"/>
    </row>
    <row r="127" spans="1:15" ht="15.75" customHeight="1">
      <c r="A127" s="265" t="s">
        <v>802</v>
      </c>
      <c r="B127" s="252" t="s">
        <v>616</v>
      </c>
      <c r="C127" s="252" t="s">
        <v>617</v>
      </c>
      <c r="D127" s="340">
        <v>46184</v>
      </c>
      <c r="E127" s="252" t="s">
        <v>618</v>
      </c>
      <c r="F127" s="243">
        <v>46169</v>
      </c>
      <c r="G127" s="252" t="s">
        <v>68</v>
      </c>
      <c r="H127" s="265" t="s">
        <v>777</v>
      </c>
      <c r="I127" s="346"/>
      <c r="J127" s="346"/>
      <c r="K127" s="342" cm="1">
        <f t="array" ref="K127">IF(OR($B127="",$F127=""),"",WORKDAY.INTL(IF(ISNUMBER($F127),$F127,FECHA.VALOR($F127)),IF(UPPER(TRIM($B127))="AUXILIAR DE COCINA",7,10),1,FESTIVOS!$D$3:$D$996))</f>
        <v>46178</v>
      </c>
      <c r="L127" s="343">
        <f t="shared" si="2"/>
        <v>46174</v>
      </c>
      <c r="M127" s="348" t="str">
        <f t="shared" si="3"/>
        <v>FUERA DE TIEMPO</v>
      </c>
      <c r="N127" s="11" t="s">
        <v>803</v>
      </c>
      <c r="O127" s="13"/>
    </row>
    <row r="128" spans="1:15" ht="15.75" customHeight="1">
      <c r="A128" s="265" t="s">
        <v>804</v>
      </c>
      <c r="B128" s="252" t="s">
        <v>616</v>
      </c>
      <c r="C128" s="252" t="s">
        <v>617</v>
      </c>
      <c r="D128" s="340">
        <v>46184</v>
      </c>
      <c r="E128" s="252" t="s">
        <v>618</v>
      </c>
      <c r="F128" s="243">
        <v>46174</v>
      </c>
      <c r="G128" s="252" t="s">
        <v>68</v>
      </c>
      <c r="H128" s="265" t="s">
        <v>784</v>
      </c>
      <c r="I128" s="346"/>
      <c r="J128" s="346"/>
      <c r="K128" s="342" cm="1">
        <f t="array" ref="K128">IF(OR($B128="",$F128=""),"",WORKDAY.INTL(IF(ISNUMBER($F128),$F128,FECHA.VALOR($F128)),IF(UPPER(TRIM($B128))="AUXILIAR DE COCINA",7,10),1,FESTIVOS!$D$3:$D$996))</f>
        <v>46184</v>
      </c>
      <c r="L128" s="343">
        <f t="shared" si="2"/>
        <v>46174</v>
      </c>
      <c r="M128" s="348" t="str">
        <f t="shared" si="3"/>
        <v>A TIEMPO</v>
      </c>
      <c r="N128" s="11"/>
      <c r="O128" s="13"/>
    </row>
    <row r="129" spans="1:15" ht="15.75" customHeight="1">
      <c r="A129" s="265" t="s">
        <v>805</v>
      </c>
      <c r="B129" s="252" t="s">
        <v>616</v>
      </c>
      <c r="C129" s="252" t="s">
        <v>617</v>
      </c>
      <c r="D129" s="340">
        <v>46184</v>
      </c>
      <c r="E129" s="252" t="s">
        <v>618</v>
      </c>
      <c r="F129" s="243">
        <v>46174</v>
      </c>
      <c r="G129" s="252" t="s">
        <v>68</v>
      </c>
      <c r="H129" s="265" t="s">
        <v>789</v>
      </c>
      <c r="I129" s="346"/>
      <c r="J129" s="346"/>
      <c r="K129" s="342" cm="1">
        <f t="array" ref="K129">IF(OR($B129="",$F129=""),"",WORKDAY.INTL(IF(ISNUMBER($F129),$F129,FECHA.VALOR($F129)),IF(UPPER(TRIM($B129))="AUXILIAR DE COCINA",7,10),1,FESTIVOS!$D$3:$D$996))</f>
        <v>46184</v>
      </c>
      <c r="L129" s="343">
        <f t="shared" si="2"/>
        <v>46174</v>
      </c>
      <c r="M129" s="348" t="str">
        <f t="shared" si="3"/>
        <v>A TIEMPO</v>
      </c>
      <c r="N129" s="11"/>
      <c r="O129" s="13"/>
    </row>
    <row r="130" spans="1:15" ht="15.75" customHeight="1">
      <c r="A130" s="265" t="s">
        <v>806</v>
      </c>
      <c r="B130" s="252" t="s">
        <v>616</v>
      </c>
      <c r="C130" s="252" t="s">
        <v>617</v>
      </c>
      <c r="D130" s="340">
        <v>46191</v>
      </c>
      <c r="E130" s="252" t="s">
        <v>621</v>
      </c>
      <c r="F130" s="243">
        <v>46174</v>
      </c>
      <c r="G130" s="252" t="s">
        <v>671</v>
      </c>
      <c r="H130" s="265" t="s">
        <v>807</v>
      </c>
      <c r="I130" s="346"/>
      <c r="J130" s="346"/>
      <c r="K130" s="342" cm="1">
        <f t="array" ref="K130">IF(OR($B130="",$F130=""),"",WORKDAY.INTL(IF(ISNUMBER($F130),$F130,FECHA.VALOR($F130)),IF(UPPER(TRIM($B130))="AUXILIAR DE COCINA",7,10),1,FESTIVOS!$D$3:$D$996))</f>
        <v>46184</v>
      </c>
      <c r="L130" s="343">
        <f t="shared" si="2"/>
        <v>46174</v>
      </c>
      <c r="M130" s="348" t="str">
        <f t="shared" si="3"/>
        <v>FUERA DE TIEMPO</v>
      </c>
      <c r="N130" s="11" t="s">
        <v>803</v>
      </c>
      <c r="O130" s="13"/>
    </row>
    <row r="131" spans="1:15" ht="15.75" customHeight="1">
      <c r="A131" s="265" t="s">
        <v>808</v>
      </c>
      <c r="B131" s="252" t="s">
        <v>616</v>
      </c>
      <c r="C131" s="252" t="s">
        <v>617</v>
      </c>
      <c r="D131" s="340">
        <v>46191</v>
      </c>
      <c r="E131" s="252" t="s">
        <v>618</v>
      </c>
      <c r="F131" s="243">
        <v>46174</v>
      </c>
      <c r="G131" s="252" t="s">
        <v>68</v>
      </c>
      <c r="H131" s="265" t="s">
        <v>809</v>
      </c>
      <c r="I131" s="346"/>
      <c r="J131" s="346"/>
      <c r="K131" s="342" cm="1">
        <f t="array" ref="K131">IF(OR($B131="",$F131=""),"",WORKDAY.INTL(IF(ISNUMBER($F131),$F131,FECHA.VALOR($F131)),IF(UPPER(TRIM($B131))="AUXILIAR DE COCINA",7,10),1,FESTIVOS!$D$3:$D$996))</f>
        <v>46184</v>
      </c>
      <c r="L131" s="343">
        <f t="shared" si="2"/>
        <v>46174</v>
      </c>
      <c r="M131" s="348" t="str">
        <f t="shared" si="3"/>
        <v>FUERA DE TIEMPO</v>
      </c>
      <c r="N131" s="11" t="s">
        <v>803</v>
      </c>
      <c r="O131" s="13"/>
    </row>
    <row r="132" spans="1:15" ht="15.75" customHeight="1">
      <c r="A132" s="265" t="s">
        <v>810</v>
      </c>
      <c r="B132" s="252" t="s">
        <v>616</v>
      </c>
      <c r="C132" s="252" t="s">
        <v>617</v>
      </c>
      <c r="D132" s="340">
        <v>46191</v>
      </c>
      <c r="E132" s="252" t="s">
        <v>618</v>
      </c>
      <c r="F132" s="243">
        <v>46174</v>
      </c>
      <c r="G132" s="252" t="s">
        <v>68</v>
      </c>
      <c r="H132" s="265" t="s">
        <v>781</v>
      </c>
      <c r="I132" s="346"/>
      <c r="J132" s="346"/>
      <c r="K132" s="342" cm="1">
        <f t="array" ref="K132">IF(OR($B132="",$F132=""),"",WORKDAY.INTL(IF(ISNUMBER($F132),$F132,FECHA.VALOR($F132)),IF(UPPER(TRIM($B132))="AUXILIAR DE COCINA",7,10),1,FESTIVOS!$D$3:$D$996))</f>
        <v>46184</v>
      </c>
      <c r="L132" s="343">
        <f t="shared" si="2"/>
        <v>46174</v>
      </c>
      <c r="M132" s="348" t="str">
        <f t="shared" si="3"/>
        <v>FUERA DE TIEMPO</v>
      </c>
      <c r="N132" s="11" t="s">
        <v>803</v>
      </c>
      <c r="O132" s="13"/>
    </row>
    <row r="133" spans="1:15" ht="15.75" customHeight="1">
      <c r="A133" s="265" t="s">
        <v>811</v>
      </c>
      <c r="B133" s="252" t="s">
        <v>616</v>
      </c>
      <c r="C133" s="252" t="s">
        <v>617</v>
      </c>
      <c r="D133" s="340">
        <v>46198</v>
      </c>
      <c r="E133" s="252" t="s">
        <v>618</v>
      </c>
      <c r="F133" s="243">
        <v>46189</v>
      </c>
      <c r="G133" s="252" t="s">
        <v>68</v>
      </c>
      <c r="H133" s="265" t="s">
        <v>785</v>
      </c>
      <c r="I133" s="346"/>
      <c r="J133" s="346"/>
      <c r="K133" s="342" cm="1">
        <f t="array" ref="K133">IF(OR($B133="",$F133=""),"",WORKDAY.INTL(IF(ISNUMBER($F133),$F133,FECHA.VALOR($F133)),IF(UPPER(TRIM($B133))="AUXILIAR DE COCINA",7,10),1,FESTIVOS!$D$3:$D$996))</f>
        <v>46198</v>
      </c>
      <c r="L133" s="343">
        <f t="shared" si="2"/>
        <v>46174</v>
      </c>
      <c r="M133" s="348" t="str">
        <f t="shared" si="3"/>
        <v>A TIEMPO</v>
      </c>
      <c r="N133" s="11"/>
      <c r="O133" s="13"/>
    </row>
    <row r="134" spans="1:15" ht="15.75" customHeight="1">
      <c r="A134" s="265" t="s">
        <v>812</v>
      </c>
      <c r="B134" s="252" t="s">
        <v>616</v>
      </c>
      <c r="C134" s="252" t="s">
        <v>617</v>
      </c>
      <c r="D134" s="340">
        <v>46198</v>
      </c>
      <c r="E134" s="252" t="s">
        <v>621</v>
      </c>
      <c r="F134" s="243">
        <v>46189</v>
      </c>
      <c r="G134" s="252" t="s">
        <v>68</v>
      </c>
      <c r="H134" s="265" t="s">
        <v>797</v>
      </c>
      <c r="I134" s="346"/>
      <c r="J134" s="346"/>
      <c r="K134" s="342" cm="1">
        <f t="array" ref="K134">IF(OR($B134="",$F134=""),"",WORKDAY.INTL(IF(ISNUMBER($F134),$F134,FECHA.VALOR($F134)),IF(UPPER(TRIM($B134))="AUXILIAR DE COCINA",7,10),1,FESTIVOS!$D$3:$D$996))</f>
        <v>46198</v>
      </c>
      <c r="L134" s="343">
        <f t="shared" si="2"/>
        <v>46174</v>
      </c>
      <c r="M134" s="348" t="str">
        <f t="shared" si="3"/>
        <v>A TIEMPO</v>
      </c>
      <c r="N134" s="11"/>
      <c r="O134" s="13"/>
    </row>
    <row r="135" spans="1:15" ht="15.75" customHeight="1">
      <c r="A135" s="265" t="s">
        <v>813</v>
      </c>
      <c r="B135" s="252" t="s">
        <v>38</v>
      </c>
      <c r="C135" s="252" t="s">
        <v>617</v>
      </c>
      <c r="D135" s="340">
        <v>46191</v>
      </c>
      <c r="E135" s="252" t="s">
        <v>621</v>
      </c>
      <c r="F135" s="243">
        <v>46189</v>
      </c>
      <c r="G135" s="252" t="s">
        <v>671</v>
      </c>
      <c r="H135" s="265" t="s">
        <v>814</v>
      </c>
      <c r="I135" s="346"/>
      <c r="J135" s="346"/>
      <c r="K135" s="342" cm="1">
        <f t="array" ref="K135">IF(OR($B135="",$F135=""),"",WORKDAY.INTL(IF(ISNUMBER($F135),$F135,FECHA.VALOR($F135)),IF(UPPER(TRIM($B135))="AUXILIAR DE COCINA",7,10),1,FESTIVOS!$D$3:$D$996))</f>
        <v>46204</v>
      </c>
      <c r="L135" s="343">
        <f t="shared" si="2"/>
        <v>46174</v>
      </c>
      <c r="M135" s="348" t="str">
        <f t="shared" si="3"/>
        <v>A TIEMPO</v>
      </c>
      <c r="N135" s="11"/>
      <c r="O135" s="13"/>
    </row>
    <row r="136" spans="1:15" ht="15.75" customHeight="1">
      <c r="A136" s="265" t="s">
        <v>815</v>
      </c>
      <c r="B136" s="252" t="s">
        <v>38</v>
      </c>
      <c r="C136" s="252" t="s">
        <v>617</v>
      </c>
      <c r="D136" s="340">
        <v>46191</v>
      </c>
      <c r="E136" s="252" t="s">
        <v>621</v>
      </c>
      <c r="F136" s="243">
        <v>46189</v>
      </c>
      <c r="G136" s="252" t="s">
        <v>762</v>
      </c>
      <c r="H136" s="265" t="s">
        <v>816</v>
      </c>
      <c r="I136" s="346"/>
      <c r="J136" s="346"/>
      <c r="K136" s="342" cm="1">
        <f t="array" ref="K136">IF(OR($B136="",$F136=""),"",WORKDAY.INTL(IF(ISNUMBER($F136),$F136,FECHA.VALOR($F136)),IF(UPPER(TRIM($B136))="AUXILIAR DE COCINA",7,10),1,FESTIVOS!$D$3:$D$996))</f>
        <v>46204</v>
      </c>
      <c r="L136" s="343">
        <f t="shared" si="2"/>
        <v>46174</v>
      </c>
      <c r="M136" s="348" t="str">
        <f t="shared" si="3"/>
        <v>A TIEMPO</v>
      </c>
      <c r="N136" s="11"/>
      <c r="O136" s="13"/>
    </row>
    <row r="137" spans="1:15" ht="15.75" customHeight="1">
      <c r="A137" s="265" t="s">
        <v>817</v>
      </c>
      <c r="B137" s="252" t="s">
        <v>38</v>
      </c>
      <c r="C137" s="252" t="s">
        <v>617</v>
      </c>
      <c r="D137" s="340">
        <v>46198</v>
      </c>
      <c r="E137" s="252" t="s">
        <v>618</v>
      </c>
      <c r="F137" s="243">
        <v>46189</v>
      </c>
      <c r="G137" s="252" t="s">
        <v>68</v>
      </c>
      <c r="H137" s="265" t="s">
        <v>766</v>
      </c>
      <c r="I137" s="346"/>
      <c r="J137" s="346"/>
      <c r="K137" s="342" cm="1">
        <f t="array" ref="K137">IF(OR($B137="",$F137=""),"",WORKDAY.INTL(IF(ISNUMBER($F137),$F137,FECHA.VALOR($F137)),IF(UPPER(TRIM($B137))="AUXILIAR DE COCINA",7,10),1,FESTIVOS!$D$3:$D$996))</f>
        <v>46204</v>
      </c>
      <c r="L137" s="343">
        <f t="shared" si="2"/>
        <v>46174</v>
      </c>
      <c r="M137" s="348" t="str">
        <f t="shared" si="3"/>
        <v>A TIEMPO</v>
      </c>
      <c r="N137" s="11"/>
      <c r="O137" s="13"/>
    </row>
    <row r="138" spans="1:15" ht="15.75" customHeight="1">
      <c r="A138" s="265" t="s">
        <v>818</v>
      </c>
      <c r="B138" s="252" t="s">
        <v>616</v>
      </c>
      <c r="C138" s="252" t="s">
        <v>617</v>
      </c>
      <c r="D138" s="340">
        <v>46198</v>
      </c>
      <c r="E138" s="252" t="s">
        <v>618</v>
      </c>
      <c r="F138" s="243">
        <v>46189</v>
      </c>
      <c r="G138" s="252" t="s">
        <v>68</v>
      </c>
      <c r="H138" s="265" t="s">
        <v>805</v>
      </c>
      <c r="I138" s="346"/>
      <c r="J138" s="346"/>
      <c r="K138" s="342" cm="1">
        <f t="array" ref="K138">IF(OR($B138="",$F138=""),"",WORKDAY.INTL(IF(ISNUMBER($F138),$F138,FECHA.VALOR($F138)),IF(UPPER(TRIM($B138))="AUXILIAR DE COCINA",7,10),1,FESTIVOS!$D$3:$D$996))</f>
        <v>46198</v>
      </c>
      <c r="L138" s="343">
        <f t="shared" si="2"/>
        <v>46174</v>
      </c>
      <c r="M138" s="348" t="str">
        <f t="shared" si="3"/>
        <v>A TIEMPO</v>
      </c>
      <c r="N138" s="11"/>
      <c r="O138" s="13"/>
    </row>
    <row r="139" spans="1:15" ht="15.75" customHeight="1">
      <c r="A139" s="265" t="s">
        <v>819</v>
      </c>
      <c r="B139" s="252" t="s">
        <v>616</v>
      </c>
      <c r="C139" s="252" t="s">
        <v>617</v>
      </c>
      <c r="D139" s="340">
        <v>46198</v>
      </c>
      <c r="E139" s="252" t="s">
        <v>618</v>
      </c>
      <c r="F139" s="243">
        <v>46189</v>
      </c>
      <c r="G139" s="252" t="s">
        <v>68</v>
      </c>
      <c r="H139" s="265" t="s">
        <v>802</v>
      </c>
      <c r="I139" s="346"/>
      <c r="J139" s="346"/>
      <c r="K139" s="342" cm="1">
        <f t="array" ref="K139">IF(OR($B139="",$F139=""),"",WORKDAY.INTL(IF(ISNUMBER($F139),$F139,FECHA.VALOR($F139)),IF(UPPER(TRIM($B139))="AUXILIAR DE COCINA",7,10),1,FESTIVOS!$D$3:$D$996))</f>
        <v>46198</v>
      </c>
      <c r="L139" s="343">
        <f t="shared" si="2"/>
        <v>46174</v>
      </c>
      <c r="M139" s="348" t="str">
        <f t="shared" si="3"/>
        <v>A TIEMPO</v>
      </c>
      <c r="N139" s="11"/>
      <c r="O139" s="13"/>
    </row>
    <row r="140" spans="1:15" ht="15.75" customHeight="1">
      <c r="A140" s="265" t="s">
        <v>820</v>
      </c>
      <c r="B140" s="252" t="s">
        <v>616</v>
      </c>
      <c r="C140" s="252" t="s">
        <v>617</v>
      </c>
      <c r="D140" s="340">
        <v>46198</v>
      </c>
      <c r="E140" s="252" t="s">
        <v>618</v>
      </c>
      <c r="F140" s="243">
        <v>46191</v>
      </c>
      <c r="G140" s="252" t="s">
        <v>68</v>
      </c>
      <c r="H140" s="265" t="s">
        <v>799</v>
      </c>
      <c r="I140" s="346"/>
      <c r="J140" s="346"/>
      <c r="K140" s="342" cm="1">
        <f t="array" ref="K140">IF(OR($B140="",$F140=""),"",WORKDAY.INTL(IF(ISNUMBER($F140),$F140,FECHA.VALOR($F140)),IF(UPPER(TRIM($B140))="AUXILIAR DE COCINA",7,10),1,FESTIVOS!$D$3:$D$996))</f>
        <v>46203</v>
      </c>
      <c r="L140" s="343">
        <f t="shared" si="2"/>
        <v>46204</v>
      </c>
      <c r="M140" s="348" t="str">
        <f t="shared" si="3"/>
        <v>A TIEMPO</v>
      </c>
      <c r="N140" s="11"/>
      <c r="O140" s="13"/>
    </row>
    <row r="141" spans="1:15" ht="15.75" customHeight="1">
      <c r="A141" s="265" t="s">
        <v>821</v>
      </c>
      <c r="B141" s="252" t="s">
        <v>616</v>
      </c>
      <c r="C141" s="252" t="s">
        <v>617</v>
      </c>
      <c r="D141" s="340">
        <v>46203</v>
      </c>
      <c r="E141" s="252" t="s">
        <v>621</v>
      </c>
      <c r="F141" s="243">
        <v>46191</v>
      </c>
      <c r="G141" s="252" t="s">
        <v>68</v>
      </c>
      <c r="H141" s="265" t="s">
        <v>751</v>
      </c>
      <c r="I141" s="346"/>
      <c r="J141" s="346"/>
      <c r="K141" s="342" cm="1">
        <f t="array" ref="K141">IF(OR($B141="",$F141=""),"",WORKDAY.INTL(IF(ISNUMBER($F141),$F141,FECHA.VALOR($F141)),IF(UPPER(TRIM($B141))="AUXILIAR DE COCINA",7,10),1,FESTIVOS!$D$3:$D$996))</f>
        <v>46203</v>
      </c>
      <c r="L141" s="343">
        <f>IF($F141="","",DATE(YEAR(EDATE($F141,IF(DAY($F141)&gt;=17,1,0))),MONTH(EDATE($F141,IF(DAY($F141)&gt;=17,1,0))),1))</f>
        <v>46204</v>
      </c>
      <c r="M141" s="348" t="str">
        <f>IF($K141="","",IF(OR($D141="",$D141&lt;$F141),"PENDIENTE",IF($D141&lt;=$K141,"A TIEMPO","FUERA DE TIEMPO")))</f>
        <v>A TIEMPO</v>
      </c>
      <c r="N141" s="11"/>
      <c r="O141" s="13"/>
    </row>
    <row r="142" spans="1:15" ht="15.75" customHeight="1">
      <c r="A142" s="265" t="s">
        <v>822</v>
      </c>
      <c r="B142" s="252" t="s">
        <v>616</v>
      </c>
      <c r="C142" s="252" t="s">
        <v>617</v>
      </c>
      <c r="D142" s="340">
        <v>46205</v>
      </c>
      <c r="E142" s="252" t="s">
        <v>618</v>
      </c>
      <c r="F142" s="243">
        <v>46191</v>
      </c>
      <c r="G142" s="252" t="s">
        <v>68</v>
      </c>
      <c r="H142" s="265" t="s">
        <v>820</v>
      </c>
      <c r="I142" s="346"/>
      <c r="J142" s="346"/>
      <c r="K142" s="342" cm="1">
        <f t="array" ref="K142">IF(OR($B142="",$F142=""),"",WORKDAY.INTL(IF(ISNUMBER($F142),$F142,FECHA.VALOR($F142)),IF(UPPER(TRIM($B142))="AUXILIAR DE COCINA",7,10),1,FESTIVOS!$D$3:$D$996))</f>
        <v>46203</v>
      </c>
      <c r="L142" s="343">
        <f t="shared" si="2"/>
        <v>46204</v>
      </c>
      <c r="M142" s="348" t="str">
        <f t="shared" si="3"/>
        <v>FUERA DE TIEMPO</v>
      </c>
      <c r="N142" s="11" t="s">
        <v>823</v>
      </c>
      <c r="O142" s="13"/>
    </row>
    <row r="143" spans="1:15" ht="15.75" customHeight="1">
      <c r="A143" s="265" t="s">
        <v>824</v>
      </c>
      <c r="B143" s="252" t="s">
        <v>38</v>
      </c>
      <c r="C143" s="252" t="s">
        <v>617</v>
      </c>
      <c r="D143" s="340">
        <v>46198</v>
      </c>
      <c r="E143" s="252" t="s">
        <v>621</v>
      </c>
      <c r="F143" s="243">
        <v>46194</v>
      </c>
      <c r="G143" s="252" t="s">
        <v>68</v>
      </c>
      <c r="H143" s="265" t="s">
        <v>825</v>
      </c>
      <c r="I143" s="346"/>
      <c r="J143" s="346"/>
      <c r="K143" s="342" cm="1">
        <f t="array" ref="K143">IF(OR($B143="",$F143=""),"",WORKDAY.INTL(IF(ISNUMBER($F143),$F143,FECHA.VALOR($F143)),IF(UPPER(TRIM($B143))="AUXILIAR DE COCINA",7,10),1,FESTIVOS!$D$3:$D$996))</f>
        <v>46209</v>
      </c>
      <c r="L143" s="343">
        <f t="shared" si="2"/>
        <v>46204</v>
      </c>
      <c r="M143" s="348" t="str">
        <f t="shared" si="3"/>
        <v>A TIEMPO</v>
      </c>
      <c r="N143" s="11"/>
      <c r="O143" s="13"/>
    </row>
    <row r="144" spans="1:15" ht="15.75" customHeight="1">
      <c r="A144" s="265" t="s">
        <v>826</v>
      </c>
      <c r="B144" s="252" t="s">
        <v>827</v>
      </c>
      <c r="C144" s="252" t="s">
        <v>617</v>
      </c>
      <c r="D144" s="340">
        <v>46205</v>
      </c>
      <c r="E144" s="252" t="s">
        <v>618</v>
      </c>
      <c r="F144" s="243">
        <v>46199</v>
      </c>
      <c r="G144" s="252" t="s">
        <v>221</v>
      </c>
      <c r="H144" s="265" t="s">
        <v>828</v>
      </c>
      <c r="I144" s="346"/>
      <c r="J144" s="346"/>
      <c r="K144" s="342" cm="1">
        <f t="array" ref="K144">IF(OR($B144="",$F144=""),"",WORKDAY.INTL(IF(ISNUMBER($F144),$F144,FECHA.VALOR($F144)),IF(UPPER(TRIM($B144))="AUXILIAR DE COCINA",7,10),1,FESTIVOS!$D$3:$D$996))</f>
        <v>46216</v>
      </c>
      <c r="L144" s="343">
        <f t="shared" si="2"/>
        <v>46204</v>
      </c>
      <c r="M144" s="348" t="str">
        <f t="shared" si="3"/>
        <v>A TIEMPO</v>
      </c>
      <c r="N144" s="11"/>
      <c r="O144" s="13"/>
    </row>
    <row r="145" spans="1:15" ht="15.75" customHeight="1">
      <c r="A145" s="265" t="s">
        <v>829</v>
      </c>
      <c r="B145" s="252" t="s">
        <v>616</v>
      </c>
      <c r="C145" s="252" t="s">
        <v>617</v>
      </c>
      <c r="D145" s="340">
        <v>46209</v>
      </c>
      <c r="E145" s="252" t="s">
        <v>618</v>
      </c>
      <c r="F145" s="243">
        <v>46198</v>
      </c>
      <c r="G145" s="252" t="s">
        <v>68</v>
      </c>
      <c r="H145" s="265" t="s">
        <v>801</v>
      </c>
      <c r="I145" s="346"/>
      <c r="J145" s="346"/>
      <c r="K145" s="342" cm="1">
        <f t="array" ref="K145">IF(OR($B145="",$F145=""),"",WORKDAY.INTL(IF(ISNUMBER($F145),$F145,FECHA.VALOR($F145)),IF(UPPER(TRIM($B145))="AUXILIAR DE COCINA",7,10),1,FESTIVOS!$D$3:$D$996))</f>
        <v>46210</v>
      </c>
      <c r="L145" s="343">
        <f t="shared" si="2"/>
        <v>46204</v>
      </c>
      <c r="M145" s="348" t="str">
        <f t="shared" si="3"/>
        <v>A TIEMPO</v>
      </c>
      <c r="N145" s="11"/>
      <c r="O145" s="13"/>
    </row>
    <row r="146" spans="1:15" ht="15.75" customHeight="1">
      <c r="A146" s="265" t="s">
        <v>830</v>
      </c>
      <c r="B146" s="252" t="s">
        <v>616</v>
      </c>
      <c r="C146" s="252" t="s">
        <v>617</v>
      </c>
      <c r="D146" s="340">
        <v>46209</v>
      </c>
      <c r="E146" s="252" t="s">
        <v>618</v>
      </c>
      <c r="F146" s="243">
        <v>46198</v>
      </c>
      <c r="G146" s="252" t="s">
        <v>68</v>
      </c>
      <c r="H146" s="265" t="s">
        <v>806</v>
      </c>
      <c r="I146" s="346"/>
      <c r="J146" s="346"/>
      <c r="K146" s="342" cm="1">
        <f t="array" ref="K146">IF(OR($B146="",$F146=""),"",WORKDAY.INTL(IF(ISNUMBER($F146),$F146,FECHA.VALOR($F146)),IF(UPPER(TRIM($B146))="AUXILIAR DE COCINA",7,10),1,FESTIVOS!$D$3:$D$996))</f>
        <v>46210</v>
      </c>
      <c r="L146" s="343">
        <f t="shared" si="2"/>
        <v>46204</v>
      </c>
      <c r="M146" s="348" t="str">
        <f t="shared" si="3"/>
        <v>A TIEMPO</v>
      </c>
      <c r="N146" s="11"/>
      <c r="O146" s="13"/>
    </row>
    <row r="147" spans="1:15" ht="15.75" customHeight="1">
      <c r="A147" s="265" t="s">
        <v>831</v>
      </c>
      <c r="B147" s="252" t="s">
        <v>616</v>
      </c>
      <c r="C147" s="252" t="s">
        <v>617</v>
      </c>
      <c r="D147" s="340">
        <v>46212</v>
      </c>
      <c r="E147" s="252" t="s">
        <v>618</v>
      </c>
      <c r="F147" s="243">
        <v>46205</v>
      </c>
      <c r="G147" s="252" t="s">
        <v>68</v>
      </c>
      <c r="H147" s="265" t="s">
        <v>810</v>
      </c>
      <c r="I147" s="346"/>
      <c r="J147" s="346"/>
      <c r="K147" s="342" cm="1">
        <f t="array" ref="K147">IF(OR($B147="",$F147=""),"",WORKDAY.INTL(IF(ISNUMBER($F147),$F147,FECHA.VALOR($F147)),IF(UPPER(TRIM($B147))="AUXILIAR DE COCINA",7,10),1,FESTIVOS!$D$3:$D$996))</f>
        <v>46216</v>
      </c>
      <c r="L147" s="343">
        <f t="shared" si="2"/>
        <v>46204</v>
      </c>
      <c r="M147" s="348" t="str">
        <f t="shared" si="3"/>
        <v>A TIEMPO</v>
      </c>
      <c r="N147" s="11"/>
      <c r="O147" s="13"/>
    </row>
    <row r="148" spans="1:15" ht="15.75" customHeight="1">
      <c r="A148" s="265" t="s">
        <v>832</v>
      </c>
      <c r="B148" s="252" t="s">
        <v>616</v>
      </c>
      <c r="C148" s="252" t="s">
        <v>617</v>
      </c>
      <c r="D148" s="340">
        <v>46212</v>
      </c>
      <c r="E148" s="252" t="s">
        <v>618</v>
      </c>
      <c r="F148" s="243">
        <v>46205</v>
      </c>
      <c r="G148" s="252" t="s">
        <v>624</v>
      </c>
      <c r="H148" s="265" t="s">
        <v>833</v>
      </c>
      <c r="I148" s="346"/>
      <c r="J148" s="346"/>
      <c r="K148" s="342" cm="1">
        <f t="array" ref="K148">IF(OR($B148="",$F148=""),"",WORKDAY.INTL(IF(ISNUMBER($F148),$F148,FECHA.VALOR($F148)),IF(UPPER(TRIM($B148))="AUXILIAR DE COCINA",7,10),1,FESTIVOS!$D$3:$D$996))</f>
        <v>46216</v>
      </c>
      <c r="L148" s="343">
        <f t="shared" si="2"/>
        <v>46204</v>
      </c>
      <c r="M148" s="348" t="str">
        <f t="shared" si="3"/>
        <v>A TIEMPO</v>
      </c>
      <c r="N148" s="11"/>
      <c r="O148" s="13"/>
    </row>
    <row r="149" spans="1:15" ht="15.75" customHeight="1">
      <c r="A149" s="265" t="s">
        <v>834</v>
      </c>
      <c r="B149" s="252" t="s">
        <v>38</v>
      </c>
      <c r="C149" s="252" t="s">
        <v>617</v>
      </c>
      <c r="D149" s="340">
        <v>46209</v>
      </c>
      <c r="E149" s="252" t="s">
        <v>621</v>
      </c>
      <c r="F149" s="243">
        <v>46205</v>
      </c>
      <c r="G149" s="252" t="s">
        <v>671</v>
      </c>
      <c r="H149" s="265" t="s">
        <v>757</v>
      </c>
      <c r="I149" s="346"/>
      <c r="J149" s="346"/>
      <c r="K149" s="342" cm="1">
        <f t="array" ref="K149">IF(OR($B149="",$F149=""),"",WORKDAY.INTL(IF(ISNUMBER($F149),$F149,FECHA.VALOR($F149)),IF(UPPER(TRIM($B149))="AUXILIAR DE COCINA",7,10),1,FESTIVOS!$D$3:$D$996))</f>
        <v>46219</v>
      </c>
      <c r="L149" s="343">
        <f t="shared" si="2"/>
        <v>46204</v>
      </c>
      <c r="M149" s="348" t="str">
        <f t="shared" si="3"/>
        <v>A TIEMPO</v>
      </c>
      <c r="N149" s="11"/>
      <c r="O149" s="13"/>
    </row>
    <row r="150" spans="1:15" ht="15.75" customHeight="1">
      <c r="A150" s="265" t="s">
        <v>835</v>
      </c>
      <c r="B150" s="252" t="s">
        <v>616</v>
      </c>
      <c r="C150" s="252" t="s">
        <v>617</v>
      </c>
      <c r="D150" s="340">
        <v>46217</v>
      </c>
      <c r="E150" s="252" t="s">
        <v>621</v>
      </c>
      <c r="F150" s="243">
        <v>46209</v>
      </c>
      <c r="G150" s="252" t="s">
        <v>671</v>
      </c>
      <c r="H150" s="265" t="s">
        <v>737</v>
      </c>
      <c r="I150" s="346"/>
      <c r="J150" s="346"/>
      <c r="K150" s="342" cm="1">
        <f t="array" ref="K150">IF(OR($B150="",$F150=""),"",WORKDAY.INTL(IF(ISNUMBER($F150),$F150,FECHA.VALOR($F150)),IF(UPPER(TRIM($B150))="AUXILIAR DE COCINA",7,10),1,FESTIVOS!$D$3:$D$996))</f>
        <v>46218</v>
      </c>
      <c r="L150" s="343">
        <f t="shared" si="2"/>
        <v>46204</v>
      </c>
      <c r="M150" s="348" t="str">
        <f t="shared" si="3"/>
        <v>A TIEMPO</v>
      </c>
      <c r="N150" s="11"/>
      <c r="O150" s="13"/>
    </row>
    <row r="151" spans="1:15" ht="15.75" customHeight="1">
      <c r="A151" s="265" t="s">
        <v>836</v>
      </c>
      <c r="B151" s="252" t="s">
        <v>616</v>
      </c>
      <c r="C151" s="252" t="s">
        <v>617</v>
      </c>
      <c r="D151" s="340">
        <v>46217</v>
      </c>
      <c r="E151" s="252" t="s">
        <v>618</v>
      </c>
      <c r="F151" s="243">
        <v>46209</v>
      </c>
      <c r="G151" s="252" t="s">
        <v>68</v>
      </c>
      <c r="H151" s="265" t="s">
        <v>804</v>
      </c>
      <c r="I151" s="346"/>
      <c r="J151" s="346"/>
      <c r="K151" s="342" cm="1">
        <f t="array" ref="K151">IF(OR($B151="",$F151=""),"",WORKDAY.INTL(IF(ISNUMBER($F151),$F151,FECHA.VALOR($F151)),IF(UPPER(TRIM($B151))="AUXILIAR DE COCINA",7,10),1,FESTIVOS!$D$3:$D$996))</f>
        <v>46218</v>
      </c>
      <c r="L151" s="343">
        <f t="shared" si="2"/>
        <v>46204</v>
      </c>
      <c r="M151" s="348" t="str">
        <f t="shared" si="3"/>
        <v>A TIEMPO</v>
      </c>
      <c r="N151" s="11"/>
      <c r="O151" s="13"/>
    </row>
    <row r="152" spans="1:15" ht="15.75" customHeight="1">
      <c r="A152" s="265" t="s">
        <v>837</v>
      </c>
      <c r="B152" s="252" t="s">
        <v>616</v>
      </c>
      <c r="C152" s="252" t="s">
        <v>617</v>
      </c>
      <c r="D152" s="340">
        <v>46219</v>
      </c>
      <c r="E152" s="252" t="s">
        <v>618</v>
      </c>
      <c r="F152" s="243">
        <v>46211</v>
      </c>
      <c r="G152" s="252" t="s">
        <v>68</v>
      </c>
      <c r="H152" s="265" t="s">
        <v>818</v>
      </c>
      <c r="I152" s="346"/>
      <c r="J152" s="346"/>
      <c r="K152" s="342" cm="1">
        <f t="array" ref="K152">IF(OR($B152="",$F152=""),"",WORKDAY.INTL(IF(ISNUMBER($F152),$F152,FECHA.VALOR($F152)),IF(UPPER(TRIM($B152))="AUXILIAR DE COCINA",7,10),1,FESTIVOS!$D$3:$D$996))</f>
        <v>46220</v>
      </c>
      <c r="L152" s="343">
        <f t="shared" si="2"/>
        <v>46204</v>
      </c>
      <c r="M152" s="348" t="str">
        <f t="shared" si="3"/>
        <v>A TIEMPO</v>
      </c>
      <c r="N152" s="11"/>
      <c r="O152" s="13"/>
    </row>
    <row r="153" spans="1:15" ht="15.75" customHeight="1">
      <c r="A153" s="265" t="s">
        <v>838</v>
      </c>
      <c r="B153" s="252" t="s">
        <v>616</v>
      </c>
      <c r="C153" s="252" t="s">
        <v>617</v>
      </c>
      <c r="D153" s="340">
        <v>46219</v>
      </c>
      <c r="E153" s="252" t="s">
        <v>621</v>
      </c>
      <c r="F153" s="243">
        <v>46217</v>
      </c>
      <c r="G153" s="252" t="s">
        <v>503</v>
      </c>
      <c r="H153" s="265" t="s">
        <v>760</v>
      </c>
      <c r="I153" s="346"/>
      <c r="J153" s="346"/>
      <c r="K153" s="342" cm="1">
        <f t="array" ref="K153">IF(OR($B153="",$F153=""),"",WORKDAY.INTL(IF(ISNUMBER($F153),$F153,FECHA.VALOR($F153)),IF(UPPER(TRIM($B153))="AUXILIAR DE COCINA",7,10),1,FESTIVOS!$D$3:$D$996))</f>
        <v>46227</v>
      </c>
      <c r="L153" s="343">
        <f t="shared" si="2"/>
        <v>46204</v>
      </c>
      <c r="M153" s="348" t="str">
        <f t="shared" si="3"/>
        <v>A TIEMPO</v>
      </c>
      <c r="N153" s="11"/>
      <c r="O153" s="13"/>
    </row>
    <row r="154" spans="1:15" ht="15.75" customHeight="1">
      <c r="A154" s="265" t="s">
        <v>839</v>
      </c>
      <c r="B154" s="252" t="s">
        <v>38</v>
      </c>
      <c r="C154" s="252" t="s">
        <v>617</v>
      </c>
      <c r="D154" s="340">
        <v>46224</v>
      </c>
      <c r="E154" s="252" t="s">
        <v>621</v>
      </c>
      <c r="F154" s="243">
        <v>46217</v>
      </c>
      <c r="G154" s="252" t="s">
        <v>671</v>
      </c>
      <c r="H154" s="265" t="s">
        <v>813</v>
      </c>
      <c r="I154" s="346"/>
      <c r="J154" s="346"/>
      <c r="K154" s="342" cm="1">
        <f t="array" ref="K154">IF(OR($B154="",$F154=""),"",WORKDAY.INTL(IF(ISNUMBER($F154),$F154,FECHA.VALOR($F154)),IF(UPPER(TRIM($B154))="AUXILIAR DE COCINA",7,10),1,FESTIVOS!$D$3:$D$996))</f>
        <v>46232</v>
      </c>
      <c r="L154" s="343">
        <f t="shared" si="2"/>
        <v>46204</v>
      </c>
      <c r="M154" s="348" t="str">
        <f t="shared" si="3"/>
        <v>A TIEMPO</v>
      </c>
      <c r="N154" s="11"/>
      <c r="O154" s="13"/>
    </row>
    <row r="155" spans="1:15" ht="15.75" customHeight="1">
      <c r="A155" s="265" t="s">
        <v>840</v>
      </c>
      <c r="B155" s="252" t="s">
        <v>616</v>
      </c>
      <c r="C155" s="252" t="s">
        <v>617</v>
      </c>
      <c r="D155" s="340">
        <v>46224</v>
      </c>
      <c r="E155" s="252" t="s">
        <v>621</v>
      </c>
      <c r="F155" s="243">
        <v>46224</v>
      </c>
      <c r="G155" s="252" t="s">
        <v>68</v>
      </c>
      <c r="H155" s="265" t="s">
        <v>840</v>
      </c>
      <c r="I155" s="346"/>
      <c r="J155" s="346"/>
      <c r="K155" s="342" cm="1">
        <f t="array" ref="K155">IF(OR($B155="",$F155=""),"",WORKDAY.INTL(IF(ISNUMBER($F155),$F155,FECHA.VALOR($F155)),IF(UPPER(TRIM($B155))="AUXILIAR DE COCINA",7,10),1,FESTIVOS!$D$3:$D$996))</f>
        <v>46233</v>
      </c>
      <c r="L155" s="343">
        <f t="shared" si="2"/>
        <v>46235</v>
      </c>
      <c r="M155" s="348" t="str">
        <f t="shared" si="3"/>
        <v>A TIEMPO</v>
      </c>
      <c r="N155" s="11"/>
      <c r="O155" s="13"/>
    </row>
    <row r="156" spans="1:15" ht="15.75" customHeight="1">
      <c r="A156" s="265" t="s">
        <v>841</v>
      </c>
      <c r="B156" s="252" t="s">
        <v>38</v>
      </c>
      <c r="C156" s="252" t="s">
        <v>39</v>
      </c>
      <c r="D156" s="340">
        <v>46226</v>
      </c>
      <c r="E156" s="252" t="s">
        <v>618</v>
      </c>
      <c r="F156" s="243">
        <v>46224</v>
      </c>
      <c r="G156" s="252" t="s">
        <v>645</v>
      </c>
      <c r="H156" s="265" t="s">
        <v>842</v>
      </c>
      <c r="I156" s="346"/>
      <c r="J156" s="346"/>
      <c r="K156" s="342" cm="1">
        <f t="array" ref="K156">IF(OR($B156="",$F156=""),"",WORKDAY.INTL(IF(ISNUMBER($F156),$F156,FECHA.VALOR($F156)),IF(UPPER(TRIM($B156))="AUXILIAR DE COCINA",7,10),1,FESTIVOS!$D$3:$D$996))</f>
        <v>46238</v>
      </c>
      <c r="L156" s="343">
        <f t="shared" si="2"/>
        <v>46235</v>
      </c>
      <c r="M156" s="348" t="str">
        <f t="shared" si="3"/>
        <v>A TIEMPO</v>
      </c>
      <c r="N156" s="11"/>
      <c r="O156" s="13"/>
    </row>
    <row r="157" spans="1:15" ht="15.75" customHeight="1">
      <c r="A157" s="265" t="s">
        <v>843</v>
      </c>
      <c r="B157" s="252" t="s">
        <v>616</v>
      </c>
      <c r="C157" s="252" t="s">
        <v>39</v>
      </c>
      <c r="D157" s="340">
        <v>46226</v>
      </c>
      <c r="E157" s="252" t="s">
        <v>618</v>
      </c>
      <c r="F157" s="243">
        <v>46224</v>
      </c>
      <c r="G157" s="252" t="s">
        <v>68</v>
      </c>
      <c r="H157" s="265" t="s">
        <v>840</v>
      </c>
      <c r="I157" s="346"/>
      <c r="J157" s="346"/>
      <c r="K157" s="342" cm="1">
        <f t="array" ref="K157">IF(OR($B157="",$F157=""),"",WORKDAY.INTL(IF(ISNUMBER($F157),$F157,FECHA.VALOR($F157)),IF(UPPER(TRIM($B157))="AUXILIAR DE COCINA",7,10),1,FESTIVOS!$D$3:$D$996))</f>
        <v>46233</v>
      </c>
      <c r="L157" s="343">
        <f t="shared" si="2"/>
        <v>46235</v>
      </c>
      <c r="M157" s="348" t="str">
        <f t="shared" si="3"/>
        <v>A TIEMPO</v>
      </c>
      <c r="N157" s="11"/>
      <c r="O157" s="13"/>
    </row>
    <row r="158" spans="1:15" ht="15.75" customHeight="1">
      <c r="A158" s="265" t="s">
        <v>844</v>
      </c>
      <c r="B158" s="252" t="s">
        <v>38</v>
      </c>
      <c r="C158" s="252" t="s">
        <v>39</v>
      </c>
      <c r="D158" s="340">
        <v>46231</v>
      </c>
      <c r="E158" s="252" t="s">
        <v>621</v>
      </c>
      <c r="F158" s="243">
        <v>46227</v>
      </c>
      <c r="G158" s="252" t="s">
        <v>68</v>
      </c>
      <c r="H158" s="265" t="s">
        <v>817</v>
      </c>
      <c r="I158" s="346"/>
      <c r="J158" s="346"/>
      <c r="K158" s="342" cm="1">
        <f t="array" ref="K158">IF(OR($B158="",$F158=""),"",WORKDAY.INTL(IF(ISNUMBER($F158),$F158,FECHA.VALOR($F158)),IF(UPPER(TRIM($B158))="AUXILIAR DE COCINA",7,10),1,FESTIVOS!$D$3:$D$996))</f>
        <v>46244</v>
      </c>
      <c r="L158" s="343">
        <f t="shared" si="2"/>
        <v>46235</v>
      </c>
      <c r="M158" s="348" t="str">
        <f t="shared" si="3"/>
        <v>A TIEMPO</v>
      </c>
      <c r="N158" s="11"/>
      <c r="O158" s="13"/>
    </row>
    <row r="159" spans="1:15" ht="15.75" customHeight="1">
      <c r="A159" s="265" t="s">
        <v>845</v>
      </c>
      <c r="B159" s="252" t="s">
        <v>616</v>
      </c>
      <c r="C159" s="252" t="s">
        <v>39</v>
      </c>
      <c r="D159" s="340">
        <v>46230</v>
      </c>
      <c r="E159" s="252" t="s">
        <v>618</v>
      </c>
      <c r="F159" s="243">
        <v>46230</v>
      </c>
      <c r="G159" s="252" t="s">
        <v>68</v>
      </c>
      <c r="H159" s="265" t="s">
        <v>832</v>
      </c>
      <c r="I159" s="346"/>
      <c r="J159" s="346"/>
      <c r="K159" s="342" cm="1">
        <f t="array" ref="K159">IF(OR($B159="",$F159=""),"",WORKDAY.INTL(IF(ISNUMBER($F159),$F159,FECHA.VALOR($F159)),IF(UPPER(TRIM($B159))="AUXILIAR DE COCINA",7,10),1,FESTIVOS!$D$3:$D$996))</f>
        <v>46239</v>
      </c>
      <c r="L159" s="343">
        <f t="shared" si="2"/>
        <v>46235</v>
      </c>
      <c r="M159" s="348" t="str">
        <f t="shared" si="3"/>
        <v>A TIEMPO</v>
      </c>
      <c r="N159" s="11"/>
      <c r="O159" s="13"/>
    </row>
    <row r="160" spans="1:15" ht="15.75" customHeight="1">
      <c r="A160" s="265" t="s">
        <v>846</v>
      </c>
      <c r="B160" s="252" t="s">
        <v>38</v>
      </c>
      <c r="C160" s="252" t="s">
        <v>39</v>
      </c>
      <c r="D160" s="340">
        <v>46238</v>
      </c>
      <c r="E160" s="252" t="s">
        <v>618</v>
      </c>
      <c r="F160" s="243">
        <v>46231</v>
      </c>
      <c r="G160" s="252" t="s">
        <v>68</v>
      </c>
      <c r="H160" s="265" t="s">
        <v>847</v>
      </c>
      <c r="I160" s="346"/>
      <c r="J160" s="346"/>
      <c r="K160" s="342" cm="1">
        <f t="array" ref="K160">IF(OR($B160="",$F160=""),"",WORKDAY.INTL(IF(ISNUMBER($F160),$F160,FECHA.VALOR($F160)),IF(UPPER(TRIM($B160))="AUXILIAR DE COCINA",7,10),1,FESTIVOS!$D$3:$D$996))</f>
        <v>46246</v>
      </c>
      <c r="L160" s="343">
        <f t="shared" si="2"/>
        <v>46235</v>
      </c>
      <c r="M160" s="348" t="str">
        <f t="shared" si="3"/>
        <v>A TIEMPO</v>
      </c>
      <c r="N160" s="11"/>
      <c r="O160" s="13"/>
    </row>
    <row r="161" spans="1:15" ht="15.75" customHeight="1">
      <c r="A161" s="265" t="s">
        <v>790</v>
      </c>
      <c r="B161" s="252" t="s">
        <v>616</v>
      </c>
      <c r="C161" s="252" t="s">
        <v>39</v>
      </c>
      <c r="D161" s="340">
        <v>46238</v>
      </c>
      <c r="E161" s="252" t="s">
        <v>618</v>
      </c>
      <c r="F161" s="243">
        <v>46231</v>
      </c>
      <c r="G161" s="252" t="s">
        <v>68</v>
      </c>
      <c r="H161" s="265" t="s">
        <v>848</v>
      </c>
      <c r="I161" s="346"/>
      <c r="J161" s="346"/>
      <c r="K161" s="342" cm="1">
        <f t="array" ref="K161">IF(OR($B161="",$F161=""),"",WORKDAY.INTL(IF(ISNUMBER($F161),$F161,FECHA.VALOR($F161)),IF(UPPER(TRIM($B161))="AUXILIAR DE COCINA",7,10),1,FESTIVOS!$D$3:$D$996))</f>
        <v>46240</v>
      </c>
      <c r="L161" s="343">
        <f t="shared" si="2"/>
        <v>46235</v>
      </c>
      <c r="M161" s="348" t="str">
        <f t="shared" si="3"/>
        <v>A TIEMPO</v>
      </c>
      <c r="N161" s="11"/>
      <c r="O161" s="13"/>
    </row>
    <row r="162" spans="1:15" ht="15.75" customHeight="1">
      <c r="A162" s="265" t="s">
        <v>809</v>
      </c>
      <c r="B162" s="252" t="s">
        <v>616</v>
      </c>
      <c r="C162" s="252" t="s">
        <v>39</v>
      </c>
      <c r="D162" s="340">
        <v>46238</v>
      </c>
      <c r="E162" s="252" t="s">
        <v>618</v>
      </c>
      <c r="F162" s="243">
        <v>46233</v>
      </c>
      <c r="G162" s="252" t="s">
        <v>68</v>
      </c>
      <c r="H162" s="265" t="s">
        <v>830</v>
      </c>
      <c r="I162" s="346"/>
      <c r="J162" s="346"/>
      <c r="K162" s="342" cm="1">
        <f t="array" ref="K162">IF(OR($B162="",$F162=""),"",WORKDAY.INTL(IF(ISNUMBER($F162),$F162,FECHA.VALOR($F162)),IF(UPPER(TRIM($B162))="AUXILIAR DE COCINA",7,10),1,FESTIVOS!$D$3:$D$996))</f>
        <v>46245</v>
      </c>
      <c r="L162" s="343">
        <f t="shared" si="2"/>
        <v>46235</v>
      </c>
      <c r="M162" s="348" t="str">
        <f t="shared" si="3"/>
        <v>A TIEMPO</v>
      </c>
      <c r="N162" s="11"/>
      <c r="O162" s="13"/>
    </row>
    <row r="163" spans="1:15" ht="15.75" customHeight="1">
      <c r="A163" s="265" t="s">
        <v>849</v>
      </c>
      <c r="B163" s="252" t="s">
        <v>38</v>
      </c>
      <c r="C163" s="252" t="s">
        <v>39</v>
      </c>
      <c r="D163" s="340">
        <v>46238</v>
      </c>
      <c r="E163" s="354" t="s">
        <v>621</v>
      </c>
      <c r="F163" s="243">
        <v>46237</v>
      </c>
      <c r="G163" s="252" t="s">
        <v>68</v>
      </c>
      <c r="H163" s="265" t="s">
        <v>761</v>
      </c>
      <c r="I163" s="346"/>
      <c r="J163" s="346"/>
      <c r="K163" s="342" cm="1">
        <f t="array" ref="K163">IF(OR($B163="",$F163=""),"",WORKDAY.INTL(IF(ISNUMBER($F163),$F163,FECHA.VALOR($F163)),IF(UPPER(TRIM($B163))="AUXILIAR DE COCINA",7,10),1,FESTIVOS!$D$3:$D$996))</f>
        <v>46253</v>
      </c>
      <c r="L163" s="343">
        <f t="shared" si="2"/>
        <v>46235</v>
      </c>
      <c r="M163" s="348" t="str">
        <f t="shared" si="3"/>
        <v>A TIEMPO</v>
      </c>
      <c r="N163" s="11"/>
      <c r="O163" s="13"/>
    </row>
    <row r="164" spans="1:15" ht="15.75" customHeight="1">
      <c r="A164" s="265"/>
      <c r="B164" s="252" t="s">
        <v>616</v>
      </c>
      <c r="C164" s="353" t="s">
        <v>850</v>
      </c>
      <c r="D164" s="340"/>
      <c r="E164" s="252" t="s">
        <v>621</v>
      </c>
      <c r="F164" s="243">
        <v>46237</v>
      </c>
      <c r="G164" s="252" t="s">
        <v>294</v>
      </c>
      <c r="H164" s="265" t="s">
        <v>776</v>
      </c>
      <c r="I164" s="346"/>
      <c r="J164" s="346"/>
      <c r="K164" s="342" cm="1">
        <f t="array" ref="K164">IF(OR($B164="",$F164=""),"",WORKDAY.INTL(IF(ISNUMBER($F164),$F164,FECHA.VALOR($F164)),IF(UPPER(TRIM($B164))="AUXILIAR DE COCINA",7,10),1,FESTIVOS!$D$3:$D$996))</f>
        <v>46247</v>
      </c>
      <c r="L164" s="343">
        <f t="shared" si="2"/>
        <v>46235</v>
      </c>
      <c r="M164" s="348" t="str">
        <f t="shared" si="3"/>
        <v>PENDIENTE</v>
      </c>
      <c r="N164" s="11"/>
      <c r="O164" s="13"/>
    </row>
    <row r="165" spans="1:15" ht="15.75" customHeight="1">
      <c r="A165" s="265"/>
      <c r="B165" s="252"/>
      <c r="C165" s="252"/>
      <c r="D165" s="340"/>
      <c r="E165" s="252"/>
      <c r="F165" s="243"/>
      <c r="G165" s="252"/>
      <c r="H165" s="265"/>
      <c r="I165" s="346"/>
      <c r="J165" s="346"/>
      <c r="K165" s="342" t="str" cm="1">
        <f t="array" ref="K165">IF(OR($B165="",$F165=""),"",WORKDAY.INTL(IF(ISNUMBER($F165),$F165,FECHA.VALOR($F165)),IF(UPPER(TRIM($B165))="AUXILIAR DE COCINA",7,10),1,FESTIVOS!$D$3:$D$996))</f>
        <v/>
      </c>
      <c r="L165" s="343" t="str">
        <f t="shared" si="2"/>
        <v/>
      </c>
      <c r="M165" s="348" t="str">
        <f t="shared" si="3"/>
        <v/>
      </c>
      <c r="N165" s="11"/>
      <c r="O165" s="13"/>
    </row>
    <row r="166" spans="1:15" ht="15.75" customHeight="1">
      <c r="A166" s="265"/>
      <c r="B166" s="252"/>
      <c r="C166" s="252"/>
      <c r="D166" s="340"/>
      <c r="E166" s="252"/>
      <c r="F166" s="243"/>
      <c r="G166" s="252"/>
      <c r="H166" s="265"/>
      <c r="I166" s="346"/>
      <c r="J166" s="346"/>
      <c r="K166" s="342" t="str" cm="1">
        <f t="array" ref="K166">IF(OR($B166="",$F166=""),"",WORKDAY.INTL(IF(ISNUMBER($F166),$F166,FECHA.VALOR($F166)),IF(UPPER(TRIM($B166))="AUXILIAR DE COCINA",7,10),1,FESTIVOS!$D$3:$D$996))</f>
        <v/>
      </c>
      <c r="L166" s="343" t="str">
        <f t="shared" si="2"/>
        <v/>
      </c>
      <c r="M166" s="348" t="str">
        <f t="shared" si="3"/>
        <v/>
      </c>
      <c r="N166" s="11"/>
      <c r="O166" s="13"/>
    </row>
    <row r="167" spans="1:15" ht="15.75" customHeight="1">
      <c r="A167" s="265"/>
      <c r="B167" s="252"/>
      <c r="C167" s="252"/>
      <c r="D167" s="340"/>
      <c r="E167" s="252"/>
      <c r="F167" s="243"/>
      <c r="G167" s="252"/>
      <c r="H167" s="265"/>
      <c r="I167" s="346"/>
      <c r="J167" s="346"/>
      <c r="K167" s="342" t="str" cm="1">
        <f t="array" ref="K167">IF(OR($B167="",$F167=""),"",WORKDAY.INTL(IF(ISNUMBER($F167),$F167,FECHA.VALOR($F167)),IF(UPPER(TRIM($B167))="AUXILIAR DE COCINA",7,10),1,FESTIVOS!$D$3:$D$996))</f>
        <v/>
      </c>
      <c r="L167" s="343" t="str">
        <f t="shared" si="2"/>
        <v/>
      </c>
      <c r="M167" s="348" t="str">
        <f t="shared" si="3"/>
        <v/>
      </c>
      <c r="N167" s="11"/>
      <c r="O167" s="13"/>
    </row>
    <row r="168" spans="1:15" ht="15.75" customHeight="1">
      <c r="A168" s="265"/>
      <c r="B168" s="252"/>
      <c r="C168" s="252"/>
      <c r="D168" s="340"/>
      <c r="E168" s="252"/>
      <c r="F168" s="243"/>
      <c r="G168" s="252"/>
      <c r="H168" s="265"/>
      <c r="I168" s="346"/>
      <c r="J168" s="346"/>
      <c r="K168" s="342" t="str" cm="1">
        <f t="array" ref="K168">IF(OR($B168="",$F168=""),"",WORKDAY.INTL(IF(ISNUMBER($F168),$F168,FECHA.VALOR($F168)),IF(UPPER(TRIM($B168))="AUXILIAR DE COCINA",7,10),1,FESTIVOS!$D$3:$D$996))</f>
        <v/>
      </c>
      <c r="L168" s="343" t="str">
        <f t="shared" si="2"/>
        <v/>
      </c>
      <c r="M168" s="348" t="str">
        <f t="shared" si="3"/>
        <v/>
      </c>
      <c r="N168" s="11"/>
      <c r="O168" s="13"/>
    </row>
    <row r="169" spans="1:15" ht="15.75" customHeight="1">
      <c r="A169" s="265"/>
      <c r="B169" s="252"/>
      <c r="C169" s="252"/>
      <c r="D169" s="340"/>
      <c r="E169" s="252"/>
      <c r="F169" s="243"/>
      <c r="G169" s="252"/>
      <c r="H169" s="265"/>
      <c r="I169" s="346"/>
      <c r="J169" s="346"/>
      <c r="K169" s="342" t="str" cm="1">
        <f t="array" ref="K169">IF(OR($B169="",$F169=""),"",WORKDAY.INTL(IF(ISNUMBER($F169),$F169,FECHA.VALOR($F169)),IF(UPPER(TRIM($B169))="AUXILIAR DE COCINA",7,10),1,FESTIVOS!$D$3:$D$996))</f>
        <v/>
      </c>
      <c r="L169" s="343" t="str">
        <f t="shared" si="2"/>
        <v/>
      </c>
      <c r="M169" s="348" t="str">
        <f t="shared" si="3"/>
        <v/>
      </c>
      <c r="N169" s="11"/>
      <c r="O169" s="13"/>
    </row>
    <row r="170" spans="1:15" ht="15.75" customHeight="1">
      <c r="A170" s="265"/>
      <c r="B170" s="252"/>
      <c r="C170" s="252"/>
      <c r="D170" s="340"/>
      <c r="E170" s="252"/>
      <c r="F170" s="243"/>
      <c r="G170" s="252"/>
      <c r="H170" s="265"/>
      <c r="I170" s="346"/>
      <c r="J170" s="346"/>
      <c r="K170" s="342" t="str" cm="1">
        <f t="array" ref="K170">IF(OR($B170="",$F170=""),"",WORKDAY.INTL(IF(ISNUMBER($F170),$F170,FECHA.VALOR($F170)),IF(UPPER(TRIM($B170))="AUXILIAR DE COCINA",7,10),1,FESTIVOS!$D$3:$D$996))</f>
        <v/>
      </c>
      <c r="L170" s="343" t="str">
        <f t="shared" si="2"/>
        <v/>
      </c>
      <c r="M170" s="348" t="str">
        <f t="shared" si="3"/>
        <v/>
      </c>
      <c r="N170" s="11"/>
      <c r="O170" s="13"/>
    </row>
    <row r="171" spans="1:15" ht="15.75" customHeight="1">
      <c r="A171" s="265"/>
      <c r="B171" s="252"/>
      <c r="C171" s="252"/>
      <c r="D171" s="340"/>
      <c r="E171" s="252"/>
      <c r="F171" s="243"/>
      <c r="G171" s="252"/>
      <c r="H171" s="265"/>
      <c r="I171" s="346"/>
      <c r="J171" s="346"/>
      <c r="K171" s="342" t="str" cm="1">
        <f t="array" ref="K171">IF(OR($B171="",$F171=""),"",WORKDAY.INTL(IF(ISNUMBER($F171),$F171,FECHA.VALOR($F171)),IF(UPPER(TRIM($B171))="AUXILIAR DE COCINA",7,10),1,FESTIVOS!$D$3:$D$996))</f>
        <v/>
      </c>
      <c r="L171" s="343" t="str">
        <f t="shared" si="2"/>
        <v/>
      </c>
      <c r="M171" s="348" t="str">
        <f t="shared" si="3"/>
        <v/>
      </c>
      <c r="N171" s="11"/>
      <c r="O171" s="13"/>
    </row>
    <row r="172" spans="1:15" ht="15.75" customHeight="1">
      <c r="A172" s="265"/>
      <c r="B172" s="252"/>
      <c r="C172" s="252"/>
      <c r="D172" s="340"/>
      <c r="E172" s="252"/>
      <c r="F172" s="243"/>
      <c r="G172" s="252"/>
      <c r="H172" s="265"/>
      <c r="I172" s="346"/>
      <c r="J172" s="346"/>
      <c r="K172" s="342" t="str" cm="1">
        <f t="array" ref="K172">IF(OR($B172="",$F172=""),"",WORKDAY.INTL(IF(ISNUMBER($F172),$F172,FECHA.VALOR($F172)),IF(UPPER(TRIM($B172))="AUXILIAR DE COCINA",7,10),1,FESTIVOS!$D$3:$D$996))</f>
        <v/>
      </c>
      <c r="L172" s="343" t="str">
        <f t="shared" si="2"/>
        <v/>
      </c>
      <c r="M172" s="348" t="str">
        <f t="shared" si="3"/>
        <v/>
      </c>
      <c r="N172" s="11"/>
      <c r="O172" s="13"/>
    </row>
    <row r="173" spans="1:15" ht="15.75" customHeight="1">
      <c r="A173" s="23"/>
      <c r="B173" s="23"/>
      <c r="C173" s="22"/>
      <c r="D173" s="20"/>
      <c r="E173" s="22"/>
      <c r="F173" s="23"/>
      <c r="G173" s="22"/>
      <c r="H173" s="22"/>
      <c r="I173" s="22"/>
      <c r="J173" s="22"/>
      <c r="K173" s="21"/>
      <c r="L173" s="22"/>
      <c r="M173" s="22"/>
    </row>
    <row r="174" spans="1:15" ht="15.75" customHeight="1">
      <c r="A174" s="23"/>
      <c r="B174" s="23"/>
      <c r="C174" s="22"/>
      <c r="D174" s="20"/>
      <c r="E174" s="22"/>
      <c r="F174" s="23"/>
      <c r="G174" s="22"/>
      <c r="H174" s="22"/>
      <c r="I174" s="22"/>
      <c r="J174" s="22"/>
      <c r="K174" s="21"/>
      <c r="L174" s="22"/>
      <c r="M174" s="22"/>
    </row>
    <row r="175" spans="1:15" ht="15.75" customHeight="1">
      <c r="A175" s="23"/>
      <c r="B175" s="23"/>
      <c r="C175" s="22"/>
      <c r="D175" s="20"/>
      <c r="E175" s="22"/>
      <c r="F175" s="23"/>
      <c r="G175" s="22"/>
      <c r="H175" s="22"/>
      <c r="I175" s="22"/>
      <c r="J175" s="22"/>
      <c r="K175" s="21"/>
      <c r="L175" s="22"/>
      <c r="M175" s="22"/>
    </row>
    <row r="176" spans="1:15" ht="15.75" customHeight="1">
      <c r="A176" s="23"/>
      <c r="B176" s="23"/>
      <c r="C176" s="22"/>
      <c r="D176" s="20"/>
      <c r="E176" s="22"/>
      <c r="F176" s="23"/>
      <c r="G176" s="22"/>
      <c r="H176" s="22"/>
      <c r="I176" s="22"/>
      <c r="J176" s="22"/>
      <c r="K176" s="21"/>
      <c r="L176" s="22"/>
      <c r="M176" s="22"/>
    </row>
    <row r="177" spans="1:13" ht="15.75" customHeight="1">
      <c r="A177" s="23"/>
      <c r="B177" s="23"/>
      <c r="C177" s="22"/>
      <c r="D177" s="20"/>
      <c r="E177" s="22"/>
      <c r="F177" s="23"/>
      <c r="G177" s="22"/>
      <c r="H177" s="22"/>
      <c r="I177" s="22"/>
      <c r="J177" s="22"/>
      <c r="K177" s="21"/>
      <c r="L177" s="22"/>
      <c r="M177" s="22"/>
    </row>
    <row r="178" spans="1:13" ht="15.75" customHeight="1">
      <c r="A178" s="23"/>
      <c r="B178" s="23"/>
      <c r="C178" s="22"/>
      <c r="D178" s="20"/>
      <c r="E178" s="22"/>
      <c r="F178" s="23"/>
      <c r="G178" s="22"/>
      <c r="H178" s="22"/>
      <c r="I178" s="22"/>
      <c r="J178" s="22"/>
      <c r="K178" s="21"/>
      <c r="L178" s="22"/>
      <c r="M178" s="22"/>
    </row>
    <row r="179" spans="1:13" ht="15.75" customHeight="1">
      <c r="A179" s="23"/>
      <c r="B179" s="23"/>
      <c r="C179" s="22"/>
      <c r="D179" s="20"/>
      <c r="E179" s="22"/>
      <c r="F179" s="23"/>
      <c r="G179" s="22"/>
      <c r="H179" s="22"/>
      <c r="I179" s="22"/>
      <c r="J179" s="22"/>
      <c r="K179" s="21"/>
      <c r="L179" s="22"/>
      <c r="M179" s="22"/>
    </row>
    <row r="180" spans="1:13" ht="15.75" customHeight="1">
      <c r="A180" s="23"/>
      <c r="B180" s="23"/>
      <c r="C180" s="22"/>
      <c r="D180" s="20"/>
      <c r="E180" s="22"/>
      <c r="F180" s="23"/>
      <c r="G180" s="22"/>
      <c r="H180" s="22"/>
      <c r="I180" s="22"/>
      <c r="J180" s="22"/>
      <c r="K180" s="21"/>
      <c r="L180" s="22"/>
      <c r="M180" s="22"/>
    </row>
    <row r="181" spans="1:13" ht="15.75" customHeight="1">
      <c r="A181" s="23"/>
      <c r="B181" s="23"/>
      <c r="C181" s="22"/>
      <c r="D181" s="20"/>
      <c r="E181" s="22"/>
      <c r="F181" s="23"/>
      <c r="G181" s="22"/>
      <c r="H181" s="22"/>
      <c r="I181" s="22"/>
      <c r="J181" s="22"/>
      <c r="K181" s="21"/>
      <c r="L181" s="22"/>
      <c r="M181" s="22"/>
    </row>
    <row r="182" spans="1:13" ht="15.75" customHeight="1">
      <c r="A182" s="23"/>
      <c r="B182" s="23"/>
      <c r="C182" s="22"/>
      <c r="D182" s="20"/>
      <c r="E182" s="22"/>
      <c r="F182" s="23"/>
      <c r="G182" s="22"/>
      <c r="H182" s="22"/>
      <c r="I182" s="22"/>
      <c r="J182" s="22"/>
      <c r="K182" s="21"/>
      <c r="L182" s="22"/>
      <c r="M182" s="22"/>
    </row>
    <row r="183" spans="1:13" ht="15.75" customHeight="1">
      <c r="A183" s="23"/>
      <c r="B183" s="23"/>
      <c r="C183" s="22"/>
      <c r="D183" s="20"/>
      <c r="E183" s="22"/>
      <c r="F183" s="23"/>
      <c r="G183" s="22"/>
      <c r="H183" s="22"/>
      <c r="I183" s="22"/>
      <c r="J183" s="22"/>
      <c r="K183" s="21"/>
      <c r="L183" s="22"/>
      <c r="M183" s="22"/>
    </row>
    <row r="184" spans="1:13" ht="15.75" customHeight="1">
      <c r="A184" s="23"/>
      <c r="B184" s="23"/>
      <c r="C184" s="22"/>
      <c r="D184" s="20"/>
      <c r="E184" s="22"/>
      <c r="F184" s="23"/>
      <c r="G184" s="22"/>
      <c r="H184" s="22"/>
      <c r="I184" s="22"/>
      <c r="J184" s="22"/>
      <c r="K184" s="21"/>
      <c r="L184" s="22"/>
      <c r="M184" s="22"/>
    </row>
    <row r="185" spans="1:13" ht="15.75" customHeight="1">
      <c r="A185" s="23"/>
      <c r="B185" s="23"/>
      <c r="C185" s="22"/>
      <c r="D185" s="20"/>
      <c r="E185" s="22"/>
      <c r="F185" s="23"/>
      <c r="G185" s="22"/>
      <c r="H185" s="22"/>
      <c r="I185" s="22"/>
      <c r="J185" s="22"/>
      <c r="K185" s="21"/>
      <c r="L185" s="22"/>
      <c r="M185" s="22"/>
    </row>
    <row r="186" spans="1:13" ht="15.75" customHeight="1">
      <c r="A186" s="23"/>
      <c r="B186" s="23"/>
      <c r="C186" s="22"/>
      <c r="D186" s="20"/>
      <c r="E186" s="22"/>
      <c r="F186" s="23"/>
      <c r="G186" s="22"/>
      <c r="H186" s="22"/>
      <c r="I186" s="22"/>
      <c r="J186" s="22"/>
      <c r="K186" s="21"/>
      <c r="L186" s="22"/>
      <c r="M186" s="22"/>
    </row>
    <row r="187" spans="1:13" ht="15.75" customHeight="1">
      <c r="A187" s="23"/>
      <c r="B187" s="23"/>
      <c r="C187" s="23"/>
      <c r="D187" s="24"/>
      <c r="E187" s="23"/>
      <c r="F187" s="23"/>
      <c r="G187" s="23"/>
      <c r="H187" s="23"/>
      <c r="I187" s="23"/>
      <c r="J187" s="23"/>
      <c r="K187" s="21"/>
      <c r="L187" s="23"/>
      <c r="M187" s="23"/>
    </row>
    <row r="188" spans="1:13" ht="15.75" customHeight="1">
      <c r="A188" s="23"/>
      <c r="B188" s="23"/>
      <c r="C188" s="23"/>
      <c r="D188" s="24"/>
      <c r="E188" s="23"/>
      <c r="F188" s="23"/>
      <c r="G188" s="23"/>
      <c r="H188" s="23"/>
      <c r="I188" s="23"/>
      <c r="J188" s="23"/>
      <c r="K188" s="21"/>
      <c r="L188" s="23"/>
      <c r="M188" s="23"/>
    </row>
    <row r="189" spans="1:13" ht="15.75" customHeight="1">
      <c r="A189" s="23"/>
      <c r="B189" s="23"/>
      <c r="C189" s="23"/>
      <c r="D189" s="24"/>
      <c r="E189" s="23"/>
      <c r="F189" s="23"/>
      <c r="G189" s="23"/>
      <c r="H189" s="23"/>
      <c r="I189" s="23"/>
      <c r="J189" s="23"/>
      <c r="K189" s="21"/>
      <c r="L189" s="23"/>
      <c r="M189" s="23"/>
    </row>
    <row r="190" spans="1:13" ht="15.75" customHeight="1">
      <c r="A190" s="23"/>
      <c r="B190" s="23"/>
      <c r="C190" s="23"/>
      <c r="D190" s="24"/>
      <c r="E190" s="23"/>
      <c r="F190" s="23"/>
      <c r="G190" s="23"/>
      <c r="H190" s="23"/>
      <c r="I190" s="23"/>
      <c r="J190" s="23"/>
      <c r="K190" s="21"/>
      <c r="L190" s="23"/>
      <c r="M190" s="23"/>
    </row>
    <row r="191" spans="1:13" ht="15.75" customHeight="1">
      <c r="A191" s="23"/>
      <c r="B191" s="23"/>
      <c r="C191" s="23"/>
      <c r="D191" s="24"/>
      <c r="E191" s="23"/>
      <c r="F191" s="23"/>
      <c r="G191" s="23"/>
      <c r="H191" s="23"/>
      <c r="I191" s="23"/>
      <c r="J191" s="23"/>
      <c r="K191" s="21"/>
      <c r="L191" s="23"/>
      <c r="M191" s="23"/>
    </row>
    <row r="192" spans="1:13" ht="15.75" customHeight="1">
      <c r="A192" s="23"/>
      <c r="B192" s="23"/>
      <c r="C192" s="23"/>
      <c r="D192" s="24"/>
      <c r="E192" s="23"/>
      <c r="F192" s="23"/>
      <c r="G192" s="23"/>
      <c r="H192" s="23"/>
      <c r="I192" s="23"/>
      <c r="J192" s="23"/>
      <c r="K192" s="21"/>
      <c r="L192" s="23"/>
      <c r="M192" s="23"/>
    </row>
    <row r="193" spans="1:13" ht="15.75" customHeight="1">
      <c r="A193" s="23"/>
      <c r="B193" s="23"/>
      <c r="C193" s="23"/>
      <c r="D193" s="24"/>
      <c r="E193" s="23"/>
      <c r="F193" s="23"/>
      <c r="G193" s="23"/>
      <c r="H193" s="23"/>
      <c r="I193" s="23"/>
      <c r="J193" s="23"/>
      <c r="K193" s="21"/>
      <c r="L193" s="23"/>
      <c r="M193" s="23"/>
    </row>
    <row r="194" spans="1:13" ht="15.75" customHeight="1">
      <c r="A194" s="23"/>
      <c r="B194" s="23"/>
      <c r="C194" s="23"/>
      <c r="D194" s="24"/>
      <c r="E194" s="23"/>
      <c r="F194" s="23"/>
      <c r="G194" s="23"/>
      <c r="H194" s="23"/>
      <c r="I194" s="23"/>
      <c r="J194" s="23"/>
      <c r="K194" s="21"/>
      <c r="L194" s="23"/>
      <c r="M194" s="23"/>
    </row>
    <row r="195" spans="1:13" ht="15.75" customHeight="1">
      <c r="A195" s="23"/>
      <c r="B195" s="23"/>
      <c r="C195" s="23"/>
      <c r="D195" s="24"/>
      <c r="E195" s="23"/>
      <c r="F195" s="23"/>
      <c r="G195" s="23"/>
      <c r="H195" s="23"/>
      <c r="I195" s="23"/>
      <c r="J195" s="23"/>
      <c r="K195" s="21"/>
      <c r="L195" s="23"/>
      <c r="M195" s="23"/>
    </row>
    <row r="196" spans="1:13" ht="15.75" customHeight="1">
      <c r="A196" s="23"/>
      <c r="B196" s="23"/>
      <c r="C196" s="23"/>
      <c r="D196" s="24"/>
      <c r="E196" s="23"/>
      <c r="F196" s="23"/>
      <c r="G196" s="23"/>
      <c r="H196" s="23"/>
      <c r="I196" s="23"/>
      <c r="J196" s="23"/>
      <c r="K196" s="21"/>
      <c r="L196" s="23"/>
      <c r="M196" s="23"/>
    </row>
    <row r="197" spans="1:13" ht="15.75" customHeight="1">
      <c r="A197" s="23"/>
      <c r="B197" s="23"/>
      <c r="C197" s="23"/>
      <c r="D197" s="24"/>
      <c r="E197" s="23"/>
      <c r="F197" s="23"/>
      <c r="G197" s="23"/>
      <c r="H197" s="23"/>
      <c r="I197" s="23"/>
      <c r="J197" s="23"/>
      <c r="K197" s="21"/>
      <c r="L197" s="23"/>
      <c r="M197" s="23"/>
    </row>
    <row r="198" spans="1:13" ht="15.75" customHeight="1">
      <c r="A198" s="23"/>
      <c r="B198" s="23"/>
      <c r="C198" s="23"/>
      <c r="D198" s="24"/>
      <c r="E198" s="23"/>
      <c r="F198" s="23"/>
      <c r="G198" s="23"/>
      <c r="H198" s="23"/>
      <c r="I198" s="23"/>
      <c r="J198" s="23"/>
      <c r="K198" s="21"/>
      <c r="L198" s="23"/>
      <c r="M198" s="23"/>
    </row>
    <row r="199" spans="1:13" ht="15.75" customHeight="1">
      <c r="A199" s="23"/>
      <c r="B199" s="23"/>
      <c r="C199" s="23"/>
      <c r="D199" s="24"/>
      <c r="E199" s="23"/>
      <c r="F199" s="23"/>
      <c r="G199" s="23"/>
      <c r="H199" s="23"/>
      <c r="I199" s="23"/>
      <c r="J199" s="23"/>
      <c r="K199" s="21"/>
      <c r="L199" s="23"/>
      <c r="M199" s="23"/>
    </row>
    <row r="200" spans="1:13" ht="15.75" customHeight="1">
      <c r="A200" s="23"/>
      <c r="B200" s="23"/>
      <c r="C200" s="23"/>
      <c r="D200" s="24"/>
      <c r="E200" s="23"/>
      <c r="F200" s="23"/>
      <c r="G200" s="23"/>
      <c r="H200" s="23"/>
      <c r="I200" s="23"/>
      <c r="J200" s="23"/>
      <c r="K200" s="21"/>
      <c r="L200" s="23"/>
      <c r="M200" s="23"/>
    </row>
    <row r="201" spans="1:13" ht="15.75" customHeight="1">
      <c r="A201" s="23"/>
      <c r="B201" s="23"/>
      <c r="C201" s="23"/>
      <c r="D201" s="24"/>
      <c r="E201" s="23"/>
      <c r="F201" s="23"/>
      <c r="G201" s="23"/>
      <c r="H201" s="23"/>
      <c r="I201" s="23"/>
      <c r="J201" s="23"/>
      <c r="K201" s="21"/>
      <c r="L201" s="23"/>
      <c r="M201" s="23"/>
    </row>
    <row r="202" spans="1:13" ht="15.75" customHeight="1">
      <c r="A202" s="23"/>
      <c r="B202" s="23"/>
      <c r="C202" s="23"/>
      <c r="D202" s="24"/>
      <c r="E202" s="23"/>
      <c r="F202" s="23"/>
      <c r="G202" s="23"/>
      <c r="H202" s="23"/>
      <c r="I202" s="23"/>
      <c r="J202" s="23"/>
      <c r="K202" s="21"/>
      <c r="L202" s="23"/>
      <c r="M202" s="23"/>
    </row>
    <row r="203" spans="1:13" ht="15.75" customHeight="1">
      <c r="A203" s="23"/>
      <c r="B203" s="23"/>
      <c r="C203" s="23"/>
      <c r="D203" s="24"/>
      <c r="E203" s="23"/>
      <c r="F203" s="23"/>
      <c r="G203" s="23"/>
      <c r="H203" s="23"/>
      <c r="I203" s="23"/>
      <c r="J203" s="23"/>
      <c r="K203" s="21"/>
      <c r="L203" s="23"/>
      <c r="M203" s="23"/>
    </row>
    <row r="204" spans="1:13" ht="15.75" customHeight="1">
      <c r="A204" s="23"/>
      <c r="B204" s="23"/>
      <c r="C204" s="23"/>
      <c r="D204" s="24"/>
      <c r="E204" s="23"/>
      <c r="F204" s="23"/>
      <c r="G204" s="23"/>
      <c r="H204" s="23"/>
      <c r="I204" s="23"/>
      <c r="J204" s="23"/>
      <c r="K204" s="21"/>
      <c r="L204" s="23"/>
      <c r="M204" s="23"/>
    </row>
    <row r="205" spans="1:13" ht="15.75" customHeight="1">
      <c r="A205" s="23"/>
      <c r="B205" s="23"/>
      <c r="C205" s="23"/>
      <c r="D205" s="24"/>
      <c r="E205" s="23"/>
      <c r="F205" s="23"/>
      <c r="G205" s="23"/>
      <c r="H205" s="23"/>
      <c r="I205" s="23"/>
      <c r="J205" s="23"/>
      <c r="K205" s="21"/>
      <c r="L205" s="23"/>
      <c r="M205" s="23"/>
    </row>
    <row r="206" spans="1:13" ht="15.75" customHeight="1">
      <c r="A206" s="23"/>
      <c r="B206" s="23"/>
      <c r="C206" s="23"/>
      <c r="D206" s="24"/>
      <c r="E206" s="23"/>
      <c r="F206" s="23"/>
      <c r="G206" s="23"/>
      <c r="H206" s="23"/>
      <c r="I206" s="23"/>
      <c r="J206" s="23"/>
      <c r="K206" s="21"/>
      <c r="L206" s="23"/>
      <c r="M206" s="23"/>
    </row>
    <row r="207" spans="1:13" ht="15.75" customHeight="1">
      <c r="A207" s="23"/>
      <c r="B207" s="23"/>
      <c r="C207" s="23"/>
      <c r="D207" s="24"/>
      <c r="E207" s="23"/>
      <c r="F207" s="23"/>
      <c r="G207" s="23"/>
      <c r="H207" s="23"/>
      <c r="I207" s="23"/>
      <c r="J207" s="23"/>
      <c r="K207" s="21"/>
      <c r="L207" s="23"/>
      <c r="M207" s="23"/>
    </row>
    <row r="208" spans="1:13" ht="15.75" customHeight="1">
      <c r="A208" s="23"/>
      <c r="B208" s="23"/>
      <c r="C208" s="23"/>
      <c r="D208" s="24"/>
      <c r="E208" s="23"/>
      <c r="F208" s="23"/>
      <c r="G208" s="23"/>
      <c r="H208" s="23"/>
      <c r="I208" s="23"/>
      <c r="J208" s="23"/>
      <c r="K208" s="21"/>
      <c r="L208" s="23"/>
      <c r="M208" s="23"/>
    </row>
    <row r="209" spans="1:13" ht="15.75" customHeight="1">
      <c r="A209" s="23"/>
      <c r="B209" s="23"/>
      <c r="C209" s="23"/>
      <c r="D209" s="24"/>
      <c r="E209" s="23"/>
      <c r="F209" s="23"/>
      <c r="G209" s="23"/>
      <c r="H209" s="23"/>
      <c r="I209" s="23"/>
      <c r="J209" s="23"/>
      <c r="K209" s="21"/>
      <c r="L209" s="23"/>
      <c r="M209" s="23"/>
    </row>
    <row r="210" spans="1:13" ht="15.75" customHeight="1">
      <c r="A210" s="23"/>
      <c r="B210" s="23"/>
      <c r="C210" s="23"/>
      <c r="D210" s="24"/>
      <c r="E210" s="23"/>
      <c r="F210" s="23"/>
      <c r="G210" s="23"/>
      <c r="H210" s="23"/>
      <c r="I210" s="23"/>
      <c r="J210" s="23"/>
      <c r="K210" s="21"/>
      <c r="L210" s="23"/>
      <c r="M210" s="23"/>
    </row>
    <row r="211" spans="1:13" ht="15.75" customHeight="1">
      <c r="A211" s="23"/>
      <c r="B211" s="23"/>
      <c r="C211" s="23"/>
      <c r="D211" s="24"/>
      <c r="E211" s="23"/>
      <c r="F211" s="23"/>
      <c r="G211" s="23"/>
      <c r="H211" s="23"/>
      <c r="I211" s="23"/>
      <c r="J211" s="23"/>
      <c r="K211" s="21"/>
      <c r="L211" s="23"/>
      <c r="M211" s="23"/>
    </row>
    <row r="212" spans="1:13" ht="15.75" customHeight="1">
      <c r="A212" s="23"/>
      <c r="B212" s="23"/>
      <c r="C212" s="23"/>
      <c r="D212" s="24"/>
      <c r="E212" s="23"/>
      <c r="F212" s="23"/>
      <c r="G212" s="23"/>
      <c r="H212" s="23"/>
      <c r="I212" s="23"/>
      <c r="J212" s="23"/>
      <c r="K212" s="21"/>
      <c r="L212" s="23"/>
      <c r="M212" s="23"/>
    </row>
    <row r="213" spans="1:13" ht="15.75" customHeight="1">
      <c r="A213" s="23"/>
      <c r="B213" s="23"/>
      <c r="C213" s="23"/>
      <c r="D213" s="24"/>
      <c r="E213" s="23"/>
      <c r="F213" s="23"/>
      <c r="G213" s="23"/>
      <c r="H213" s="23"/>
      <c r="I213" s="23"/>
      <c r="J213" s="23"/>
      <c r="K213" s="21"/>
      <c r="L213" s="23"/>
      <c r="M213" s="23"/>
    </row>
    <row r="214" spans="1:13" ht="15.75" customHeight="1">
      <c r="A214" s="23"/>
      <c r="B214" s="23"/>
      <c r="C214" s="23"/>
      <c r="D214" s="24"/>
      <c r="E214" s="23"/>
      <c r="F214" s="23"/>
      <c r="G214" s="23"/>
      <c r="H214" s="23"/>
      <c r="I214" s="23"/>
      <c r="J214" s="23"/>
      <c r="K214" s="21"/>
      <c r="L214" s="23"/>
      <c r="M214" s="23"/>
    </row>
    <row r="215" spans="1:13" ht="15.75" customHeight="1">
      <c r="A215" s="23"/>
      <c r="B215" s="23"/>
      <c r="C215" s="23"/>
      <c r="D215" s="24"/>
      <c r="E215" s="23"/>
      <c r="F215" s="23"/>
      <c r="G215" s="23"/>
      <c r="H215" s="23"/>
      <c r="I215" s="23"/>
      <c r="J215" s="23"/>
      <c r="K215" s="21"/>
      <c r="L215" s="23"/>
      <c r="M215" s="23"/>
    </row>
    <row r="216" spans="1:13" ht="15.75" customHeight="1">
      <c r="A216" s="23"/>
      <c r="B216" s="23"/>
      <c r="C216" s="23"/>
      <c r="D216" s="24"/>
      <c r="E216" s="23"/>
      <c r="F216" s="23"/>
      <c r="G216" s="23"/>
      <c r="H216" s="23"/>
      <c r="I216" s="23"/>
      <c r="J216" s="23"/>
      <c r="K216" s="21"/>
      <c r="L216" s="23"/>
      <c r="M216" s="23"/>
    </row>
    <row r="217" spans="1:13" ht="15.75" customHeight="1">
      <c r="A217" s="23"/>
      <c r="B217" s="23"/>
      <c r="C217" s="23"/>
      <c r="D217" s="24"/>
      <c r="E217" s="23"/>
      <c r="F217" s="23"/>
      <c r="G217" s="23"/>
      <c r="H217" s="23"/>
      <c r="I217" s="23"/>
      <c r="J217" s="23"/>
      <c r="K217" s="21"/>
      <c r="L217" s="23"/>
      <c r="M217" s="23"/>
    </row>
    <row r="218" spans="1:13" ht="15.75" customHeight="1">
      <c r="A218" s="23"/>
      <c r="B218" s="23"/>
      <c r="C218" s="23"/>
      <c r="D218" s="24"/>
      <c r="E218" s="23"/>
      <c r="F218" s="23"/>
      <c r="G218" s="23"/>
      <c r="H218" s="23"/>
      <c r="I218" s="23"/>
      <c r="J218" s="23"/>
      <c r="K218" s="21"/>
      <c r="L218" s="23"/>
      <c r="M218" s="23"/>
    </row>
    <row r="219" spans="1:13" ht="15.75" customHeight="1">
      <c r="A219" s="23"/>
      <c r="B219" s="23"/>
      <c r="C219" s="23"/>
      <c r="D219" s="24"/>
      <c r="E219" s="23"/>
      <c r="F219" s="23"/>
      <c r="G219" s="23"/>
      <c r="H219" s="23"/>
      <c r="I219" s="23"/>
      <c r="J219" s="23"/>
      <c r="K219" s="21"/>
      <c r="L219" s="23"/>
      <c r="M219" s="23"/>
    </row>
    <row r="220" spans="1:13" ht="15.75" customHeight="1">
      <c r="A220" s="23"/>
      <c r="B220" s="23"/>
      <c r="C220" s="23"/>
      <c r="D220" s="24"/>
      <c r="E220" s="23"/>
      <c r="F220" s="23"/>
      <c r="G220" s="23"/>
      <c r="H220" s="23"/>
      <c r="I220" s="23"/>
      <c r="J220" s="23"/>
      <c r="K220" s="21"/>
      <c r="L220" s="23"/>
      <c r="M220" s="23"/>
    </row>
    <row r="221" spans="1:13" ht="15.75" customHeight="1">
      <c r="A221" s="23"/>
      <c r="B221" s="23"/>
      <c r="C221" s="23"/>
      <c r="D221" s="24"/>
      <c r="E221" s="23"/>
      <c r="F221" s="23"/>
      <c r="G221" s="23"/>
      <c r="H221" s="23"/>
      <c r="I221" s="23"/>
      <c r="J221" s="23"/>
      <c r="K221" s="21"/>
      <c r="L221" s="23"/>
      <c r="M221" s="23"/>
    </row>
    <row r="222" spans="1:13" ht="15.75" customHeight="1">
      <c r="A222" s="23"/>
      <c r="B222" s="23"/>
      <c r="C222" s="23"/>
      <c r="D222" s="24"/>
      <c r="E222" s="23"/>
      <c r="F222" s="23"/>
      <c r="G222" s="23"/>
      <c r="H222" s="23"/>
      <c r="I222" s="23"/>
      <c r="J222" s="23"/>
      <c r="K222" s="21"/>
      <c r="L222" s="23"/>
      <c r="M222" s="23"/>
    </row>
    <row r="223" spans="1:13" ht="15.75" customHeight="1">
      <c r="A223" s="23"/>
      <c r="B223" s="23"/>
      <c r="C223" s="23"/>
      <c r="D223" s="24"/>
      <c r="E223" s="23"/>
      <c r="F223" s="23"/>
      <c r="G223" s="23"/>
      <c r="H223" s="23"/>
      <c r="I223" s="23"/>
      <c r="J223" s="23"/>
      <c r="K223" s="21"/>
      <c r="L223" s="23"/>
      <c r="M223" s="23"/>
    </row>
    <row r="224" spans="1:13" ht="15.75" customHeight="1">
      <c r="A224" s="23"/>
      <c r="B224" s="23"/>
      <c r="C224" s="23"/>
      <c r="D224" s="24"/>
      <c r="E224" s="23"/>
      <c r="F224" s="23"/>
      <c r="G224" s="23"/>
      <c r="H224" s="23"/>
      <c r="I224" s="23"/>
      <c r="J224" s="23"/>
      <c r="K224" s="21"/>
      <c r="L224" s="23"/>
      <c r="M224" s="23"/>
    </row>
    <row r="225" spans="1:13" ht="15.75" customHeight="1">
      <c r="A225" s="23"/>
      <c r="B225" s="23"/>
      <c r="C225" s="23"/>
      <c r="D225" s="24"/>
      <c r="E225" s="23"/>
      <c r="F225" s="23"/>
      <c r="G225" s="23"/>
      <c r="H225" s="23"/>
      <c r="I225" s="23"/>
      <c r="J225" s="23"/>
      <c r="K225" s="21"/>
      <c r="L225" s="23"/>
      <c r="M225" s="23"/>
    </row>
    <row r="226" spans="1:13" ht="15.75" customHeight="1">
      <c r="A226" s="23"/>
      <c r="B226" s="23"/>
      <c r="C226" s="23"/>
      <c r="D226" s="24"/>
      <c r="E226" s="23"/>
      <c r="F226" s="23"/>
      <c r="G226" s="23"/>
      <c r="H226" s="23"/>
      <c r="I226" s="23"/>
      <c r="J226" s="23"/>
      <c r="K226" s="21"/>
      <c r="L226" s="23"/>
      <c r="M226" s="23"/>
    </row>
    <row r="227" spans="1:13" ht="15.75" customHeight="1">
      <c r="A227" s="23"/>
      <c r="B227" s="23"/>
      <c r="C227" s="23"/>
      <c r="D227" s="24"/>
      <c r="E227" s="23"/>
      <c r="F227" s="23"/>
      <c r="G227" s="23"/>
      <c r="H227" s="23"/>
      <c r="I227" s="23"/>
      <c r="J227" s="23"/>
      <c r="K227" s="21"/>
      <c r="L227" s="23"/>
      <c r="M227" s="23"/>
    </row>
    <row r="228" spans="1:13" ht="15.75" customHeight="1">
      <c r="A228" s="23"/>
      <c r="B228" s="23"/>
      <c r="C228" s="23"/>
      <c r="D228" s="24"/>
      <c r="E228" s="23"/>
      <c r="F228" s="23"/>
      <c r="G228" s="23"/>
      <c r="H228" s="23"/>
      <c r="I228" s="23"/>
      <c r="J228" s="23"/>
      <c r="K228" s="21"/>
      <c r="L228" s="23"/>
      <c r="M228" s="23"/>
    </row>
    <row r="229" spans="1:13" ht="15.75" customHeight="1">
      <c r="A229" s="23"/>
      <c r="B229" s="23"/>
      <c r="C229" s="23"/>
      <c r="D229" s="24"/>
      <c r="E229" s="23"/>
      <c r="F229" s="23"/>
      <c r="G229" s="23"/>
      <c r="H229" s="23"/>
      <c r="I229" s="23"/>
      <c r="J229" s="23"/>
      <c r="K229" s="21"/>
      <c r="L229" s="23"/>
      <c r="M229" s="23"/>
    </row>
    <row r="230" spans="1:13" ht="15.75" customHeight="1">
      <c r="A230" s="23"/>
      <c r="B230" s="23"/>
      <c r="C230" s="23"/>
      <c r="D230" s="24"/>
      <c r="E230" s="23"/>
      <c r="F230" s="23"/>
      <c r="G230" s="23"/>
      <c r="H230" s="23"/>
      <c r="I230" s="23"/>
      <c r="J230" s="23"/>
      <c r="K230" s="21"/>
      <c r="L230" s="23"/>
      <c r="M230" s="23"/>
    </row>
    <row r="231" spans="1:13" ht="15.75" customHeight="1">
      <c r="A231" s="23"/>
      <c r="B231" s="23"/>
      <c r="C231" s="23"/>
      <c r="D231" s="24"/>
      <c r="E231" s="23"/>
      <c r="F231" s="23"/>
      <c r="G231" s="23"/>
      <c r="H231" s="23"/>
      <c r="I231" s="23"/>
      <c r="J231" s="23"/>
      <c r="K231" s="21"/>
      <c r="L231" s="23"/>
      <c r="M231" s="23"/>
    </row>
    <row r="232" spans="1:13" ht="15.75" customHeight="1">
      <c r="A232" s="23"/>
      <c r="B232" s="23"/>
      <c r="C232" s="23"/>
      <c r="D232" s="24"/>
      <c r="E232" s="23"/>
      <c r="F232" s="23"/>
      <c r="G232" s="23"/>
      <c r="H232" s="23"/>
      <c r="I232" s="23"/>
      <c r="J232" s="23"/>
      <c r="K232" s="21"/>
      <c r="L232" s="23"/>
      <c r="M232" s="23"/>
    </row>
    <row r="233" spans="1:13" ht="15.75" customHeight="1">
      <c r="A233" s="23"/>
      <c r="B233" s="23"/>
      <c r="C233" s="23"/>
      <c r="D233" s="24"/>
      <c r="E233" s="23"/>
      <c r="F233" s="23"/>
      <c r="G233" s="23"/>
      <c r="H233" s="23"/>
      <c r="I233" s="23"/>
      <c r="J233" s="23"/>
      <c r="K233" s="21"/>
      <c r="L233" s="23"/>
      <c r="M233" s="23"/>
    </row>
    <row r="234" spans="1:13" ht="15.75" customHeight="1">
      <c r="A234" s="23"/>
      <c r="B234" s="23"/>
      <c r="C234" s="23"/>
      <c r="D234" s="24"/>
      <c r="E234" s="23"/>
      <c r="F234" s="23"/>
      <c r="G234" s="23"/>
      <c r="H234" s="23"/>
      <c r="I234" s="23"/>
      <c r="J234" s="23"/>
      <c r="K234" s="21"/>
      <c r="L234" s="23"/>
      <c r="M234" s="23"/>
    </row>
    <row r="235" spans="1:13" ht="15.75" customHeight="1">
      <c r="A235" s="23"/>
      <c r="B235" s="23"/>
      <c r="C235" s="23"/>
      <c r="D235" s="24"/>
      <c r="E235" s="23"/>
      <c r="F235" s="23"/>
      <c r="G235" s="23"/>
      <c r="H235" s="23"/>
      <c r="I235" s="23"/>
      <c r="J235" s="23"/>
      <c r="K235" s="21"/>
      <c r="L235" s="23"/>
      <c r="M235" s="23"/>
    </row>
    <row r="236" spans="1:13" ht="15.75" customHeight="1">
      <c r="A236" s="23"/>
      <c r="B236" s="23"/>
      <c r="C236" s="23"/>
      <c r="D236" s="24"/>
      <c r="E236" s="23"/>
      <c r="F236" s="23"/>
      <c r="G236" s="23"/>
      <c r="H236" s="23"/>
      <c r="I236" s="23"/>
      <c r="J236" s="23"/>
      <c r="K236" s="21"/>
      <c r="L236" s="23"/>
      <c r="M236" s="23"/>
    </row>
    <row r="237" spans="1:13" ht="15.75" customHeight="1">
      <c r="A237" s="23"/>
      <c r="B237" s="23"/>
      <c r="C237" s="23"/>
      <c r="D237" s="24"/>
      <c r="E237" s="23"/>
      <c r="F237" s="23"/>
      <c r="G237" s="23"/>
      <c r="H237" s="23"/>
      <c r="I237" s="23"/>
      <c r="J237" s="23"/>
      <c r="K237" s="21"/>
      <c r="L237" s="23"/>
      <c r="M237" s="23"/>
    </row>
    <row r="238" spans="1:13" ht="15.75" customHeight="1">
      <c r="A238" s="23"/>
      <c r="B238" s="23"/>
      <c r="C238" s="23"/>
      <c r="D238" s="24"/>
      <c r="E238" s="23"/>
      <c r="F238" s="23"/>
      <c r="G238" s="23"/>
      <c r="H238" s="23"/>
      <c r="I238" s="23"/>
      <c r="J238" s="23"/>
      <c r="K238" s="21"/>
      <c r="L238" s="23"/>
      <c r="M238" s="23"/>
    </row>
    <row r="239" spans="1:13" ht="15.75" customHeight="1">
      <c r="A239" s="23"/>
      <c r="B239" s="23"/>
      <c r="C239" s="23"/>
      <c r="D239" s="24"/>
      <c r="E239" s="23"/>
      <c r="F239" s="23"/>
      <c r="G239" s="23"/>
      <c r="H239" s="23"/>
      <c r="I239" s="23"/>
      <c r="J239" s="23"/>
      <c r="K239" s="21"/>
      <c r="L239" s="23"/>
      <c r="M239" s="23"/>
    </row>
    <row r="240" spans="1:13" ht="15.75" customHeight="1">
      <c r="A240" s="23"/>
      <c r="B240" s="23"/>
      <c r="C240" s="23"/>
      <c r="D240" s="24"/>
      <c r="E240" s="23"/>
      <c r="F240" s="23"/>
      <c r="G240" s="23"/>
      <c r="H240" s="23"/>
      <c r="I240" s="23"/>
      <c r="J240" s="23"/>
      <c r="K240" s="21"/>
      <c r="L240" s="23"/>
      <c r="M240" s="23"/>
    </row>
    <row r="241" spans="1:13" ht="15.75" customHeight="1">
      <c r="A241" s="23"/>
      <c r="B241" s="23"/>
      <c r="C241" s="23"/>
      <c r="D241" s="24"/>
      <c r="E241" s="23"/>
      <c r="F241" s="23"/>
      <c r="G241" s="23"/>
      <c r="H241" s="23"/>
      <c r="I241" s="23"/>
      <c r="J241" s="23"/>
      <c r="K241" s="21"/>
      <c r="L241" s="23"/>
      <c r="M241" s="23"/>
    </row>
    <row r="242" spans="1:13" ht="15.75" customHeight="1">
      <c r="A242" s="23"/>
      <c r="B242" s="23"/>
      <c r="C242" s="23"/>
      <c r="D242" s="24"/>
      <c r="E242" s="23"/>
      <c r="F242" s="23"/>
      <c r="G242" s="23"/>
      <c r="H242" s="23"/>
      <c r="I242" s="23"/>
      <c r="J242" s="23"/>
      <c r="K242" s="21"/>
      <c r="L242" s="23"/>
      <c r="M242" s="23"/>
    </row>
    <row r="243" spans="1:13" ht="15.75" customHeight="1">
      <c r="A243" s="23"/>
      <c r="B243" s="23"/>
      <c r="C243" s="23"/>
      <c r="D243" s="24"/>
      <c r="E243" s="23"/>
      <c r="F243" s="23"/>
      <c r="G243" s="23"/>
      <c r="H243" s="23"/>
      <c r="I243" s="23"/>
      <c r="J243" s="23"/>
      <c r="K243" s="21"/>
      <c r="L243" s="23"/>
      <c r="M243" s="23"/>
    </row>
    <row r="244" spans="1:13" ht="15.75" customHeight="1">
      <c r="A244" s="23"/>
      <c r="B244" s="23"/>
      <c r="C244" s="23"/>
      <c r="D244" s="24"/>
      <c r="E244" s="23"/>
      <c r="F244" s="23"/>
      <c r="G244" s="23"/>
      <c r="H244" s="23"/>
      <c r="I244" s="23"/>
      <c r="J244" s="23"/>
      <c r="K244" s="21"/>
      <c r="L244" s="23"/>
      <c r="M244" s="23"/>
    </row>
    <row r="245" spans="1:13" ht="15.75" customHeight="1">
      <c r="A245" s="23"/>
      <c r="B245" s="23"/>
      <c r="C245" s="23"/>
      <c r="D245" s="24"/>
      <c r="E245" s="23"/>
      <c r="F245" s="23"/>
      <c r="G245" s="23"/>
      <c r="H245" s="23"/>
      <c r="I245" s="23"/>
      <c r="J245" s="23"/>
      <c r="K245" s="21"/>
      <c r="L245" s="23"/>
      <c r="M245" s="23"/>
    </row>
    <row r="246" spans="1:13" ht="15.75" customHeight="1">
      <c r="A246" s="23"/>
      <c r="B246" s="23"/>
      <c r="C246" s="23"/>
      <c r="D246" s="24"/>
      <c r="E246" s="23"/>
      <c r="F246" s="23"/>
      <c r="G246" s="23"/>
      <c r="H246" s="23"/>
      <c r="I246" s="23"/>
      <c r="J246" s="23"/>
      <c r="K246" s="21"/>
      <c r="L246" s="23"/>
      <c r="M246" s="23"/>
    </row>
    <row r="247" spans="1:13" ht="15.75" customHeight="1">
      <c r="A247" s="23"/>
      <c r="B247" s="23"/>
      <c r="C247" s="23"/>
      <c r="D247" s="24"/>
      <c r="E247" s="23"/>
      <c r="F247" s="23"/>
      <c r="G247" s="23"/>
      <c r="H247" s="23"/>
      <c r="I247" s="23"/>
      <c r="J247" s="23"/>
      <c r="K247" s="21"/>
      <c r="L247" s="23"/>
      <c r="M247" s="23"/>
    </row>
    <row r="248" spans="1:13" ht="15.75" customHeight="1">
      <c r="A248" s="23"/>
      <c r="B248" s="23"/>
      <c r="C248" s="23"/>
      <c r="D248" s="24"/>
      <c r="E248" s="23"/>
      <c r="F248" s="23"/>
      <c r="G248" s="23"/>
      <c r="H248" s="23"/>
      <c r="I248" s="23"/>
      <c r="J248" s="23"/>
      <c r="K248" s="21"/>
      <c r="L248" s="23"/>
      <c r="M248" s="23"/>
    </row>
    <row r="249" spans="1:13" ht="15.75" customHeight="1">
      <c r="A249" s="23"/>
      <c r="B249" s="23"/>
      <c r="C249" s="23"/>
      <c r="D249" s="24"/>
      <c r="E249" s="23"/>
      <c r="F249" s="23"/>
      <c r="G249" s="23"/>
      <c r="H249" s="23"/>
      <c r="I249" s="23"/>
      <c r="J249" s="23"/>
      <c r="K249" s="21"/>
      <c r="L249" s="23"/>
      <c r="M249" s="23"/>
    </row>
    <row r="250" spans="1:13" ht="15.75" customHeight="1">
      <c r="A250" s="23"/>
      <c r="B250" s="23"/>
      <c r="C250" s="23"/>
      <c r="D250" s="24"/>
      <c r="E250" s="23"/>
      <c r="F250" s="23"/>
      <c r="G250" s="23"/>
      <c r="H250" s="23"/>
      <c r="I250" s="23"/>
      <c r="J250" s="23"/>
      <c r="K250" s="21"/>
      <c r="L250" s="23"/>
      <c r="M250" s="23"/>
    </row>
    <row r="251" spans="1:13" ht="15.75" customHeight="1">
      <c r="A251" s="23"/>
      <c r="B251" s="23"/>
      <c r="C251" s="23"/>
      <c r="D251" s="24"/>
      <c r="E251" s="23"/>
      <c r="F251" s="23"/>
      <c r="G251" s="23"/>
      <c r="H251" s="23"/>
      <c r="I251" s="23"/>
      <c r="J251" s="23"/>
      <c r="K251" s="21"/>
      <c r="L251" s="23"/>
      <c r="M251" s="23"/>
    </row>
    <row r="252" spans="1:13" ht="15.75" customHeight="1">
      <c r="A252" s="23"/>
      <c r="B252" s="23"/>
      <c r="C252" s="23"/>
      <c r="D252" s="24"/>
      <c r="E252" s="23"/>
      <c r="F252" s="23"/>
      <c r="G252" s="23"/>
      <c r="H252" s="23"/>
      <c r="I252" s="23"/>
      <c r="J252" s="23"/>
      <c r="K252" s="21"/>
      <c r="L252" s="23"/>
      <c r="M252" s="23"/>
    </row>
    <row r="253" spans="1:13" ht="15.75" customHeight="1">
      <c r="A253" s="23"/>
      <c r="B253" s="23"/>
      <c r="C253" s="23"/>
      <c r="D253" s="24"/>
      <c r="E253" s="23"/>
      <c r="F253" s="23"/>
      <c r="G253" s="23"/>
      <c r="H253" s="23"/>
      <c r="I253" s="23"/>
      <c r="J253" s="23"/>
      <c r="K253" s="21"/>
      <c r="L253" s="23"/>
      <c r="M253" s="23"/>
    </row>
    <row r="254" spans="1:13" ht="15.75" customHeight="1">
      <c r="A254" s="23"/>
      <c r="B254" s="23"/>
      <c r="C254" s="23"/>
      <c r="D254" s="24"/>
      <c r="E254" s="23"/>
      <c r="F254" s="23"/>
      <c r="G254" s="23"/>
      <c r="H254" s="23"/>
      <c r="I254" s="23"/>
      <c r="J254" s="23"/>
      <c r="K254" s="21"/>
      <c r="L254" s="23"/>
      <c r="M254" s="23"/>
    </row>
    <row r="255" spans="1:13" ht="15.75" customHeight="1">
      <c r="A255" s="23"/>
      <c r="B255" s="23"/>
      <c r="C255" s="23"/>
      <c r="D255" s="24"/>
      <c r="E255" s="23"/>
      <c r="F255" s="23"/>
      <c r="G255" s="23"/>
      <c r="H255" s="23"/>
      <c r="I255" s="23"/>
      <c r="J255" s="23"/>
      <c r="K255" s="21"/>
      <c r="L255" s="23"/>
      <c r="M255" s="23"/>
    </row>
    <row r="256" spans="1:13" ht="15.75" customHeight="1">
      <c r="A256" s="23"/>
      <c r="B256" s="23"/>
      <c r="C256" s="23"/>
      <c r="D256" s="24"/>
      <c r="E256" s="23"/>
      <c r="F256" s="23"/>
      <c r="G256" s="23"/>
      <c r="H256" s="23"/>
      <c r="I256" s="23"/>
      <c r="J256" s="23"/>
      <c r="K256" s="21"/>
      <c r="L256" s="23"/>
      <c r="M256" s="23"/>
    </row>
    <row r="257" spans="1:13" ht="15.75" customHeight="1">
      <c r="A257" s="23"/>
      <c r="B257" s="23"/>
      <c r="C257" s="23"/>
      <c r="D257" s="24"/>
      <c r="E257" s="23"/>
      <c r="F257" s="23"/>
      <c r="G257" s="23"/>
      <c r="H257" s="23"/>
      <c r="I257" s="23"/>
      <c r="J257" s="23"/>
      <c r="K257" s="21"/>
      <c r="L257" s="23"/>
      <c r="M257" s="23"/>
    </row>
    <row r="258" spans="1:13" ht="15.75" customHeight="1">
      <c r="A258" s="23"/>
      <c r="B258" s="23"/>
      <c r="C258" s="23"/>
      <c r="D258" s="24"/>
      <c r="E258" s="23"/>
      <c r="F258" s="23"/>
      <c r="G258" s="23"/>
      <c r="H258" s="23"/>
      <c r="I258" s="23"/>
      <c r="J258" s="23"/>
      <c r="K258" s="21"/>
      <c r="L258" s="23"/>
      <c r="M258" s="23"/>
    </row>
    <row r="259" spans="1:13" ht="15.75" customHeight="1">
      <c r="A259" s="23"/>
      <c r="B259" s="23"/>
      <c r="C259" s="23"/>
      <c r="D259" s="24"/>
      <c r="E259" s="23"/>
      <c r="F259" s="23"/>
      <c r="G259" s="23"/>
      <c r="H259" s="23"/>
      <c r="I259" s="23"/>
      <c r="J259" s="23"/>
      <c r="K259" s="21"/>
      <c r="L259" s="23"/>
      <c r="M259" s="23"/>
    </row>
    <row r="260" spans="1:13" ht="15.75" customHeight="1">
      <c r="A260" s="23"/>
      <c r="B260" s="23"/>
      <c r="C260" s="23"/>
      <c r="D260" s="24"/>
      <c r="E260" s="23"/>
      <c r="F260" s="23"/>
      <c r="G260" s="23"/>
      <c r="H260" s="23"/>
      <c r="I260" s="23"/>
      <c r="J260" s="23"/>
      <c r="K260" s="21"/>
      <c r="L260" s="23"/>
      <c r="M260" s="23"/>
    </row>
    <row r="261" spans="1:13" ht="15.75" customHeight="1">
      <c r="A261" s="23"/>
      <c r="B261" s="23"/>
      <c r="C261" s="23"/>
      <c r="D261" s="24"/>
      <c r="E261" s="23"/>
      <c r="F261" s="23"/>
      <c r="G261" s="23"/>
      <c r="H261" s="23"/>
      <c r="I261" s="23"/>
      <c r="J261" s="23"/>
      <c r="K261" s="21"/>
      <c r="L261" s="23"/>
      <c r="M261" s="23"/>
    </row>
    <row r="262" spans="1:13" ht="15.75" customHeight="1">
      <c r="A262" s="23"/>
      <c r="B262" s="23"/>
      <c r="C262" s="23"/>
      <c r="D262" s="24"/>
      <c r="E262" s="23"/>
      <c r="F262" s="23"/>
      <c r="G262" s="23"/>
      <c r="H262" s="23"/>
      <c r="I262" s="23"/>
      <c r="J262" s="23"/>
      <c r="K262" s="21"/>
      <c r="L262" s="23"/>
      <c r="M262" s="23"/>
    </row>
    <row r="263" spans="1:13" ht="15.75" customHeight="1">
      <c r="A263" s="23"/>
      <c r="B263" s="23"/>
      <c r="C263" s="23"/>
      <c r="D263" s="24"/>
      <c r="E263" s="23"/>
      <c r="F263" s="23"/>
      <c r="G263" s="23"/>
      <c r="H263" s="23"/>
      <c r="I263" s="23"/>
      <c r="J263" s="23"/>
      <c r="K263" s="21"/>
      <c r="L263" s="23"/>
      <c r="M263" s="23"/>
    </row>
    <row r="264" spans="1:13" ht="15.75" customHeight="1">
      <c r="A264" s="23"/>
      <c r="B264" s="23"/>
      <c r="C264" s="23"/>
      <c r="D264" s="24"/>
      <c r="E264" s="23"/>
      <c r="F264" s="23"/>
      <c r="G264" s="23"/>
      <c r="H264" s="23"/>
      <c r="I264" s="23"/>
      <c r="J264" s="23"/>
      <c r="K264" s="21"/>
      <c r="L264" s="23"/>
      <c r="M264" s="23"/>
    </row>
    <row r="265" spans="1:13" ht="15.75" customHeight="1">
      <c r="A265" s="23"/>
      <c r="B265" s="23"/>
      <c r="C265" s="23"/>
      <c r="D265" s="24"/>
      <c r="E265" s="23"/>
      <c r="F265" s="23"/>
      <c r="G265" s="23"/>
      <c r="H265" s="23"/>
      <c r="I265" s="23"/>
      <c r="J265" s="23"/>
      <c r="K265" s="21"/>
      <c r="L265" s="23"/>
      <c r="M265" s="23"/>
    </row>
    <row r="266" spans="1:13" ht="15.75" customHeight="1">
      <c r="A266" s="23"/>
      <c r="B266" s="23"/>
      <c r="C266" s="23"/>
      <c r="D266" s="24"/>
      <c r="E266" s="23"/>
      <c r="F266" s="23"/>
      <c r="G266" s="23"/>
      <c r="H266" s="23"/>
      <c r="I266" s="23"/>
      <c r="J266" s="23"/>
      <c r="K266" s="21"/>
      <c r="L266" s="23"/>
      <c r="M266" s="23"/>
    </row>
    <row r="267" spans="1:13" ht="15.75" customHeight="1">
      <c r="A267" s="23"/>
      <c r="B267" s="23"/>
      <c r="C267" s="23"/>
      <c r="D267" s="24"/>
      <c r="E267" s="23"/>
      <c r="F267" s="23"/>
      <c r="G267" s="23"/>
      <c r="H267" s="23"/>
      <c r="I267" s="23"/>
      <c r="J267" s="23"/>
      <c r="K267" s="21"/>
      <c r="L267" s="23"/>
      <c r="M267" s="23"/>
    </row>
    <row r="268" spans="1:13" ht="15.75" customHeight="1">
      <c r="A268" s="23"/>
      <c r="B268" s="23"/>
      <c r="C268" s="23"/>
      <c r="D268" s="24"/>
      <c r="E268" s="23"/>
      <c r="F268" s="23"/>
      <c r="G268" s="23"/>
      <c r="H268" s="23"/>
      <c r="I268" s="23"/>
      <c r="J268" s="23"/>
      <c r="K268" s="21"/>
      <c r="L268" s="23"/>
      <c r="M268" s="23"/>
    </row>
    <row r="269" spans="1:13" ht="15.75" customHeight="1">
      <c r="A269" s="23"/>
      <c r="B269" s="23"/>
      <c r="C269" s="23"/>
      <c r="D269" s="24"/>
      <c r="E269" s="23"/>
      <c r="F269" s="23"/>
      <c r="G269" s="23"/>
      <c r="H269" s="23"/>
      <c r="I269" s="23"/>
      <c r="J269" s="23"/>
      <c r="K269" s="21"/>
      <c r="L269" s="23"/>
      <c r="M269" s="23"/>
    </row>
    <row r="270" spans="1:13" ht="15.75" customHeight="1">
      <c r="A270" s="23"/>
      <c r="B270" s="23"/>
      <c r="C270" s="23"/>
      <c r="D270" s="24"/>
      <c r="E270" s="23"/>
      <c r="F270" s="23"/>
      <c r="G270" s="23"/>
      <c r="H270" s="23"/>
      <c r="I270" s="23"/>
      <c r="J270" s="23"/>
      <c r="K270" s="21"/>
      <c r="L270" s="23"/>
      <c r="M270" s="23"/>
    </row>
    <row r="271" spans="1:13" ht="15.75" customHeight="1">
      <c r="A271" s="23"/>
      <c r="B271" s="23"/>
      <c r="C271" s="23"/>
      <c r="D271" s="24"/>
      <c r="E271" s="23"/>
      <c r="F271" s="23"/>
      <c r="G271" s="23"/>
      <c r="H271" s="23"/>
      <c r="I271" s="23"/>
      <c r="J271" s="23"/>
      <c r="K271" s="21"/>
      <c r="L271" s="23"/>
      <c r="M271" s="23"/>
    </row>
    <row r="272" spans="1:13" ht="15.75" customHeight="1">
      <c r="A272" s="23"/>
      <c r="B272" s="23"/>
      <c r="C272" s="23"/>
      <c r="D272" s="24"/>
      <c r="E272" s="23"/>
      <c r="F272" s="23"/>
      <c r="G272" s="23"/>
      <c r="H272" s="23"/>
      <c r="I272" s="23"/>
      <c r="J272" s="23"/>
      <c r="K272" s="21"/>
      <c r="L272" s="23"/>
      <c r="M272" s="23"/>
    </row>
    <row r="273" spans="1:13" ht="15.75" customHeight="1">
      <c r="A273" s="23"/>
      <c r="B273" s="23"/>
      <c r="C273" s="23"/>
      <c r="D273" s="24"/>
      <c r="E273" s="23"/>
      <c r="F273" s="23"/>
      <c r="G273" s="23"/>
      <c r="H273" s="23"/>
      <c r="I273" s="23"/>
      <c r="J273" s="23"/>
      <c r="K273" s="21"/>
      <c r="L273" s="23"/>
      <c r="M273" s="23"/>
    </row>
    <row r="274" spans="1:13" ht="15.75" customHeight="1">
      <c r="A274" s="23"/>
      <c r="B274" s="23"/>
      <c r="C274" s="23"/>
      <c r="D274" s="24"/>
      <c r="E274" s="23"/>
      <c r="F274" s="23"/>
      <c r="G274" s="23"/>
      <c r="H274" s="23"/>
      <c r="I274" s="23"/>
      <c r="J274" s="23"/>
      <c r="K274" s="21"/>
      <c r="L274" s="23"/>
      <c r="M274" s="23"/>
    </row>
    <row r="275" spans="1:13" ht="15.75" customHeight="1">
      <c r="A275" s="23"/>
      <c r="B275" s="23"/>
      <c r="C275" s="23"/>
      <c r="D275" s="24"/>
      <c r="E275" s="23"/>
      <c r="F275" s="23"/>
      <c r="G275" s="23"/>
      <c r="H275" s="23"/>
      <c r="I275" s="23"/>
      <c r="J275" s="23"/>
      <c r="K275" s="21"/>
      <c r="L275" s="23"/>
      <c r="M275" s="23"/>
    </row>
    <row r="276" spans="1:13" ht="15.75" customHeight="1">
      <c r="A276" s="23"/>
      <c r="B276" s="23"/>
      <c r="C276" s="23"/>
      <c r="D276" s="24"/>
      <c r="E276" s="23"/>
      <c r="F276" s="23"/>
      <c r="G276" s="23"/>
      <c r="H276" s="23"/>
      <c r="I276" s="23"/>
      <c r="J276" s="23"/>
      <c r="K276" s="21"/>
      <c r="L276" s="23"/>
      <c r="M276" s="23"/>
    </row>
    <row r="277" spans="1:13" ht="15.75" customHeight="1">
      <c r="A277" s="23"/>
      <c r="B277" s="23"/>
      <c r="C277" s="23"/>
      <c r="D277" s="24"/>
      <c r="E277" s="23"/>
      <c r="F277" s="23"/>
      <c r="G277" s="23"/>
      <c r="H277" s="23"/>
      <c r="I277" s="23"/>
      <c r="J277" s="23"/>
      <c r="K277" s="21"/>
      <c r="L277" s="23"/>
      <c r="M277" s="23"/>
    </row>
    <row r="278" spans="1:13" ht="15.75" customHeight="1">
      <c r="A278" s="23"/>
      <c r="B278" s="23"/>
      <c r="C278" s="23"/>
      <c r="D278" s="24"/>
      <c r="E278" s="23"/>
      <c r="F278" s="23"/>
      <c r="G278" s="23"/>
      <c r="H278" s="23"/>
      <c r="I278" s="23"/>
      <c r="J278" s="23"/>
      <c r="K278" s="21"/>
      <c r="L278" s="23"/>
      <c r="M278" s="23"/>
    </row>
    <row r="279" spans="1:13" ht="15.75" customHeight="1">
      <c r="A279" s="23"/>
      <c r="B279" s="23"/>
      <c r="C279" s="23"/>
      <c r="D279" s="24"/>
      <c r="E279" s="23"/>
      <c r="F279" s="23"/>
      <c r="G279" s="23"/>
      <c r="H279" s="23"/>
      <c r="I279" s="23"/>
      <c r="J279" s="23"/>
      <c r="K279" s="21"/>
      <c r="L279" s="23"/>
      <c r="M279" s="23"/>
    </row>
    <row r="280" spans="1:13" ht="15.75" customHeight="1">
      <c r="A280" s="23"/>
      <c r="B280" s="23"/>
      <c r="C280" s="23"/>
      <c r="D280" s="24"/>
      <c r="E280" s="23"/>
      <c r="F280" s="23"/>
      <c r="G280" s="23"/>
      <c r="H280" s="23"/>
      <c r="I280" s="23"/>
      <c r="J280" s="23"/>
      <c r="K280" s="21"/>
      <c r="L280" s="23"/>
      <c r="M280" s="23"/>
    </row>
    <row r="281" spans="1:13" ht="15.75" customHeight="1">
      <c r="A281" s="23"/>
      <c r="B281" s="23"/>
      <c r="C281" s="23"/>
      <c r="D281" s="24"/>
      <c r="E281" s="23"/>
      <c r="F281" s="23"/>
      <c r="G281" s="23"/>
      <c r="H281" s="23"/>
      <c r="I281" s="23"/>
      <c r="J281" s="23"/>
      <c r="K281" s="21"/>
      <c r="L281" s="23"/>
      <c r="M281" s="23"/>
    </row>
    <row r="282" spans="1:13" ht="15.75" customHeight="1">
      <c r="A282" s="23"/>
      <c r="B282" s="23"/>
      <c r="C282" s="23"/>
      <c r="D282" s="24"/>
      <c r="E282" s="23"/>
      <c r="F282" s="23"/>
      <c r="G282" s="23"/>
      <c r="H282" s="23"/>
      <c r="I282" s="23"/>
      <c r="J282" s="23"/>
      <c r="K282" s="21"/>
      <c r="L282" s="23"/>
      <c r="M282" s="23"/>
    </row>
    <row r="283" spans="1:13" ht="15.75" customHeight="1">
      <c r="A283" s="23"/>
      <c r="B283" s="23"/>
      <c r="C283" s="23"/>
      <c r="D283" s="24"/>
      <c r="E283" s="23"/>
      <c r="F283" s="23"/>
      <c r="G283" s="23"/>
      <c r="H283" s="23"/>
      <c r="I283" s="23"/>
      <c r="J283" s="23"/>
      <c r="K283" s="21"/>
      <c r="L283" s="23"/>
      <c r="M283" s="23"/>
    </row>
    <row r="284" spans="1:13" ht="15.75" customHeight="1">
      <c r="A284" s="23"/>
      <c r="B284" s="23"/>
      <c r="C284" s="23"/>
      <c r="D284" s="24"/>
      <c r="E284" s="23"/>
      <c r="F284" s="23"/>
      <c r="G284" s="23"/>
      <c r="H284" s="23"/>
      <c r="I284" s="23"/>
      <c r="J284" s="23"/>
      <c r="K284" s="21"/>
      <c r="L284" s="23"/>
      <c r="M284" s="23"/>
    </row>
    <row r="285" spans="1:13" ht="15.75" customHeight="1">
      <c r="A285" s="23"/>
      <c r="B285" s="23"/>
      <c r="C285" s="23"/>
      <c r="D285" s="24"/>
      <c r="E285" s="23"/>
      <c r="F285" s="23"/>
      <c r="G285" s="23"/>
      <c r="H285" s="23"/>
      <c r="I285" s="23"/>
      <c r="J285" s="23"/>
      <c r="K285" s="21"/>
      <c r="L285" s="23"/>
      <c r="M285" s="23"/>
    </row>
    <row r="286" spans="1:13" ht="15.75" customHeight="1">
      <c r="A286" s="23"/>
      <c r="B286" s="23"/>
      <c r="C286" s="23"/>
      <c r="D286" s="24"/>
      <c r="E286" s="23"/>
      <c r="F286" s="23"/>
      <c r="G286" s="23"/>
      <c r="H286" s="23"/>
      <c r="I286" s="23"/>
      <c r="J286" s="23"/>
      <c r="K286" s="21"/>
      <c r="L286" s="23"/>
      <c r="M286" s="23"/>
    </row>
    <row r="287" spans="1:13" ht="15.75" customHeight="1">
      <c r="A287" s="23"/>
      <c r="B287" s="23"/>
      <c r="C287" s="23"/>
      <c r="D287" s="24"/>
      <c r="E287" s="23"/>
      <c r="F287" s="23"/>
      <c r="G287" s="23"/>
      <c r="H287" s="23"/>
      <c r="I287" s="23"/>
      <c r="J287" s="23"/>
      <c r="K287" s="21"/>
      <c r="L287" s="23"/>
      <c r="M287" s="23"/>
    </row>
    <row r="288" spans="1:13" ht="15.75" customHeight="1">
      <c r="A288" s="23"/>
      <c r="B288" s="23"/>
      <c r="C288" s="23"/>
      <c r="D288" s="24"/>
      <c r="E288" s="23"/>
      <c r="F288" s="23"/>
      <c r="G288" s="23"/>
      <c r="H288" s="23"/>
      <c r="I288" s="23"/>
      <c r="J288" s="23"/>
      <c r="K288" s="21"/>
      <c r="L288" s="23"/>
      <c r="M288" s="23"/>
    </row>
    <row r="289" spans="1:13" ht="15.75" customHeight="1">
      <c r="A289" s="23"/>
      <c r="B289" s="23"/>
      <c r="C289" s="23"/>
      <c r="D289" s="24"/>
      <c r="E289" s="23"/>
      <c r="F289" s="23"/>
      <c r="G289" s="23"/>
      <c r="H289" s="23"/>
      <c r="I289" s="23"/>
      <c r="J289" s="23"/>
      <c r="K289" s="21"/>
      <c r="L289" s="23"/>
      <c r="M289" s="23"/>
    </row>
    <row r="290" spans="1:13" ht="15.75" customHeight="1">
      <c r="A290" s="23"/>
      <c r="B290" s="23"/>
      <c r="C290" s="23"/>
      <c r="D290" s="24"/>
      <c r="E290" s="23"/>
      <c r="F290" s="23"/>
      <c r="G290" s="23"/>
      <c r="H290" s="23"/>
      <c r="I290" s="23"/>
      <c r="J290" s="23"/>
      <c r="K290" s="21"/>
      <c r="L290" s="23"/>
      <c r="M290" s="23"/>
    </row>
    <row r="291" spans="1:13" ht="15.75" customHeight="1">
      <c r="A291" s="23"/>
      <c r="B291" s="23"/>
      <c r="C291" s="23"/>
      <c r="D291" s="24"/>
      <c r="E291" s="23"/>
      <c r="F291" s="23"/>
      <c r="G291" s="23"/>
      <c r="H291" s="23"/>
      <c r="I291" s="23"/>
      <c r="J291" s="23"/>
      <c r="K291" s="21"/>
      <c r="L291" s="23"/>
      <c r="M291" s="23"/>
    </row>
    <row r="292" spans="1:13" ht="15.75" customHeight="1">
      <c r="A292" s="23"/>
      <c r="B292" s="23"/>
      <c r="C292" s="23"/>
      <c r="D292" s="24"/>
      <c r="E292" s="23"/>
      <c r="F292" s="23"/>
      <c r="G292" s="23"/>
      <c r="H292" s="23"/>
      <c r="I292" s="23"/>
      <c r="J292" s="23"/>
      <c r="K292" s="21"/>
      <c r="L292" s="23"/>
      <c r="M292" s="23"/>
    </row>
    <row r="293" spans="1:13" ht="15.75" customHeight="1">
      <c r="A293" s="23"/>
      <c r="B293" s="23"/>
      <c r="C293" s="23"/>
      <c r="D293" s="24"/>
      <c r="E293" s="23"/>
      <c r="F293" s="23"/>
      <c r="G293" s="23"/>
      <c r="H293" s="23"/>
      <c r="I293" s="23"/>
      <c r="J293" s="23"/>
      <c r="K293" s="21"/>
      <c r="L293" s="23"/>
      <c r="M293" s="23"/>
    </row>
    <row r="294" spans="1:13" ht="15.75" customHeight="1">
      <c r="A294" s="23"/>
      <c r="B294" s="23"/>
      <c r="C294" s="23"/>
      <c r="D294" s="24"/>
      <c r="E294" s="23"/>
      <c r="F294" s="23"/>
      <c r="G294" s="23"/>
      <c r="H294" s="23"/>
      <c r="I294" s="23"/>
      <c r="J294" s="23"/>
      <c r="K294" s="21"/>
      <c r="L294" s="23"/>
      <c r="M294" s="23"/>
    </row>
    <row r="295" spans="1:13" ht="15.75" customHeight="1">
      <c r="A295" s="23"/>
      <c r="B295" s="23"/>
      <c r="C295" s="23"/>
      <c r="D295" s="24"/>
      <c r="E295" s="23"/>
      <c r="F295" s="23"/>
      <c r="G295" s="23"/>
      <c r="H295" s="23"/>
      <c r="I295" s="23"/>
      <c r="J295" s="23"/>
      <c r="K295" s="21"/>
      <c r="L295" s="23"/>
      <c r="M295" s="23"/>
    </row>
    <row r="296" spans="1:13" ht="15.75" customHeight="1">
      <c r="A296" s="23"/>
      <c r="B296" s="23"/>
      <c r="C296" s="23"/>
      <c r="D296" s="24"/>
      <c r="E296" s="23"/>
      <c r="F296" s="23"/>
      <c r="G296" s="23"/>
      <c r="H296" s="23"/>
      <c r="I296" s="23"/>
      <c r="J296" s="23"/>
      <c r="K296" s="21"/>
      <c r="L296" s="23"/>
      <c r="M296" s="23"/>
    </row>
    <row r="297" spans="1:13" ht="15.75" customHeight="1">
      <c r="A297" s="23"/>
      <c r="B297" s="23"/>
      <c r="C297" s="23"/>
      <c r="D297" s="24"/>
      <c r="E297" s="23"/>
      <c r="F297" s="23"/>
      <c r="G297" s="23"/>
      <c r="H297" s="23"/>
      <c r="I297" s="23"/>
      <c r="J297" s="23"/>
      <c r="K297" s="21"/>
      <c r="L297" s="23"/>
      <c r="M297" s="23"/>
    </row>
    <row r="298" spans="1:13" ht="15.75" customHeight="1">
      <c r="A298" s="23"/>
      <c r="B298" s="23"/>
      <c r="C298" s="23"/>
      <c r="D298" s="24"/>
      <c r="E298" s="23"/>
      <c r="F298" s="23"/>
      <c r="G298" s="23"/>
      <c r="H298" s="23"/>
      <c r="I298" s="23"/>
      <c r="J298" s="23"/>
      <c r="K298" s="21"/>
      <c r="L298" s="23"/>
      <c r="M298" s="23"/>
    </row>
    <row r="299" spans="1:13" ht="15.75" customHeight="1">
      <c r="A299" s="23"/>
      <c r="B299" s="23"/>
      <c r="C299" s="23"/>
      <c r="D299" s="24"/>
      <c r="E299" s="23"/>
      <c r="F299" s="23"/>
      <c r="G299" s="23"/>
      <c r="H299" s="23"/>
      <c r="I299" s="23"/>
      <c r="J299" s="23"/>
      <c r="K299" s="21"/>
      <c r="L299" s="23"/>
      <c r="M299" s="23"/>
    </row>
    <row r="300" spans="1:13" ht="15.75" customHeight="1">
      <c r="A300" s="23"/>
      <c r="B300" s="23"/>
      <c r="C300" s="23"/>
      <c r="D300" s="24"/>
      <c r="E300" s="23"/>
      <c r="F300" s="23"/>
      <c r="G300" s="23"/>
      <c r="H300" s="23"/>
      <c r="I300" s="23"/>
      <c r="J300" s="23"/>
      <c r="K300" s="21"/>
      <c r="L300" s="23"/>
      <c r="M300" s="23"/>
    </row>
    <row r="301" spans="1:13" ht="15.75" customHeight="1">
      <c r="A301" s="23"/>
      <c r="B301" s="23"/>
      <c r="C301" s="23"/>
      <c r="D301" s="24"/>
      <c r="E301" s="23"/>
      <c r="F301" s="23"/>
      <c r="G301" s="23"/>
      <c r="H301" s="23"/>
      <c r="I301" s="23"/>
      <c r="J301" s="23"/>
      <c r="K301" s="21"/>
      <c r="L301" s="23"/>
      <c r="M301" s="23"/>
    </row>
    <row r="302" spans="1:13" ht="15.75" customHeight="1">
      <c r="A302" s="23"/>
      <c r="B302" s="23"/>
      <c r="C302" s="23"/>
      <c r="D302" s="24"/>
      <c r="E302" s="23"/>
      <c r="F302" s="23"/>
      <c r="G302" s="23"/>
      <c r="H302" s="23"/>
      <c r="I302" s="23"/>
      <c r="J302" s="23"/>
      <c r="K302" s="21"/>
      <c r="L302" s="23"/>
      <c r="M302" s="23"/>
    </row>
    <row r="303" spans="1:13" ht="15.75" customHeight="1">
      <c r="A303" s="23"/>
      <c r="B303" s="23"/>
      <c r="C303" s="23"/>
      <c r="D303" s="24"/>
      <c r="E303" s="23"/>
      <c r="F303" s="23"/>
      <c r="G303" s="23"/>
      <c r="H303" s="23"/>
      <c r="I303" s="23"/>
      <c r="J303" s="23"/>
      <c r="K303" s="21"/>
      <c r="L303" s="23"/>
      <c r="M303" s="23"/>
    </row>
    <row r="304" spans="1:13" ht="15.75" customHeight="1">
      <c r="A304" s="23"/>
      <c r="B304" s="23"/>
      <c r="C304" s="23"/>
      <c r="D304" s="24"/>
      <c r="E304" s="23"/>
      <c r="F304" s="23"/>
      <c r="G304" s="23"/>
      <c r="H304" s="23"/>
      <c r="I304" s="23"/>
      <c r="J304" s="23"/>
      <c r="K304" s="21"/>
      <c r="L304" s="23"/>
      <c r="M304" s="23"/>
    </row>
    <row r="305" spans="1:13" ht="15.75" customHeight="1">
      <c r="A305" s="23"/>
      <c r="B305" s="23"/>
      <c r="C305" s="23"/>
      <c r="D305" s="24"/>
      <c r="E305" s="23"/>
      <c r="F305" s="23"/>
      <c r="G305" s="23"/>
      <c r="H305" s="23"/>
      <c r="I305" s="23"/>
      <c r="J305" s="23"/>
      <c r="K305" s="21"/>
      <c r="L305" s="23"/>
      <c r="M305" s="23"/>
    </row>
    <row r="306" spans="1:13" ht="15.75" customHeight="1">
      <c r="A306" s="23"/>
      <c r="B306" s="23"/>
      <c r="C306" s="23"/>
      <c r="D306" s="24"/>
      <c r="E306" s="23"/>
      <c r="F306" s="23"/>
      <c r="G306" s="23"/>
      <c r="H306" s="23"/>
      <c r="I306" s="23"/>
      <c r="J306" s="23"/>
      <c r="K306" s="21"/>
      <c r="L306" s="23"/>
      <c r="M306" s="23"/>
    </row>
    <row r="307" spans="1:13" ht="15.75" customHeight="1">
      <c r="A307" s="23"/>
      <c r="B307" s="23"/>
      <c r="C307" s="23"/>
      <c r="D307" s="24"/>
      <c r="E307" s="23"/>
      <c r="F307" s="23"/>
      <c r="G307" s="23"/>
      <c r="H307" s="23"/>
      <c r="I307" s="23"/>
      <c r="J307" s="23"/>
      <c r="K307" s="21"/>
      <c r="L307" s="23"/>
      <c r="M307" s="23"/>
    </row>
    <row r="308" spans="1:13" ht="15.75" customHeight="1">
      <c r="A308" s="23"/>
      <c r="B308" s="23"/>
      <c r="C308" s="23"/>
      <c r="D308" s="24"/>
      <c r="E308" s="23"/>
      <c r="F308" s="23"/>
      <c r="G308" s="23"/>
      <c r="H308" s="23"/>
      <c r="I308" s="23"/>
      <c r="J308" s="23"/>
      <c r="K308" s="21"/>
      <c r="L308" s="23"/>
      <c r="M308" s="23"/>
    </row>
    <row r="309" spans="1:13" ht="15.75" customHeight="1">
      <c r="A309" s="23"/>
      <c r="B309" s="23"/>
      <c r="C309" s="23"/>
      <c r="D309" s="24"/>
      <c r="E309" s="23"/>
      <c r="F309" s="23"/>
      <c r="G309" s="23"/>
      <c r="H309" s="23"/>
      <c r="I309" s="23"/>
      <c r="J309" s="23"/>
      <c r="K309" s="21"/>
      <c r="L309" s="23"/>
      <c r="M309" s="23"/>
    </row>
    <row r="310" spans="1:13" ht="15.75" customHeight="1">
      <c r="A310" s="23"/>
      <c r="B310" s="23"/>
      <c r="C310" s="23"/>
      <c r="D310" s="24"/>
      <c r="E310" s="23"/>
      <c r="F310" s="23"/>
      <c r="G310" s="23"/>
      <c r="H310" s="23"/>
      <c r="I310" s="23"/>
      <c r="J310" s="23"/>
      <c r="K310" s="21"/>
      <c r="L310" s="23"/>
      <c r="M310" s="23"/>
    </row>
    <row r="311" spans="1:13" ht="15.75" customHeight="1">
      <c r="A311" s="23"/>
      <c r="B311" s="23"/>
      <c r="C311" s="23"/>
      <c r="D311" s="24"/>
      <c r="E311" s="23"/>
      <c r="F311" s="23"/>
      <c r="G311" s="23"/>
      <c r="H311" s="23"/>
      <c r="I311" s="23"/>
      <c r="J311" s="23"/>
      <c r="K311" s="21"/>
      <c r="L311" s="23"/>
      <c r="M311" s="23"/>
    </row>
    <row r="312" spans="1:13" ht="15.75" customHeight="1">
      <c r="A312" s="23"/>
      <c r="B312" s="23"/>
      <c r="C312" s="23"/>
      <c r="D312" s="24"/>
      <c r="E312" s="23"/>
      <c r="F312" s="23"/>
      <c r="G312" s="23"/>
      <c r="H312" s="23"/>
      <c r="I312" s="23"/>
      <c r="J312" s="23"/>
      <c r="K312" s="21"/>
      <c r="L312" s="23"/>
      <c r="M312" s="23"/>
    </row>
    <row r="313" spans="1:13" ht="15.75" customHeight="1">
      <c r="A313" s="23"/>
      <c r="B313" s="23"/>
      <c r="C313" s="23"/>
      <c r="D313" s="24"/>
      <c r="E313" s="23"/>
      <c r="F313" s="23"/>
      <c r="G313" s="23"/>
      <c r="H313" s="23"/>
      <c r="I313" s="23"/>
      <c r="J313" s="23"/>
      <c r="K313" s="21"/>
      <c r="L313" s="23"/>
      <c r="M313" s="23"/>
    </row>
    <row r="314" spans="1:13" ht="15.75" customHeight="1">
      <c r="A314" s="23"/>
      <c r="B314" s="23"/>
      <c r="C314" s="23"/>
      <c r="D314" s="24"/>
      <c r="E314" s="23"/>
      <c r="F314" s="23"/>
      <c r="G314" s="23"/>
      <c r="H314" s="23"/>
      <c r="I314" s="23"/>
      <c r="J314" s="23"/>
      <c r="K314" s="21"/>
      <c r="L314" s="23"/>
      <c r="M314" s="23"/>
    </row>
    <row r="315" spans="1:13" ht="15.75" customHeight="1">
      <c r="A315" s="23"/>
      <c r="B315" s="23"/>
      <c r="C315" s="23"/>
      <c r="D315" s="24"/>
      <c r="E315" s="23"/>
      <c r="F315" s="23"/>
      <c r="G315" s="23"/>
      <c r="H315" s="23"/>
      <c r="I315" s="23"/>
      <c r="J315" s="23"/>
      <c r="K315" s="21"/>
      <c r="L315" s="23"/>
      <c r="M315" s="23"/>
    </row>
    <row r="316" spans="1:13" ht="15.75" customHeight="1">
      <c r="A316" s="23"/>
      <c r="B316" s="23"/>
      <c r="C316" s="23"/>
      <c r="D316" s="24"/>
      <c r="E316" s="23"/>
      <c r="F316" s="23"/>
      <c r="G316" s="23"/>
      <c r="H316" s="23"/>
      <c r="I316" s="23"/>
      <c r="J316" s="23"/>
      <c r="K316" s="21"/>
      <c r="L316" s="23"/>
      <c r="M316" s="23"/>
    </row>
    <row r="317" spans="1:13" ht="15.75" customHeight="1">
      <c r="A317" s="23"/>
      <c r="B317" s="23"/>
      <c r="C317" s="23"/>
      <c r="D317" s="24"/>
      <c r="E317" s="23"/>
      <c r="F317" s="23"/>
      <c r="G317" s="23"/>
      <c r="H317" s="23"/>
      <c r="I317" s="23"/>
      <c r="J317" s="23"/>
      <c r="K317" s="21"/>
      <c r="L317" s="23"/>
      <c r="M317" s="23"/>
    </row>
    <row r="318" spans="1:13" ht="15.75" customHeight="1">
      <c r="A318" s="23"/>
      <c r="B318" s="23"/>
      <c r="C318" s="23"/>
      <c r="D318" s="24"/>
      <c r="E318" s="23"/>
      <c r="F318" s="23"/>
      <c r="G318" s="23"/>
      <c r="H318" s="23"/>
      <c r="I318" s="23"/>
      <c r="J318" s="23"/>
      <c r="K318" s="21"/>
      <c r="L318" s="23"/>
      <c r="M318" s="23"/>
    </row>
    <row r="319" spans="1:13" ht="15.75" customHeight="1">
      <c r="A319" s="23"/>
      <c r="B319" s="23"/>
      <c r="C319" s="23"/>
      <c r="D319" s="24"/>
      <c r="E319" s="23"/>
      <c r="F319" s="23"/>
      <c r="G319" s="23"/>
      <c r="H319" s="23"/>
      <c r="I319" s="23"/>
      <c r="J319" s="23"/>
      <c r="K319" s="21"/>
      <c r="L319" s="23"/>
      <c r="M319" s="23"/>
    </row>
    <row r="320" spans="1:13" ht="15.75" customHeight="1">
      <c r="A320" s="23"/>
      <c r="B320" s="23"/>
      <c r="C320" s="23"/>
      <c r="D320" s="24"/>
      <c r="E320" s="23"/>
      <c r="F320" s="23"/>
      <c r="G320" s="23"/>
      <c r="H320" s="23"/>
      <c r="I320" s="23"/>
      <c r="J320" s="23"/>
      <c r="K320" s="21"/>
      <c r="L320" s="23"/>
      <c r="M320" s="23"/>
    </row>
    <row r="321" spans="1:13" ht="15.75" customHeight="1">
      <c r="A321" s="23"/>
      <c r="B321" s="23"/>
      <c r="C321" s="23"/>
      <c r="D321" s="24"/>
      <c r="E321" s="23"/>
      <c r="F321" s="23"/>
      <c r="G321" s="23"/>
      <c r="H321" s="23"/>
      <c r="I321" s="23"/>
      <c r="J321" s="23"/>
      <c r="K321" s="21"/>
      <c r="L321" s="23"/>
      <c r="M321" s="23"/>
    </row>
    <row r="322" spans="1:13" ht="15.75" customHeight="1">
      <c r="A322" s="23"/>
      <c r="B322" s="23"/>
      <c r="C322" s="23"/>
      <c r="D322" s="24"/>
      <c r="E322" s="23"/>
      <c r="F322" s="23"/>
      <c r="G322" s="23"/>
      <c r="H322" s="23"/>
      <c r="I322" s="23"/>
      <c r="J322" s="23"/>
      <c r="K322" s="21"/>
      <c r="L322" s="23"/>
      <c r="M322" s="23"/>
    </row>
    <row r="323" spans="1:13" ht="15.75" customHeight="1">
      <c r="A323" s="23"/>
      <c r="B323" s="23"/>
      <c r="C323" s="23"/>
      <c r="D323" s="24"/>
      <c r="E323" s="23"/>
      <c r="F323" s="23"/>
      <c r="G323" s="23"/>
      <c r="H323" s="23"/>
      <c r="I323" s="23"/>
      <c r="J323" s="23"/>
      <c r="K323" s="21"/>
      <c r="L323" s="23"/>
      <c r="M323" s="23"/>
    </row>
    <row r="324" spans="1:13" ht="15.75" customHeight="1">
      <c r="A324" s="23"/>
      <c r="B324" s="23"/>
      <c r="C324" s="23"/>
      <c r="D324" s="24"/>
      <c r="E324" s="23"/>
      <c r="F324" s="23"/>
      <c r="G324" s="23"/>
      <c r="H324" s="23"/>
      <c r="I324" s="23"/>
      <c r="J324" s="23"/>
      <c r="K324" s="21"/>
      <c r="L324" s="23"/>
      <c r="M324" s="23"/>
    </row>
    <row r="325" spans="1:13" ht="15.75" customHeight="1">
      <c r="A325" s="23"/>
      <c r="B325" s="23"/>
      <c r="C325" s="23"/>
      <c r="D325" s="24"/>
      <c r="E325" s="23"/>
      <c r="F325" s="23"/>
      <c r="G325" s="23"/>
      <c r="H325" s="23"/>
      <c r="I325" s="23"/>
      <c r="J325" s="23"/>
      <c r="K325" s="21"/>
      <c r="L325" s="23"/>
      <c r="M325" s="23"/>
    </row>
    <row r="326" spans="1:13" ht="15.75" customHeight="1">
      <c r="A326" s="23"/>
      <c r="B326" s="23"/>
      <c r="C326" s="23"/>
      <c r="D326" s="24"/>
      <c r="E326" s="23"/>
      <c r="F326" s="23"/>
      <c r="G326" s="23"/>
      <c r="H326" s="23"/>
      <c r="I326" s="23"/>
      <c r="J326" s="23"/>
      <c r="K326" s="21"/>
      <c r="L326" s="23"/>
      <c r="M326" s="23"/>
    </row>
    <row r="327" spans="1:13" ht="15.75" customHeight="1">
      <c r="A327" s="23"/>
      <c r="B327" s="23"/>
      <c r="C327" s="23"/>
      <c r="D327" s="24"/>
      <c r="E327" s="23"/>
      <c r="F327" s="23"/>
      <c r="G327" s="23"/>
      <c r="H327" s="23"/>
      <c r="I327" s="23"/>
      <c r="J327" s="23"/>
      <c r="K327" s="21"/>
      <c r="L327" s="23"/>
      <c r="M327" s="23"/>
    </row>
    <row r="328" spans="1:13" ht="15.75" customHeight="1">
      <c r="A328" s="23"/>
      <c r="B328" s="23"/>
      <c r="C328" s="23"/>
      <c r="D328" s="24"/>
      <c r="E328" s="23"/>
      <c r="F328" s="23"/>
      <c r="G328" s="23"/>
      <c r="H328" s="23"/>
      <c r="I328" s="23"/>
      <c r="J328" s="23"/>
      <c r="K328" s="21"/>
      <c r="L328" s="23"/>
      <c r="M328" s="23"/>
    </row>
    <row r="329" spans="1:13" ht="15.75" customHeight="1">
      <c r="A329" s="23"/>
      <c r="B329" s="23"/>
      <c r="C329" s="23"/>
      <c r="D329" s="24"/>
      <c r="E329" s="23"/>
      <c r="F329" s="23"/>
      <c r="G329" s="23"/>
      <c r="H329" s="23"/>
      <c r="I329" s="23"/>
      <c r="J329" s="23"/>
      <c r="K329" s="21"/>
      <c r="L329" s="23"/>
      <c r="M329" s="23"/>
    </row>
    <row r="330" spans="1:13" ht="15.75" customHeight="1">
      <c r="A330" s="23"/>
      <c r="B330" s="23"/>
      <c r="C330" s="23"/>
      <c r="D330" s="24"/>
      <c r="E330" s="23"/>
      <c r="F330" s="23"/>
      <c r="G330" s="23"/>
      <c r="H330" s="23"/>
      <c r="I330" s="23"/>
      <c r="J330" s="23"/>
      <c r="K330" s="21"/>
      <c r="L330" s="23"/>
      <c r="M330" s="23"/>
    </row>
    <row r="331" spans="1:13" ht="15.75" customHeight="1">
      <c r="A331" s="23"/>
      <c r="B331" s="23"/>
      <c r="C331" s="23"/>
      <c r="D331" s="24"/>
      <c r="E331" s="23"/>
      <c r="F331" s="23"/>
      <c r="G331" s="23"/>
      <c r="H331" s="23"/>
      <c r="I331" s="23"/>
      <c r="J331" s="23"/>
      <c r="K331" s="21"/>
      <c r="L331" s="23"/>
      <c r="M331" s="23"/>
    </row>
    <row r="332" spans="1:13" ht="15.75" customHeight="1">
      <c r="A332" s="23"/>
      <c r="B332" s="23"/>
      <c r="C332" s="23"/>
      <c r="D332" s="24"/>
      <c r="E332" s="23"/>
      <c r="F332" s="23"/>
      <c r="G332" s="23"/>
      <c r="H332" s="23"/>
      <c r="I332" s="23"/>
      <c r="J332" s="23"/>
      <c r="K332" s="21"/>
      <c r="L332" s="23"/>
      <c r="M332" s="23"/>
    </row>
    <row r="333" spans="1:13" ht="15.75" customHeight="1">
      <c r="A333" s="23"/>
      <c r="B333" s="23"/>
      <c r="C333" s="23"/>
      <c r="D333" s="24"/>
      <c r="E333" s="23"/>
      <c r="F333" s="23"/>
      <c r="G333" s="23"/>
      <c r="H333" s="23"/>
      <c r="I333" s="23"/>
      <c r="J333" s="23"/>
      <c r="K333" s="21"/>
      <c r="L333" s="23"/>
      <c r="M333" s="23"/>
    </row>
    <row r="334" spans="1:13" ht="15.75" customHeight="1">
      <c r="A334" s="23"/>
      <c r="B334" s="23"/>
      <c r="C334" s="23"/>
      <c r="D334" s="24"/>
      <c r="E334" s="23"/>
      <c r="F334" s="23"/>
      <c r="G334" s="23"/>
      <c r="H334" s="23"/>
      <c r="I334" s="23"/>
      <c r="J334" s="23"/>
      <c r="K334" s="21"/>
      <c r="L334" s="23"/>
      <c r="M334" s="23"/>
    </row>
    <row r="335" spans="1:13" ht="15.75" customHeight="1">
      <c r="A335" s="23"/>
      <c r="B335" s="23"/>
      <c r="C335" s="23"/>
      <c r="D335" s="24"/>
      <c r="E335" s="23"/>
      <c r="F335" s="23"/>
      <c r="G335" s="23"/>
      <c r="H335" s="23"/>
      <c r="I335" s="23"/>
      <c r="J335" s="23"/>
      <c r="K335" s="21"/>
      <c r="L335" s="23"/>
      <c r="M335" s="23"/>
    </row>
    <row r="336" spans="1:13" ht="15.75" customHeight="1">
      <c r="A336" s="23"/>
      <c r="B336" s="23"/>
      <c r="C336" s="23"/>
      <c r="D336" s="24"/>
      <c r="E336" s="23"/>
      <c r="F336" s="23"/>
      <c r="G336" s="23"/>
      <c r="H336" s="23"/>
      <c r="I336" s="23"/>
      <c r="J336" s="23"/>
      <c r="K336" s="21"/>
      <c r="L336" s="23"/>
      <c r="M336" s="23"/>
    </row>
    <row r="337" spans="1:13" ht="15.75" customHeight="1">
      <c r="A337" s="23"/>
      <c r="B337" s="23"/>
      <c r="C337" s="23"/>
      <c r="D337" s="24"/>
      <c r="E337" s="23"/>
      <c r="F337" s="23"/>
      <c r="G337" s="23"/>
      <c r="H337" s="23"/>
      <c r="I337" s="23"/>
      <c r="J337" s="23"/>
      <c r="K337" s="21"/>
      <c r="L337" s="23"/>
      <c r="M337" s="23"/>
    </row>
    <row r="338" spans="1:13" ht="15.75" customHeight="1">
      <c r="A338" s="23"/>
      <c r="B338" s="23"/>
      <c r="C338" s="23"/>
      <c r="D338" s="24"/>
      <c r="E338" s="23"/>
      <c r="F338" s="23"/>
      <c r="G338" s="23"/>
      <c r="H338" s="23"/>
      <c r="I338" s="23"/>
      <c r="J338" s="23"/>
      <c r="K338" s="21"/>
      <c r="L338" s="23"/>
      <c r="M338" s="23"/>
    </row>
    <row r="339" spans="1:13" ht="15.75" customHeight="1">
      <c r="A339" s="23"/>
      <c r="B339" s="23"/>
      <c r="C339" s="23"/>
      <c r="D339" s="24"/>
      <c r="E339" s="23"/>
      <c r="F339" s="23"/>
      <c r="G339" s="23"/>
      <c r="H339" s="23"/>
      <c r="I339" s="23"/>
      <c r="J339" s="23"/>
      <c r="K339" s="21"/>
      <c r="L339" s="23"/>
      <c r="M339" s="23"/>
    </row>
    <row r="340" spans="1:13" ht="15.75" customHeight="1">
      <c r="A340" s="23"/>
      <c r="B340" s="23"/>
      <c r="C340" s="23"/>
      <c r="D340" s="24"/>
      <c r="E340" s="23"/>
      <c r="F340" s="23"/>
      <c r="G340" s="23"/>
      <c r="H340" s="23"/>
      <c r="I340" s="23"/>
      <c r="J340" s="23"/>
      <c r="K340" s="21"/>
      <c r="L340" s="23"/>
      <c r="M340" s="23"/>
    </row>
    <row r="341" spans="1:13" ht="15.75" customHeight="1">
      <c r="A341" s="23"/>
      <c r="B341" s="23"/>
      <c r="C341" s="23"/>
      <c r="D341" s="24"/>
      <c r="E341" s="23"/>
      <c r="F341" s="23"/>
      <c r="G341" s="23"/>
      <c r="H341" s="23"/>
      <c r="I341" s="23"/>
      <c r="J341" s="23"/>
      <c r="K341" s="21"/>
      <c r="L341" s="23"/>
      <c r="M341" s="23"/>
    </row>
    <row r="342" spans="1:13" ht="15.75" customHeight="1">
      <c r="A342" s="23"/>
      <c r="B342" s="23"/>
      <c r="C342" s="23"/>
      <c r="D342" s="24"/>
      <c r="E342" s="23"/>
      <c r="F342" s="23"/>
      <c r="G342" s="23"/>
      <c r="H342" s="23"/>
      <c r="I342" s="23"/>
      <c r="J342" s="23"/>
      <c r="K342" s="21"/>
      <c r="L342" s="23"/>
      <c r="M342" s="23"/>
    </row>
    <row r="343" spans="1:13" ht="15.75" customHeight="1">
      <c r="A343" s="23"/>
      <c r="B343" s="23"/>
      <c r="C343" s="23"/>
      <c r="D343" s="24"/>
      <c r="E343" s="23"/>
      <c r="F343" s="23"/>
      <c r="G343" s="23"/>
      <c r="H343" s="23"/>
      <c r="I343" s="23"/>
      <c r="J343" s="23"/>
      <c r="K343" s="21"/>
      <c r="L343" s="23"/>
      <c r="M343" s="23"/>
    </row>
    <row r="344" spans="1:13" ht="15.75" customHeight="1">
      <c r="A344" s="23"/>
      <c r="B344" s="23"/>
      <c r="C344" s="23"/>
      <c r="D344" s="24"/>
      <c r="E344" s="23"/>
      <c r="F344" s="23"/>
      <c r="G344" s="23"/>
      <c r="H344" s="23"/>
      <c r="I344" s="23"/>
      <c r="J344" s="23"/>
      <c r="K344" s="21"/>
      <c r="L344" s="23"/>
      <c r="M344" s="23"/>
    </row>
    <row r="345" spans="1:13" ht="15.75" customHeight="1">
      <c r="A345" s="23"/>
      <c r="B345" s="23"/>
      <c r="C345" s="23"/>
      <c r="D345" s="24"/>
      <c r="E345" s="23"/>
      <c r="F345" s="23"/>
      <c r="G345" s="23"/>
      <c r="H345" s="23"/>
      <c r="I345" s="23"/>
      <c r="J345" s="23"/>
      <c r="K345" s="21"/>
      <c r="L345" s="23"/>
      <c r="M345" s="23"/>
    </row>
    <row r="346" spans="1:13" ht="15.75" customHeight="1">
      <c r="A346" s="23"/>
      <c r="B346" s="23"/>
      <c r="C346" s="23"/>
      <c r="D346" s="24"/>
      <c r="E346" s="23"/>
      <c r="F346" s="23"/>
      <c r="G346" s="23"/>
      <c r="H346" s="23"/>
      <c r="I346" s="23"/>
      <c r="J346" s="23"/>
      <c r="K346" s="21"/>
      <c r="L346" s="23"/>
      <c r="M346" s="23"/>
    </row>
    <row r="347" spans="1:13" ht="15.75" customHeight="1">
      <c r="A347" s="23"/>
      <c r="B347" s="23"/>
      <c r="C347" s="23"/>
      <c r="D347" s="24"/>
      <c r="E347" s="23"/>
      <c r="F347" s="23"/>
      <c r="G347" s="23"/>
      <c r="H347" s="23"/>
      <c r="I347" s="23"/>
      <c r="J347" s="23"/>
      <c r="K347" s="21"/>
      <c r="L347" s="23"/>
      <c r="M347" s="23"/>
    </row>
    <row r="348" spans="1:13" ht="15.75" customHeight="1">
      <c r="A348" s="23"/>
      <c r="B348" s="23"/>
      <c r="C348" s="23"/>
      <c r="D348" s="24"/>
      <c r="E348" s="23"/>
      <c r="F348" s="23"/>
      <c r="G348" s="23"/>
      <c r="H348" s="23"/>
      <c r="I348" s="23"/>
      <c r="J348" s="23"/>
      <c r="K348" s="21"/>
      <c r="L348" s="23"/>
      <c r="M348" s="23"/>
    </row>
    <row r="349" spans="1:13" ht="15.75" customHeight="1">
      <c r="A349" s="23"/>
      <c r="B349" s="23"/>
      <c r="C349" s="23"/>
      <c r="D349" s="24"/>
      <c r="E349" s="23"/>
      <c r="F349" s="23"/>
      <c r="G349" s="23"/>
      <c r="H349" s="23"/>
      <c r="I349" s="23"/>
      <c r="J349" s="23"/>
      <c r="K349" s="21"/>
      <c r="L349" s="23"/>
      <c r="M349" s="23"/>
    </row>
    <row r="350" spans="1:13" ht="15.75" customHeight="1">
      <c r="A350" s="23"/>
      <c r="B350" s="23"/>
      <c r="C350" s="23"/>
      <c r="D350" s="24"/>
      <c r="E350" s="23"/>
      <c r="F350" s="23"/>
      <c r="G350" s="23"/>
      <c r="H350" s="23"/>
      <c r="I350" s="23"/>
      <c r="J350" s="23"/>
      <c r="K350" s="21"/>
      <c r="L350" s="23"/>
      <c r="M350" s="23"/>
    </row>
    <row r="351" spans="1:13" ht="15.75" customHeight="1">
      <c r="A351" s="23"/>
      <c r="B351" s="23"/>
      <c r="C351" s="23"/>
      <c r="D351" s="24"/>
      <c r="E351" s="23"/>
      <c r="F351" s="23"/>
      <c r="G351" s="23"/>
      <c r="H351" s="23"/>
      <c r="I351" s="23"/>
      <c r="J351" s="23"/>
      <c r="K351" s="21"/>
      <c r="L351" s="23"/>
      <c r="M351" s="23"/>
    </row>
    <row r="352" spans="1:13" ht="15.75" customHeight="1">
      <c r="A352" s="23"/>
      <c r="B352" s="23"/>
      <c r="C352" s="23"/>
      <c r="D352" s="24"/>
      <c r="E352" s="23"/>
      <c r="F352" s="23"/>
      <c r="G352" s="23"/>
      <c r="H352" s="23"/>
      <c r="I352" s="23"/>
      <c r="J352" s="23"/>
      <c r="K352" s="21"/>
      <c r="L352" s="23"/>
      <c r="M352" s="23"/>
    </row>
    <row r="353" spans="1:13" ht="15.75" customHeight="1">
      <c r="A353" s="23"/>
      <c r="B353" s="23"/>
      <c r="C353" s="23"/>
      <c r="D353" s="24"/>
      <c r="E353" s="23"/>
      <c r="F353" s="23"/>
      <c r="G353" s="23"/>
      <c r="H353" s="23"/>
      <c r="I353" s="23"/>
      <c r="J353" s="23"/>
      <c r="K353" s="21"/>
      <c r="L353" s="23"/>
      <c r="M353" s="23"/>
    </row>
    <row r="354" spans="1:13" ht="15.75" customHeight="1">
      <c r="A354" s="23"/>
      <c r="B354" s="23"/>
      <c r="C354" s="23"/>
      <c r="D354" s="24"/>
      <c r="E354" s="23"/>
      <c r="F354" s="23"/>
      <c r="G354" s="23"/>
      <c r="H354" s="23"/>
      <c r="I354" s="23"/>
      <c r="J354" s="23"/>
      <c r="K354" s="21"/>
      <c r="L354" s="23"/>
      <c r="M354" s="23"/>
    </row>
    <row r="355" spans="1:13" ht="15.75" customHeight="1">
      <c r="A355" s="23"/>
      <c r="B355" s="23"/>
      <c r="C355" s="23"/>
      <c r="D355" s="24"/>
      <c r="E355" s="23"/>
      <c r="F355" s="23"/>
      <c r="G355" s="23"/>
      <c r="H355" s="23"/>
      <c r="I355" s="23"/>
      <c r="J355" s="23"/>
      <c r="K355" s="21"/>
      <c r="L355" s="23"/>
      <c r="M355" s="23"/>
    </row>
    <row r="356" spans="1:13" ht="15.75" customHeight="1">
      <c r="A356" s="23"/>
      <c r="B356" s="23"/>
      <c r="C356" s="23"/>
      <c r="D356" s="24"/>
      <c r="E356" s="23"/>
      <c r="F356" s="23"/>
      <c r="G356" s="23"/>
      <c r="H356" s="23"/>
      <c r="I356" s="23"/>
      <c r="J356" s="23"/>
      <c r="K356" s="21"/>
      <c r="L356" s="23"/>
      <c r="M356" s="23"/>
    </row>
    <row r="357" spans="1:13" ht="15.75" customHeight="1">
      <c r="A357" s="23"/>
      <c r="B357" s="23"/>
      <c r="C357" s="23"/>
      <c r="D357" s="24"/>
      <c r="E357" s="23"/>
      <c r="F357" s="23"/>
      <c r="G357" s="23"/>
      <c r="H357" s="23"/>
      <c r="I357" s="23"/>
      <c r="J357" s="23"/>
      <c r="K357" s="21"/>
      <c r="L357" s="23"/>
      <c r="M357" s="23"/>
    </row>
    <row r="358" spans="1:13" ht="15.75" customHeight="1">
      <c r="A358" s="23"/>
      <c r="B358" s="23"/>
      <c r="C358" s="23"/>
      <c r="D358" s="24"/>
      <c r="E358" s="23"/>
      <c r="F358" s="23"/>
      <c r="G358" s="23"/>
      <c r="H358" s="23"/>
      <c r="I358" s="23"/>
      <c r="J358" s="23"/>
      <c r="K358" s="21"/>
      <c r="L358" s="23"/>
      <c r="M358" s="23"/>
    </row>
    <row r="359" spans="1:13" ht="15.75" customHeight="1">
      <c r="A359" s="23"/>
      <c r="B359" s="23"/>
      <c r="C359" s="23"/>
      <c r="D359" s="24"/>
      <c r="E359" s="23"/>
      <c r="F359" s="23"/>
      <c r="G359" s="23"/>
      <c r="H359" s="23"/>
      <c r="I359" s="23"/>
      <c r="J359" s="23"/>
      <c r="K359" s="21"/>
      <c r="L359" s="23"/>
      <c r="M359" s="23"/>
    </row>
    <row r="360" spans="1:13" ht="15.75" customHeight="1">
      <c r="A360" s="23"/>
      <c r="B360" s="23"/>
      <c r="C360" s="23"/>
      <c r="D360" s="24"/>
      <c r="E360" s="23"/>
      <c r="F360" s="23"/>
      <c r="G360" s="23"/>
      <c r="H360" s="23"/>
      <c r="I360" s="23"/>
      <c r="J360" s="23"/>
      <c r="K360" s="21"/>
      <c r="L360" s="23"/>
      <c r="M360" s="23"/>
    </row>
    <row r="361" spans="1:13" ht="15.75" customHeight="1">
      <c r="A361" s="23"/>
      <c r="B361" s="23"/>
      <c r="C361" s="23"/>
      <c r="D361" s="24"/>
      <c r="E361" s="23"/>
      <c r="F361" s="23"/>
      <c r="G361" s="23"/>
      <c r="H361" s="23"/>
      <c r="I361" s="23"/>
      <c r="J361" s="23"/>
      <c r="K361" s="21"/>
      <c r="L361" s="23"/>
      <c r="M361" s="23"/>
    </row>
    <row r="362" spans="1:13" ht="15.75" customHeight="1">
      <c r="A362" s="23"/>
      <c r="B362" s="23"/>
      <c r="C362" s="23"/>
      <c r="D362" s="24"/>
      <c r="E362" s="23"/>
      <c r="F362" s="23"/>
      <c r="G362" s="23"/>
      <c r="H362" s="23"/>
      <c r="I362" s="23"/>
      <c r="J362" s="23"/>
      <c r="K362" s="21"/>
      <c r="L362" s="23"/>
      <c r="M362" s="23"/>
    </row>
    <row r="363" spans="1:13" ht="15.75" customHeight="1">
      <c r="A363" s="23"/>
      <c r="B363" s="23"/>
      <c r="C363" s="23"/>
      <c r="D363" s="24"/>
      <c r="E363" s="23"/>
      <c r="F363" s="23"/>
      <c r="G363" s="23"/>
      <c r="H363" s="23"/>
      <c r="I363" s="23"/>
      <c r="J363" s="23"/>
      <c r="K363" s="21"/>
      <c r="L363" s="23"/>
      <c r="M363" s="23"/>
    </row>
    <row r="364" spans="1:13" ht="15.75" customHeight="1">
      <c r="A364" s="23"/>
      <c r="B364" s="23"/>
      <c r="C364" s="23"/>
      <c r="D364" s="24"/>
      <c r="E364" s="23"/>
      <c r="F364" s="23"/>
      <c r="G364" s="23"/>
      <c r="H364" s="23"/>
      <c r="I364" s="23"/>
      <c r="J364" s="23"/>
      <c r="K364" s="21"/>
      <c r="L364" s="23"/>
      <c r="M364" s="23"/>
    </row>
    <row r="365" spans="1:13" ht="15.75" customHeight="1">
      <c r="A365" s="23"/>
      <c r="B365" s="23"/>
      <c r="C365" s="23"/>
      <c r="D365" s="24"/>
      <c r="E365" s="23"/>
      <c r="F365" s="23"/>
      <c r="G365" s="23"/>
      <c r="H365" s="23"/>
      <c r="I365" s="23"/>
      <c r="J365" s="23"/>
      <c r="K365" s="21"/>
      <c r="L365" s="23"/>
      <c r="M365" s="23"/>
    </row>
    <row r="366" spans="1:13" ht="15.75" customHeight="1">
      <c r="A366" s="23"/>
      <c r="B366" s="23"/>
      <c r="C366" s="23"/>
      <c r="D366" s="24"/>
      <c r="E366" s="23"/>
      <c r="F366" s="23"/>
      <c r="G366" s="23"/>
      <c r="H366" s="23"/>
      <c r="I366" s="23"/>
      <c r="J366" s="23"/>
      <c r="K366" s="21"/>
      <c r="L366" s="23"/>
      <c r="M366" s="23"/>
    </row>
    <row r="367" spans="1:13" ht="15.75" customHeight="1">
      <c r="A367" s="23"/>
      <c r="B367" s="23"/>
      <c r="C367" s="23"/>
      <c r="D367" s="24"/>
      <c r="E367" s="23"/>
      <c r="F367" s="23"/>
      <c r="G367" s="23"/>
      <c r="H367" s="23"/>
      <c r="I367" s="23"/>
      <c r="J367" s="23"/>
      <c r="K367" s="21"/>
      <c r="L367" s="23"/>
      <c r="M367" s="23"/>
    </row>
    <row r="368" spans="1:13" ht="15.75" customHeight="1">
      <c r="A368" s="23"/>
      <c r="B368" s="23"/>
      <c r="C368" s="23"/>
      <c r="D368" s="24"/>
      <c r="E368" s="23"/>
      <c r="F368" s="23"/>
      <c r="G368" s="23"/>
      <c r="H368" s="23"/>
      <c r="I368" s="23"/>
      <c r="J368" s="23"/>
      <c r="K368" s="21"/>
      <c r="L368" s="23"/>
      <c r="M368" s="23"/>
    </row>
    <row r="369" spans="1:13" ht="15.75" customHeight="1">
      <c r="A369" s="23"/>
      <c r="B369" s="23"/>
      <c r="C369" s="23"/>
      <c r="D369" s="24"/>
      <c r="E369" s="23"/>
      <c r="F369" s="23"/>
      <c r="G369" s="23"/>
      <c r="H369" s="23"/>
      <c r="I369" s="23"/>
      <c r="J369" s="23"/>
      <c r="K369" s="21"/>
      <c r="L369" s="23"/>
      <c r="M369" s="23"/>
    </row>
    <row r="370" spans="1:13" ht="15.75" customHeight="1">
      <c r="A370" s="23"/>
      <c r="B370" s="23"/>
      <c r="C370" s="23"/>
      <c r="D370" s="24"/>
      <c r="E370" s="23"/>
      <c r="F370" s="23"/>
      <c r="G370" s="23"/>
      <c r="H370" s="23"/>
      <c r="I370" s="23"/>
      <c r="J370" s="23"/>
      <c r="K370" s="21"/>
      <c r="L370" s="23"/>
      <c r="M370" s="23"/>
    </row>
    <row r="371" spans="1:13" ht="15.75" customHeight="1">
      <c r="A371" s="23"/>
      <c r="B371" s="23"/>
      <c r="C371" s="23"/>
      <c r="D371" s="24"/>
      <c r="E371" s="23"/>
      <c r="F371" s="23"/>
      <c r="G371" s="23"/>
      <c r="H371" s="23"/>
      <c r="I371" s="23"/>
      <c r="J371" s="23"/>
      <c r="K371" s="21"/>
      <c r="L371" s="23"/>
      <c r="M371" s="23"/>
    </row>
    <row r="372" spans="1:13" ht="15.75" customHeight="1">
      <c r="A372" s="23"/>
      <c r="B372" s="23"/>
      <c r="C372" s="23"/>
      <c r="D372" s="24"/>
      <c r="E372" s="23"/>
      <c r="F372" s="23"/>
      <c r="G372" s="23"/>
      <c r="H372" s="23"/>
      <c r="I372" s="23"/>
      <c r="J372" s="23"/>
      <c r="K372" s="21"/>
      <c r="L372" s="23"/>
      <c r="M372" s="23"/>
    </row>
    <row r="373" spans="1:13" ht="15.75" customHeight="1">
      <c r="A373" s="23"/>
      <c r="B373" s="23"/>
      <c r="C373" s="23"/>
      <c r="D373" s="24"/>
      <c r="E373" s="23"/>
      <c r="F373" s="23"/>
      <c r="G373" s="23"/>
      <c r="H373" s="23"/>
      <c r="I373" s="23"/>
      <c r="J373" s="23"/>
      <c r="K373" s="21"/>
      <c r="L373" s="23"/>
      <c r="M373" s="23"/>
    </row>
    <row r="374" spans="1:13" ht="15.75" customHeight="1">
      <c r="A374" s="23"/>
      <c r="B374" s="23"/>
      <c r="C374" s="23"/>
      <c r="D374" s="24"/>
      <c r="E374" s="23"/>
      <c r="F374" s="23"/>
      <c r="G374" s="23"/>
      <c r="H374" s="23"/>
      <c r="I374" s="23"/>
      <c r="J374" s="23"/>
      <c r="K374" s="21"/>
      <c r="L374" s="23"/>
      <c r="M374" s="23"/>
    </row>
    <row r="375" spans="1:13" ht="15.75" customHeight="1">
      <c r="A375" s="23"/>
      <c r="B375" s="23"/>
      <c r="C375" s="23"/>
      <c r="D375" s="24"/>
      <c r="E375" s="23"/>
      <c r="F375" s="23"/>
      <c r="G375" s="23"/>
      <c r="H375" s="23"/>
      <c r="I375" s="23"/>
      <c r="J375" s="23"/>
      <c r="K375" s="21"/>
      <c r="L375" s="23"/>
      <c r="M375" s="23"/>
    </row>
    <row r="376" spans="1:13" ht="15.75" customHeight="1">
      <c r="A376" s="23"/>
      <c r="B376" s="23"/>
      <c r="C376" s="23"/>
      <c r="D376" s="24"/>
      <c r="E376" s="23"/>
      <c r="F376" s="23"/>
      <c r="G376" s="23"/>
      <c r="H376" s="23"/>
      <c r="I376" s="23"/>
      <c r="J376" s="23"/>
      <c r="K376" s="21"/>
      <c r="L376" s="23"/>
      <c r="M376" s="23"/>
    </row>
    <row r="377" spans="1:13" ht="15.75" customHeight="1">
      <c r="A377" s="23"/>
      <c r="B377" s="23"/>
      <c r="C377" s="23"/>
      <c r="D377" s="24"/>
      <c r="E377" s="23"/>
      <c r="F377" s="23"/>
      <c r="G377" s="23"/>
      <c r="H377" s="23"/>
      <c r="I377" s="23"/>
      <c r="J377" s="23"/>
      <c r="K377" s="21"/>
      <c r="L377" s="23"/>
      <c r="M377" s="23"/>
    </row>
    <row r="378" spans="1:13" ht="15.75" customHeight="1">
      <c r="A378" s="23"/>
      <c r="B378" s="23"/>
      <c r="C378" s="23"/>
      <c r="D378" s="24"/>
      <c r="E378" s="23"/>
      <c r="F378" s="23"/>
      <c r="G378" s="23"/>
      <c r="H378" s="23"/>
      <c r="I378" s="23"/>
      <c r="J378" s="23"/>
      <c r="K378" s="21"/>
      <c r="L378" s="23"/>
      <c r="M378" s="23"/>
    </row>
    <row r="379" spans="1:13" ht="15.75" customHeight="1">
      <c r="A379" s="23"/>
      <c r="B379" s="23"/>
      <c r="C379" s="23"/>
      <c r="D379" s="24"/>
      <c r="E379" s="23"/>
      <c r="F379" s="23"/>
      <c r="G379" s="23"/>
      <c r="H379" s="23"/>
      <c r="I379" s="23"/>
      <c r="J379" s="23"/>
      <c r="K379" s="21"/>
      <c r="L379" s="23"/>
      <c r="M379" s="23"/>
    </row>
    <row r="380" spans="1:13" ht="15.75" customHeight="1">
      <c r="A380" s="23"/>
      <c r="B380" s="23"/>
      <c r="C380" s="23"/>
      <c r="D380" s="24"/>
      <c r="E380" s="23"/>
      <c r="F380" s="23"/>
      <c r="G380" s="23"/>
      <c r="H380" s="23"/>
      <c r="I380" s="23"/>
      <c r="J380" s="23"/>
      <c r="K380" s="21"/>
      <c r="L380" s="23"/>
      <c r="M380" s="23"/>
    </row>
    <row r="381" spans="1:13" ht="15.75" customHeight="1">
      <c r="A381" s="23"/>
      <c r="B381" s="23"/>
      <c r="C381" s="23"/>
      <c r="D381" s="24"/>
      <c r="E381" s="23"/>
      <c r="F381" s="23"/>
      <c r="G381" s="23"/>
      <c r="H381" s="23"/>
      <c r="I381" s="23"/>
      <c r="J381" s="23"/>
      <c r="K381" s="21"/>
      <c r="L381" s="23"/>
      <c r="M381" s="23"/>
    </row>
    <row r="382" spans="1:13" ht="15.75" customHeight="1">
      <c r="A382" s="23"/>
      <c r="B382" s="23"/>
      <c r="C382" s="23"/>
      <c r="D382" s="24"/>
      <c r="E382" s="23"/>
      <c r="F382" s="23"/>
      <c r="G382" s="23"/>
      <c r="H382" s="23"/>
      <c r="I382" s="23"/>
      <c r="J382" s="23"/>
      <c r="K382" s="21"/>
      <c r="L382" s="23"/>
      <c r="M382" s="23"/>
    </row>
    <row r="383" spans="1:13" ht="15.75" customHeight="1">
      <c r="A383" s="23"/>
      <c r="B383" s="23"/>
      <c r="C383" s="23"/>
      <c r="D383" s="24"/>
      <c r="E383" s="23"/>
      <c r="F383" s="23"/>
      <c r="G383" s="23"/>
      <c r="H383" s="23"/>
      <c r="I383" s="23"/>
      <c r="J383" s="23"/>
      <c r="K383" s="21"/>
      <c r="L383" s="23"/>
      <c r="M383" s="23"/>
    </row>
    <row r="384" spans="1:13" ht="15.75" customHeight="1">
      <c r="A384" s="23"/>
      <c r="B384" s="23"/>
      <c r="C384" s="23"/>
      <c r="D384" s="24"/>
      <c r="E384" s="23"/>
      <c r="F384" s="23"/>
      <c r="G384" s="23"/>
      <c r="H384" s="23"/>
      <c r="I384" s="23"/>
      <c r="J384" s="23"/>
      <c r="K384" s="21"/>
      <c r="L384" s="23"/>
      <c r="M384" s="23"/>
    </row>
    <row r="385" spans="1:13" ht="15.75" customHeight="1">
      <c r="A385" s="23"/>
      <c r="B385" s="23"/>
      <c r="C385" s="23"/>
      <c r="D385" s="24"/>
      <c r="E385" s="23"/>
      <c r="F385" s="23"/>
      <c r="G385" s="23"/>
      <c r="H385" s="23"/>
      <c r="I385" s="23"/>
      <c r="J385" s="23"/>
      <c r="K385" s="21"/>
      <c r="L385" s="23"/>
      <c r="M385" s="23"/>
    </row>
    <row r="386" spans="1:13" ht="15.75" customHeight="1">
      <c r="A386" s="23"/>
      <c r="B386" s="23"/>
      <c r="C386" s="23"/>
      <c r="D386" s="24"/>
      <c r="E386" s="23"/>
      <c r="F386" s="23"/>
      <c r="G386" s="23"/>
      <c r="H386" s="23"/>
      <c r="I386" s="23"/>
      <c r="J386" s="23"/>
      <c r="K386" s="21"/>
      <c r="L386" s="23"/>
      <c r="M386" s="23"/>
    </row>
    <row r="387" spans="1:13" ht="15.75" customHeight="1">
      <c r="A387" s="23"/>
      <c r="B387" s="23"/>
      <c r="C387" s="23"/>
      <c r="D387" s="24"/>
      <c r="E387" s="23"/>
      <c r="F387" s="23"/>
      <c r="G387" s="23"/>
      <c r="H387" s="23"/>
      <c r="I387" s="23"/>
      <c r="J387" s="23"/>
      <c r="K387" s="21"/>
      <c r="L387" s="23"/>
      <c r="M387" s="23"/>
    </row>
    <row r="388" spans="1:13" ht="15.75" customHeight="1">
      <c r="A388" s="23"/>
      <c r="B388" s="23"/>
      <c r="C388" s="23"/>
      <c r="D388" s="24"/>
      <c r="E388" s="23"/>
      <c r="F388" s="23"/>
      <c r="G388" s="23"/>
      <c r="H388" s="23"/>
      <c r="I388" s="23"/>
      <c r="J388" s="23"/>
      <c r="K388" s="21"/>
      <c r="L388" s="23"/>
      <c r="M388" s="23"/>
    </row>
    <row r="389" spans="1:13" ht="15.75" customHeight="1">
      <c r="A389" s="23"/>
      <c r="B389" s="23"/>
      <c r="C389" s="23"/>
      <c r="D389" s="24"/>
      <c r="E389" s="23"/>
      <c r="F389" s="23"/>
      <c r="G389" s="23"/>
      <c r="H389" s="23"/>
      <c r="I389" s="23"/>
      <c r="J389" s="23"/>
      <c r="K389" s="21"/>
      <c r="L389" s="23"/>
      <c r="M389" s="23"/>
    </row>
    <row r="390" spans="1:13" ht="15.75" customHeight="1">
      <c r="A390" s="23"/>
      <c r="B390" s="23"/>
      <c r="C390" s="23"/>
      <c r="D390" s="24"/>
      <c r="E390" s="23"/>
      <c r="F390" s="23"/>
      <c r="G390" s="23"/>
      <c r="H390" s="23"/>
      <c r="I390" s="23"/>
      <c r="J390" s="23"/>
      <c r="K390" s="21"/>
      <c r="L390" s="23"/>
      <c r="M390" s="23"/>
    </row>
    <row r="391" spans="1:13" ht="15.75" customHeight="1">
      <c r="A391" s="23"/>
      <c r="B391" s="23"/>
      <c r="C391" s="23"/>
      <c r="D391" s="24"/>
      <c r="E391" s="23"/>
      <c r="F391" s="23"/>
      <c r="G391" s="23"/>
      <c r="H391" s="23"/>
      <c r="I391" s="23"/>
      <c r="J391" s="23"/>
      <c r="K391" s="21"/>
      <c r="L391" s="23"/>
      <c r="M391" s="23"/>
    </row>
    <row r="392" spans="1:13" ht="15.75" customHeight="1">
      <c r="A392" s="23"/>
      <c r="B392" s="23"/>
      <c r="C392" s="23"/>
      <c r="D392" s="24"/>
      <c r="E392" s="23"/>
      <c r="F392" s="23"/>
      <c r="G392" s="23"/>
      <c r="H392" s="23"/>
      <c r="I392" s="23"/>
      <c r="J392" s="23"/>
      <c r="K392" s="21"/>
      <c r="L392" s="23"/>
      <c r="M392" s="23"/>
    </row>
    <row r="393" spans="1:13" ht="15.75" customHeight="1">
      <c r="A393" s="23"/>
      <c r="B393" s="23"/>
      <c r="C393" s="23"/>
      <c r="D393" s="24"/>
      <c r="E393" s="23"/>
      <c r="F393" s="23"/>
      <c r="G393" s="23"/>
      <c r="H393" s="23"/>
      <c r="I393" s="23"/>
      <c r="J393" s="23"/>
      <c r="K393" s="21"/>
      <c r="L393" s="23"/>
      <c r="M393" s="23"/>
    </row>
    <row r="394" spans="1:13" ht="15.75" customHeight="1">
      <c r="A394" s="23"/>
      <c r="B394" s="23"/>
      <c r="C394" s="23"/>
      <c r="D394" s="24"/>
      <c r="E394" s="23"/>
      <c r="F394" s="23"/>
      <c r="G394" s="23"/>
      <c r="H394" s="23"/>
      <c r="I394" s="23"/>
      <c r="J394" s="23"/>
      <c r="K394" s="21"/>
      <c r="L394" s="23"/>
      <c r="M394" s="23"/>
    </row>
    <row r="395" spans="1:13" ht="15.75" customHeight="1">
      <c r="A395" s="23"/>
      <c r="B395" s="23"/>
      <c r="C395" s="23"/>
      <c r="D395" s="24"/>
      <c r="E395" s="23"/>
      <c r="F395" s="23"/>
      <c r="G395" s="23"/>
      <c r="H395" s="23"/>
      <c r="I395" s="23"/>
      <c r="J395" s="23"/>
      <c r="K395" s="21"/>
      <c r="L395" s="23"/>
      <c r="M395" s="23"/>
    </row>
    <row r="396" spans="1:13" ht="15.75" customHeight="1">
      <c r="A396" s="23"/>
      <c r="B396" s="23"/>
      <c r="C396" s="23"/>
      <c r="D396" s="24"/>
      <c r="E396" s="23"/>
      <c r="F396" s="23"/>
      <c r="G396" s="23"/>
      <c r="H396" s="23"/>
      <c r="I396" s="23"/>
      <c r="J396" s="23"/>
      <c r="K396" s="21"/>
      <c r="L396" s="23"/>
      <c r="M396" s="23"/>
    </row>
    <row r="397" spans="1:13" ht="15.75" customHeight="1">
      <c r="A397" s="23"/>
      <c r="B397" s="23"/>
      <c r="C397" s="23"/>
      <c r="D397" s="24"/>
      <c r="E397" s="23"/>
      <c r="F397" s="23"/>
      <c r="G397" s="23"/>
      <c r="H397" s="23"/>
      <c r="I397" s="23"/>
      <c r="J397" s="23"/>
      <c r="K397" s="21"/>
      <c r="L397" s="23"/>
      <c r="M397" s="23"/>
    </row>
    <row r="398" spans="1:13" ht="15.75" customHeight="1">
      <c r="A398" s="23"/>
      <c r="B398" s="23"/>
      <c r="C398" s="23"/>
      <c r="D398" s="24"/>
      <c r="E398" s="23"/>
      <c r="F398" s="23"/>
      <c r="G398" s="23"/>
      <c r="H398" s="23"/>
      <c r="I398" s="23"/>
      <c r="J398" s="23"/>
      <c r="K398" s="21"/>
      <c r="L398" s="23"/>
      <c r="M398" s="23"/>
    </row>
    <row r="399" spans="1:13" ht="15.75" customHeight="1">
      <c r="A399" s="23"/>
      <c r="B399" s="23"/>
      <c r="C399" s="23"/>
      <c r="D399" s="24"/>
      <c r="E399" s="23"/>
      <c r="F399" s="23"/>
      <c r="G399" s="23"/>
      <c r="H399" s="23"/>
      <c r="I399" s="23"/>
      <c r="J399" s="23"/>
      <c r="K399" s="21"/>
      <c r="L399" s="23"/>
      <c r="M399" s="23"/>
    </row>
    <row r="400" spans="1:13" ht="15.75" customHeight="1">
      <c r="A400" s="23"/>
      <c r="B400" s="23"/>
      <c r="C400" s="23"/>
      <c r="D400" s="24"/>
      <c r="E400" s="23"/>
      <c r="F400" s="23"/>
      <c r="G400" s="23"/>
      <c r="H400" s="23"/>
      <c r="I400" s="23"/>
      <c r="J400" s="23"/>
      <c r="K400" s="21"/>
      <c r="L400" s="23"/>
      <c r="M400" s="23"/>
    </row>
    <row r="401" spans="1:13" ht="15.75" customHeight="1">
      <c r="A401" s="23"/>
      <c r="B401" s="23"/>
      <c r="C401" s="23"/>
      <c r="D401" s="24"/>
      <c r="E401" s="23"/>
      <c r="F401" s="23"/>
      <c r="G401" s="23"/>
      <c r="H401" s="23"/>
      <c r="I401" s="23"/>
      <c r="J401" s="23"/>
      <c r="K401" s="21"/>
      <c r="L401" s="23"/>
      <c r="M401" s="23"/>
    </row>
    <row r="402" spans="1:13" ht="15.75" customHeight="1">
      <c r="A402" s="23"/>
      <c r="B402" s="23"/>
      <c r="C402" s="23"/>
      <c r="D402" s="24"/>
      <c r="E402" s="23"/>
      <c r="F402" s="23"/>
      <c r="G402" s="23"/>
      <c r="H402" s="23"/>
      <c r="I402" s="23"/>
      <c r="J402" s="23"/>
      <c r="K402" s="21"/>
      <c r="L402" s="23"/>
      <c r="M402" s="23"/>
    </row>
    <row r="403" spans="1:13" ht="15.75" customHeight="1">
      <c r="A403" s="23"/>
      <c r="B403" s="23"/>
      <c r="C403" s="23"/>
      <c r="D403" s="24"/>
      <c r="E403" s="23"/>
      <c r="F403" s="23"/>
      <c r="G403" s="23"/>
      <c r="H403" s="23"/>
      <c r="I403" s="23"/>
      <c r="J403" s="23"/>
      <c r="K403" s="21"/>
      <c r="L403" s="23"/>
      <c r="M403" s="23"/>
    </row>
    <row r="404" spans="1:13" ht="15.75" customHeight="1">
      <c r="A404" s="23"/>
      <c r="B404" s="23"/>
      <c r="C404" s="23"/>
      <c r="D404" s="24"/>
      <c r="E404" s="23"/>
      <c r="F404" s="23"/>
      <c r="G404" s="23"/>
      <c r="H404" s="23"/>
      <c r="I404" s="23"/>
      <c r="J404" s="23"/>
      <c r="K404" s="21"/>
      <c r="L404" s="23"/>
      <c r="M404" s="23"/>
    </row>
    <row r="405" spans="1:13" ht="15.75" customHeight="1">
      <c r="A405" s="23"/>
      <c r="B405" s="23"/>
      <c r="C405" s="23"/>
      <c r="D405" s="24"/>
      <c r="E405" s="23"/>
      <c r="F405" s="23"/>
      <c r="G405" s="23"/>
      <c r="H405" s="23"/>
      <c r="I405" s="23"/>
      <c r="J405" s="23"/>
      <c r="K405" s="21"/>
      <c r="L405" s="23"/>
      <c r="M405" s="23"/>
    </row>
    <row r="406" spans="1:13" ht="15.75" customHeight="1">
      <c r="A406" s="23"/>
      <c r="B406" s="23"/>
      <c r="C406" s="23"/>
      <c r="D406" s="24"/>
      <c r="E406" s="23"/>
      <c r="F406" s="23"/>
      <c r="G406" s="23"/>
      <c r="H406" s="23"/>
      <c r="I406" s="23"/>
      <c r="J406" s="23"/>
      <c r="K406" s="21"/>
      <c r="L406" s="23"/>
      <c r="M406" s="23"/>
    </row>
    <row r="407" spans="1:13" ht="15.75" customHeight="1">
      <c r="A407" s="23"/>
      <c r="B407" s="23"/>
      <c r="C407" s="23"/>
      <c r="D407" s="24"/>
      <c r="E407" s="23"/>
      <c r="F407" s="23"/>
      <c r="G407" s="23"/>
      <c r="H407" s="23"/>
      <c r="I407" s="23"/>
      <c r="J407" s="23"/>
      <c r="K407" s="21"/>
      <c r="L407" s="23"/>
      <c r="M407" s="23"/>
    </row>
    <row r="408" spans="1:13" ht="15.75" customHeight="1">
      <c r="A408" s="23"/>
      <c r="B408" s="23"/>
      <c r="C408" s="23"/>
      <c r="D408" s="24"/>
      <c r="E408" s="23"/>
      <c r="F408" s="23"/>
      <c r="G408" s="23"/>
      <c r="H408" s="23"/>
      <c r="I408" s="23"/>
      <c r="J408" s="23"/>
      <c r="K408" s="21"/>
      <c r="L408" s="23"/>
      <c r="M408" s="23"/>
    </row>
    <row r="409" spans="1:13" ht="15.75" customHeight="1">
      <c r="A409" s="23"/>
      <c r="B409" s="23"/>
      <c r="C409" s="23"/>
      <c r="D409" s="24"/>
      <c r="E409" s="23"/>
      <c r="F409" s="23"/>
      <c r="G409" s="23"/>
      <c r="H409" s="23"/>
      <c r="I409" s="23"/>
      <c r="J409" s="23"/>
      <c r="K409" s="21"/>
      <c r="L409" s="23"/>
      <c r="M409" s="23"/>
    </row>
    <row r="410" spans="1:13" ht="15.75" customHeight="1">
      <c r="A410" s="23"/>
      <c r="B410" s="23"/>
      <c r="C410" s="23"/>
      <c r="D410" s="24"/>
      <c r="E410" s="23"/>
      <c r="F410" s="23"/>
      <c r="G410" s="23"/>
      <c r="H410" s="23"/>
      <c r="I410" s="23"/>
      <c r="J410" s="23"/>
      <c r="K410" s="21"/>
      <c r="L410" s="23"/>
      <c r="M410" s="23"/>
    </row>
    <row r="411" spans="1:13" ht="15.75" customHeight="1">
      <c r="A411" s="23"/>
      <c r="B411" s="23"/>
      <c r="C411" s="23"/>
      <c r="D411" s="24"/>
      <c r="E411" s="23"/>
      <c r="F411" s="23"/>
      <c r="G411" s="23"/>
      <c r="H411" s="23"/>
      <c r="I411" s="23"/>
      <c r="J411" s="23"/>
      <c r="K411" s="21"/>
      <c r="L411" s="23"/>
      <c r="M411" s="23"/>
    </row>
    <row r="412" spans="1:13" ht="15.75" customHeight="1">
      <c r="A412" s="23"/>
      <c r="B412" s="23"/>
      <c r="C412" s="23"/>
      <c r="D412" s="24"/>
      <c r="E412" s="23"/>
      <c r="F412" s="23"/>
      <c r="G412" s="23"/>
      <c r="H412" s="23"/>
      <c r="I412" s="23"/>
      <c r="J412" s="23"/>
      <c r="K412" s="21"/>
      <c r="L412" s="23"/>
      <c r="M412" s="23"/>
    </row>
    <row r="413" spans="1:13" ht="15.75" customHeight="1">
      <c r="A413" s="23"/>
      <c r="B413" s="23"/>
      <c r="C413" s="23"/>
      <c r="D413" s="24"/>
      <c r="E413" s="23"/>
      <c r="F413" s="23"/>
      <c r="G413" s="23"/>
      <c r="H413" s="23"/>
      <c r="I413" s="23"/>
      <c r="J413" s="23"/>
      <c r="K413" s="21"/>
      <c r="L413" s="23"/>
      <c r="M413" s="23"/>
    </row>
    <row r="414" spans="1:13" ht="15.75" customHeight="1">
      <c r="A414" s="23"/>
      <c r="B414" s="23"/>
      <c r="C414" s="23"/>
      <c r="D414" s="24"/>
      <c r="E414" s="23"/>
      <c r="F414" s="23"/>
      <c r="G414" s="23"/>
      <c r="H414" s="23"/>
      <c r="I414" s="23"/>
      <c r="J414" s="23"/>
      <c r="K414" s="21"/>
      <c r="L414" s="23"/>
      <c r="M414" s="23"/>
    </row>
    <row r="415" spans="1:13" ht="15.75" customHeight="1">
      <c r="A415" s="23"/>
      <c r="B415" s="23"/>
      <c r="C415" s="23"/>
      <c r="D415" s="24"/>
      <c r="E415" s="23"/>
      <c r="F415" s="23"/>
      <c r="G415" s="23"/>
      <c r="H415" s="23"/>
      <c r="I415" s="23"/>
      <c r="J415" s="23"/>
      <c r="K415" s="21"/>
      <c r="L415" s="23"/>
      <c r="M415" s="23"/>
    </row>
    <row r="416" spans="1:13" ht="15.75" customHeight="1">
      <c r="A416" s="23"/>
      <c r="B416" s="23"/>
      <c r="C416" s="23"/>
      <c r="D416" s="24"/>
      <c r="E416" s="23"/>
      <c r="F416" s="23"/>
      <c r="G416" s="23"/>
      <c r="H416" s="23"/>
      <c r="I416" s="23"/>
      <c r="J416" s="23"/>
      <c r="K416" s="21"/>
      <c r="L416" s="23"/>
      <c r="M416" s="23"/>
    </row>
    <row r="417" spans="1:13" ht="15.75" customHeight="1">
      <c r="A417" s="23"/>
      <c r="B417" s="23"/>
      <c r="C417" s="23"/>
      <c r="D417" s="24"/>
      <c r="E417" s="23"/>
      <c r="F417" s="23"/>
      <c r="G417" s="23"/>
      <c r="H417" s="23"/>
      <c r="I417" s="23"/>
      <c r="J417" s="23"/>
      <c r="K417" s="21"/>
      <c r="L417" s="23"/>
      <c r="M417" s="23"/>
    </row>
    <row r="418" spans="1:13" ht="15.75" customHeight="1">
      <c r="A418" s="23"/>
      <c r="B418" s="23"/>
      <c r="C418" s="23"/>
      <c r="D418" s="24"/>
      <c r="E418" s="23"/>
      <c r="F418" s="23"/>
      <c r="G418" s="23"/>
      <c r="H418" s="23"/>
      <c r="I418" s="23"/>
      <c r="J418" s="23"/>
      <c r="K418" s="21"/>
      <c r="L418" s="23"/>
      <c r="M418" s="23"/>
    </row>
    <row r="419" spans="1:13" ht="15.75" customHeight="1">
      <c r="A419" s="23"/>
      <c r="B419" s="23"/>
      <c r="C419" s="23"/>
      <c r="D419" s="24"/>
      <c r="E419" s="23"/>
      <c r="F419" s="23"/>
      <c r="G419" s="23"/>
      <c r="H419" s="23"/>
      <c r="I419" s="23"/>
      <c r="J419" s="23"/>
      <c r="K419" s="21"/>
      <c r="L419" s="23"/>
      <c r="M419" s="23"/>
    </row>
    <row r="420" spans="1:13" ht="15.75" customHeight="1">
      <c r="A420" s="23"/>
      <c r="B420" s="23"/>
      <c r="C420" s="23"/>
      <c r="D420" s="24"/>
      <c r="E420" s="23"/>
      <c r="F420" s="23"/>
      <c r="G420" s="23"/>
      <c r="H420" s="23"/>
      <c r="I420" s="23"/>
      <c r="J420" s="23"/>
      <c r="K420" s="21"/>
      <c r="L420" s="23"/>
      <c r="M420" s="23"/>
    </row>
    <row r="421" spans="1:13" ht="15.75" customHeight="1">
      <c r="A421" s="23"/>
      <c r="B421" s="23"/>
      <c r="C421" s="23"/>
      <c r="D421" s="24"/>
      <c r="E421" s="23"/>
      <c r="F421" s="23"/>
      <c r="G421" s="23"/>
      <c r="H421" s="23"/>
      <c r="I421" s="23"/>
      <c r="J421" s="23"/>
      <c r="K421" s="21"/>
      <c r="L421" s="23"/>
      <c r="M421" s="23"/>
    </row>
    <row r="422" spans="1:13" ht="15.75" customHeight="1">
      <c r="A422" s="23"/>
      <c r="B422" s="23"/>
      <c r="C422" s="23"/>
      <c r="D422" s="24"/>
      <c r="E422" s="23"/>
      <c r="F422" s="23"/>
      <c r="G422" s="23"/>
      <c r="H422" s="23"/>
      <c r="I422" s="23"/>
      <c r="J422" s="23"/>
      <c r="K422" s="21"/>
      <c r="L422" s="23"/>
      <c r="M422" s="23"/>
    </row>
    <row r="423" spans="1:13" ht="15.75" customHeight="1">
      <c r="A423" s="23"/>
      <c r="B423" s="23"/>
      <c r="C423" s="23"/>
      <c r="D423" s="24"/>
      <c r="E423" s="23"/>
      <c r="F423" s="23"/>
      <c r="G423" s="23"/>
      <c r="H423" s="23"/>
      <c r="I423" s="23"/>
      <c r="J423" s="23"/>
      <c r="K423" s="21"/>
      <c r="L423" s="23"/>
      <c r="M423" s="23"/>
    </row>
    <row r="424" spans="1:13" ht="15.75" customHeight="1">
      <c r="A424" s="23"/>
      <c r="B424" s="23"/>
      <c r="C424" s="23"/>
      <c r="D424" s="24"/>
      <c r="E424" s="23"/>
      <c r="F424" s="23"/>
      <c r="G424" s="23"/>
      <c r="H424" s="23"/>
      <c r="I424" s="23"/>
      <c r="J424" s="23"/>
      <c r="K424" s="21"/>
      <c r="L424" s="23"/>
      <c r="M424" s="23"/>
    </row>
    <row r="425" spans="1:13" ht="15.75" customHeight="1">
      <c r="A425" s="23"/>
      <c r="B425" s="23"/>
      <c r="C425" s="23"/>
      <c r="D425" s="24"/>
      <c r="E425" s="23"/>
      <c r="F425" s="23"/>
      <c r="G425" s="23"/>
      <c r="H425" s="23"/>
      <c r="I425" s="23"/>
      <c r="J425" s="23"/>
      <c r="K425" s="21"/>
      <c r="L425" s="23"/>
      <c r="M425" s="23"/>
    </row>
    <row r="426" spans="1:13" ht="15.75" customHeight="1">
      <c r="A426" s="23"/>
      <c r="B426" s="23"/>
      <c r="C426" s="23"/>
      <c r="D426" s="24"/>
      <c r="E426" s="23"/>
      <c r="F426" s="23"/>
      <c r="G426" s="23"/>
      <c r="H426" s="23"/>
      <c r="I426" s="23"/>
      <c r="J426" s="23"/>
      <c r="K426" s="21"/>
      <c r="L426" s="23"/>
      <c r="M426" s="23"/>
    </row>
    <row r="427" spans="1:13" ht="15.75" customHeight="1">
      <c r="A427" s="23"/>
      <c r="B427" s="23"/>
      <c r="C427" s="23"/>
      <c r="D427" s="24"/>
      <c r="E427" s="23"/>
      <c r="F427" s="23"/>
      <c r="G427" s="23"/>
      <c r="H427" s="23"/>
      <c r="I427" s="23"/>
      <c r="J427" s="23"/>
      <c r="K427" s="21"/>
      <c r="L427" s="23"/>
      <c r="M427" s="23"/>
    </row>
    <row r="428" spans="1:13" ht="15.75" customHeight="1">
      <c r="A428" s="23"/>
      <c r="B428" s="23"/>
      <c r="C428" s="23"/>
      <c r="D428" s="24"/>
      <c r="E428" s="23"/>
      <c r="F428" s="23"/>
      <c r="G428" s="23"/>
      <c r="H428" s="23"/>
      <c r="I428" s="23"/>
      <c r="J428" s="23"/>
      <c r="K428" s="21"/>
      <c r="L428" s="23"/>
      <c r="M428" s="23"/>
    </row>
    <row r="429" spans="1:13" ht="15.75" customHeight="1">
      <c r="A429" s="23"/>
      <c r="B429" s="23"/>
      <c r="C429" s="23"/>
      <c r="D429" s="24"/>
      <c r="E429" s="23"/>
      <c r="F429" s="23"/>
      <c r="G429" s="23"/>
      <c r="H429" s="23"/>
      <c r="I429" s="23"/>
      <c r="J429" s="23"/>
      <c r="K429" s="21"/>
      <c r="L429" s="23"/>
      <c r="M429" s="23"/>
    </row>
    <row r="430" spans="1:13" ht="15.75" customHeight="1">
      <c r="A430" s="23"/>
      <c r="B430" s="23"/>
      <c r="C430" s="23"/>
      <c r="D430" s="24"/>
      <c r="E430" s="23"/>
      <c r="F430" s="23"/>
      <c r="G430" s="23"/>
      <c r="H430" s="23"/>
      <c r="I430" s="23"/>
      <c r="J430" s="23"/>
      <c r="K430" s="21"/>
      <c r="L430" s="23"/>
      <c r="M430" s="23"/>
    </row>
    <row r="431" spans="1:13" ht="15.75" customHeight="1">
      <c r="A431" s="23"/>
      <c r="B431" s="23"/>
      <c r="C431" s="23"/>
      <c r="D431" s="24"/>
      <c r="E431" s="23"/>
      <c r="F431" s="23"/>
      <c r="G431" s="23"/>
      <c r="H431" s="23"/>
      <c r="I431" s="23"/>
      <c r="J431" s="23"/>
      <c r="K431" s="21"/>
      <c r="L431" s="23"/>
      <c r="M431" s="23"/>
    </row>
    <row r="432" spans="1:13" ht="15.75" customHeight="1">
      <c r="A432" s="23"/>
      <c r="B432" s="23"/>
      <c r="C432" s="23"/>
      <c r="D432" s="24"/>
      <c r="E432" s="23"/>
      <c r="F432" s="23"/>
      <c r="G432" s="23"/>
      <c r="H432" s="23"/>
      <c r="I432" s="23"/>
      <c r="J432" s="23"/>
      <c r="K432" s="21"/>
      <c r="L432" s="23"/>
      <c r="M432" s="23"/>
    </row>
    <row r="433" spans="1:13" ht="15.75" customHeight="1">
      <c r="A433" s="23"/>
      <c r="B433" s="23"/>
      <c r="C433" s="23"/>
      <c r="D433" s="24"/>
      <c r="E433" s="23"/>
      <c r="F433" s="23"/>
      <c r="G433" s="23"/>
      <c r="H433" s="23"/>
      <c r="I433" s="23"/>
      <c r="J433" s="23"/>
      <c r="K433" s="21"/>
      <c r="L433" s="23"/>
      <c r="M433" s="23"/>
    </row>
    <row r="434" spans="1:13" ht="15.75" customHeight="1">
      <c r="A434" s="23"/>
      <c r="B434" s="23"/>
      <c r="C434" s="23"/>
      <c r="D434" s="24"/>
      <c r="E434" s="23"/>
      <c r="F434" s="23"/>
      <c r="G434" s="23"/>
      <c r="H434" s="23"/>
      <c r="I434" s="23"/>
      <c r="J434" s="23"/>
      <c r="K434" s="21"/>
      <c r="L434" s="23"/>
      <c r="M434" s="23"/>
    </row>
    <row r="435" spans="1:13" ht="15.75" customHeight="1">
      <c r="A435" s="23"/>
      <c r="B435" s="23"/>
      <c r="C435" s="23"/>
      <c r="D435" s="24"/>
      <c r="E435" s="23"/>
      <c r="F435" s="23"/>
      <c r="G435" s="23"/>
      <c r="H435" s="23"/>
      <c r="I435" s="23"/>
      <c r="J435" s="23"/>
      <c r="K435" s="21"/>
      <c r="L435" s="23"/>
      <c r="M435" s="23"/>
    </row>
    <row r="436" spans="1:13" ht="15.75" customHeight="1">
      <c r="A436" s="23"/>
      <c r="B436" s="23"/>
      <c r="C436" s="23"/>
      <c r="D436" s="24"/>
      <c r="E436" s="23"/>
      <c r="F436" s="23"/>
      <c r="G436" s="23"/>
      <c r="H436" s="23"/>
      <c r="I436" s="23"/>
      <c r="J436" s="23"/>
      <c r="K436" s="21"/>
      <c r="L436" s="23"/>
      <c r="M436" s="23"/>
    </row>
    <row r="437" spans="1:13" ht="15.75" customHeight="1">
      <c r="A437" s="23"/>
      <c r="B437" s="23"/>
      <c r="C437" s="23"/>
      <c r="D437" s="24"/>
      <c r="E437" s="23"/>
      <c r="F437" s="23"/>
      <c r="G437" s="23"/>
      <c r="H437" s="23"/>
      <c r="I437" s="23"/>
      <c r="J437" s="23"/>
      <c r="K437" s="21"/>
      <c r="L437" s="23"/>
      <c r="M437" s="23"/>
    </row>
    <row r="438" spans="1:13" ht="15.75" customHeight="1">
      <c r="A438" s="23"/>
      <c r="B438" s="23"/>
      <c r="C438" s="23"/>
      <c r="D438" s="24"/>
      <c r="E438" s="23"/>
      <c r="F438" s="23"/>
      <c r="G438" s="23"/>
      <c r="H438" s="23"/>
      <c r="I438" s="23"/>
      <c r="J438" s="23"/>
      <c r="K438" s="21"/>
      <c r="L438" s="23"/>
      <c r="M438" s="23"/>
    </row>
    <row r="439" spans="1:13" ht="15.75" customHeight="1">
      <c r="A439" s="23"/>
      <c r="B439" s="23"/>
      <c r="C439" s="23"/>
      <c r="D439" s="24"/>
      <c r="E439" s="23"/>
      <c r="F439" s="23"/>
      <c r="G439" s="23"/>
      <c r="H439" s="23"/>
      <c r="I439" s="23"/>
      <c r="J439" s="23"/>
      <c r="K439" s="21"/>
      <c r="L439" s="23"/>
      <c r="M439" s="23"/>
    </row>
    <row r="440" spans="1:13" ht="15.75" customHeight="1">
      <c r="A440" s="23"/>
      <c r="B440" s="23"/>
      <c r="C440" s="23"/>
      <c r="D440" s="24"/>
      <c r="E440" s="23"/>
      <c r="F440" s="23"/>
      <c r="G440" s="23"/>
      <c r="H440" s="23"/>
      <c r="I440" s="23"/>
      <c r="J440" s="23"/>
      <c r="K440" s="21"/>
      <c r="L440" s="23"/>
      <c r="M440" s="23"/>
    </row>
    <row r="441" spans="1:13" ht="15.75" customHeight="1">
      <c r="A441" s="23"/>
      <c r="B441" s="23"/>
      <c r="C441" s="23"/>
      <c r="D441" s="24"/>
      <c r="E441" s="23"/>
      <c r="F441" s="23"/>
      <c r="G441" s="23"/>
      <c r="H441" s="23"/>
      <c r="I441" s="23"/>
      <c r="J441" s="23"/>
      <c r="K441" s="21"/>
      <c r="L441" s="23"/>
      <c r="M441" s="23"/>
    </row>
    <row r="442" spans="1:13" ht="15.75" customHeight="1">
      <c r="A442" s="23"/>
      <c r="B442" s="23"/>
      <c r="C442" s="23"/>
      <c r="D442" s="24"/>
      <c r="E442" s="23"/>
      <c r="F442" s="23"/>
      <c r="G442" s="23"/>
      <c r="H442" s="23"/>
      <c r="I442" s="23"/>
      <c r="J442" s="23"/>
      <c r="K442" s="21"/>
      <c r="L442" s="23"/>
      <c r="M442" s="23"/>
    </row>
    <row r="443" spans="1:13" ht="15.75" customHeight="1">
      <c r="A443" s="23"/>
      <c r="B443" s="23"/>
      <c r="C443" s="23"/>
      <c r="D443" s="24"/>
      <c r="E443" s="23"/>
      <c r="F443" s="23"/>
      <c r="G443" s="23"/>
      <c r="H443" s="23"/>
      <c r="I443" s="23"/>
      <c r="J443" s="23"/>
      <c r="K443" s="21"/>
      <c r="L443" s="23"/>
      <c r="M443" s="23"/>
    </row>
    <row r="444" spans="1:13" ht="15.75" customHeight="1">
      <c r="A444" s="23"/>
      <c r="B444" s="23"/>
      <c r="C444" s="23"/>
      <c r="D444" s="24"/>
      <c r="E444" s="23"/>
      <c r="F444" s="23"/>
      <c r="G444" s="23"/>
      <c r="H444" s="23"/>
      <c r="I444" s="23"/>
      <c r="J444" s="23"/>
      <c r="K444" s="21"/>
      <c r="L444" s="23"/>
      <c r="M444" s="23"/>
    </row>
    <row r="445" spans="1:13" ht="15.75" customHeight="1">
      <c r="A445" s="23"/>
      <c r="B445" s="23"/>
      <c r="C445" s="23"/>
      <c r="D445" s="24"/>
      <c r="E445" s="23"/>
      <c r="F445" s="23"/>
      <c r="G445" s="23"/>
      <c r="H445" s="23"/>
      <c r="I445" s="23"/>
      <c r="J445" s="23"/>
      <c r="K445" s="21"/>
      <c r="L445" s="23"/>
      <c r="M445" s="23"/>
    </row>
    <row r="446" spans="1:13" ht="15.75" customHeight="1">
      <c r="A446" s="23"/>
      <c r="B446" s="23"/>
      <c r="C446" s="23"/>
      <c r="D446" s="24"/>
      <c r="E446" s="23"/>
      <c r="F446" s="23"/>
      <c r="G446" s="23"/>
      <c r="H446" s="23"/>
      <c r="I446" s="23"/>
      <c r="J446" s="23"/>
      <c r="K446" s="21"/>
      <c r="L446" s="23"/>
      <c r="M446" s="23"/>
    </row>
    <row r="447" spans="1:13" ht="15.75" customHeight="1">
      <c r="A447" s="23"/>
      <c r="B447" s="23"/>
      <c r="C447" s="23"/>
      <c r="D447" s="24"/>
      <c r="E447" s="23"/>
      <c r="F447" s="23"/>
      <c r="G447" s="23"/>
      <c r="H447" s="23"/>
      <c r="I447" s="23"/>
      <c r="J447" s="23"/>
      <c r="K447" s="21"/>
      <c r="L447" s="23"/>
      <c r="M447" s="23"/>
    </row>
    <row r="448" spans="1:13" ht="15.75" customHeight="1">
      <c r="A448" s="23"/>
      <c r="B448" s="23"/>
      <c r="C448" s="23"/>
      <c r="D448" s="24"/>
      <c r="E448" s="23"/>
      <c r="F448" s="23"/>
      <c r="G448" s="23"/>
      <c r="H448" s="23"/>
      <c r="I448" s="23"/>
      <c r="J448" s="23"/>
      <c r="K448" s="21"/>
      <c r="L448" s="23"/>
      <c r="M448" s="23"/>
    </row>
    <row r="449" spans="1:13" ht="15.75" customHeight="1">
      <c r="A449" s="23"/>
      <c r="B449" s="23"/>
      <c r="C449" s="23"/>
      <c r="D449" s="24"/>
      <c r="E449" s="23"/>
      <c r="F449" s="23"/>
      <c r="G449" s="23"/>
      <c r="H449" s="23"/>
      <c r="I449" s="23"/>
      <c r="J449" s="23"/>
      <c r="K449" s="21"/>
      <c r="L449" s="23"/>
      <c r="M449" s="23"/>
    </row>
    <row r="450" spans="1:13" ht="15.75" customHeight="1">
      <c r="A450" s="23"/>
      <c r="B450" s="23"/>
      <c r="C450" s="23"/>
      <c r="D450" s="24"/>
      <c r="E450" s="23"/>
      <c r="F450" s="23"/>
      <c r="G450" s="23"/>
      <c r="H450" s="23"/>
      <c r="I450" s="23"/>
      <c r="J450" s="23"/>
      <c r="K450" s="21"/>
      <c r="L450" s="23"/>
      <c r="M450" s="23"/>
    </row>
    <row r="451" spans="1:13" ht="15.75" customHeight="1">
      <c r="A451" s="23"/>
      <c r="B451" s="23"/>
      <c r="C451" s="23"/>
      <c r="D451" s="24"/>
      <c r="E451" s="23"/>
      <c r="F451" s="23"/>
      <c r="G451" s="23"/>
      <c r="H451" s="23"/>
      <c r="I451" s="23"/>
      <c r="J451" s="23"/>
      <c r="K451" s="21"/>
      <c r="L451" s="23"/>
      <c r="M451" s="23"/>
    </row>
    <row r="452" spans="1:13" ht="15.75" customHeight="1">
      <c r="A452" s="23"/>
      <c r="B452" s="23"/>
      <c r="C452" s="23"/>
      <c r="D452" s="24"/>
      <c r="E452" s="23"/>
      <c r="F452" s="23"/>
      <c r="G452" s="23"/>
      <c r="H452" s="23"/>
      <c r="I452" s="23"/>
      <c r="J452" s="23"/>
      <c r="K452" s="21"/>
      <c r="L452" s="23"/>
      <c r="M452" s="23"/>
    </row>
    <row r="453" spans="1:13" ht="15.75" customHeight="1">
      <c r="A453" s="23"/>
      <c r="B453" s="23"/>
      <c r="C453" s="23"/>
      <c r="D453" s="24"/>
      <c r="E453" s="23"/>
      <c r="F453" s="23"/>
      <c r="G453" s="23"/>
      <c r="H453" s="23"/>
      <c r="I453" s="23"/>
      <c r="J453" s="23"/>
      <c r="K453" s="21"/>
      <c r="L453" s="23"/>
      <c r="M453" s="23"/>
    </row>
    <row r="454" spans="1:13" ht="15.75" customHeight="1">
      <c r="A454" s="23"/>
      <c r="B454" s="23"/>
      <c r="C454" s="23"/>
      <c r="D454" s="24"/>
      <c r="E454" s="23"/>
      <c r="F454" s="23"/>
      <c r="G454" s="23"/>
      <c r="H454" s="23"/>
      <c r="I454" s="23"/>
      <c r="J454" s="23"/>
      <c r="K454" s="21"/>
      <c r="L454" s="23"/>
      <c r="M454" s="23"/>
    </row>
    <row r="455" spans="1:13" ht="15.75" customHeight="1">
      <c r="A455" s="23"/>
      <c r="B455" s="23"/>
      <c r="C455" s="23"/>
      <c r="D455" s="24"/>
      <c r="E455" s="23"/>
      <c r="F455" s="23"/>
      <c r="G455" s="23"/>
      <c r="H455" s="23"/>
      <c r="I455" s="23"/>
      <c r="J455" s="23"/>
      <c r="K455" s="21"/>
      <c r="L455" s="23"/>
      <c r="M455" s="23"/>
    </row>
    <row r="456" spans="1:13" ht="15.75" customHeight="1">
      <c r="A456" s="23"/>
      <c r="B456" s="23"/>
      <c r="C456" s="23"/>
      <c r="D456" s="24"/>
      <c r="E456" s="23"/>
      <c r="F456" s="23"/>
      <c r="G456" s="23"/>
      <c r="H456" s="23"/>
      <c r="I456" s="23"/>
      <c r="J456" s="23"/>
      <c r="K456" s="21"/>
      <c r="L456" s="23"/>
      <c r="M456" s="23"/>
    </row>
    <row r="457" spans="1:13" ht="15.75" customHeight="1">
      <c r="A457" s="23"/>
      <c r="B457" s="23"/>
      <c r="C457" s="23"/>
      <c r="D457" s="24"/>
      <c r="E457" s="23"/>
      <c r="F457" s="23"/>
      <c r="G457" s="23"/>
      <c r="H457" s="23"/>
      <c r="I457" s="23"/>
      <c r="J457" s="23"/>
      <c r="K457" s="21"/>
      <c r="L457" s="23"/>
      <c r="M457" s="23"/>
    </row>
    <row r="458" spans="1:13" ht="15.75" customHeight="1">
      <c r="A458" s="23"/>
      <c r="B458" s="23"/>
      <c r="C458" s="23"/>
      <c r="D458" s="24"/>
      <c r="E458" s="23"/>
      <c r="F458" s="23"/>
      <c r="G458" s="23"/>
      <c r="H458" s="23"/>
      <c r="I458" s="23"/>
      <c r="J458" s="23"/>
      <c r="K458" s="21"/>
      <c r="L458" s="23"/>
      <c r="M458" s="23"/>
    </row>
    <row r="459" spans="1:13" ht="15.75" customHeight="1">
      <c r="A459" s="23"/>
      <c r="B459" s="23"/>
      <c r="C459" s="23"/>
      <c r="D459" s="24"/>
      <c r="E459" s="23"/>
      <c r="F459" s="23"/>
      <c r="G459" s="23"/>
      <c r="H459" s="23"/>
      <c r="I459" s="23"/>
      <c r="J459" s="23"/>
      <c r="K459" s="21"/>
      <c r="L459" s="23"/>
      <c r="M459" s="23"/>
    </row>
    <row r="460" spans="1:13" ht="15.75" customHeight="1">
      <c r="A460" s="23"/>
      <c r="B460" s="23"/>
      <c r="C460" s="23"/>
      <c r="D460" s="24"/>
      <c r="E460" s="23"/>
      <c r="F460" s="23"/>
      <c r="G460" s="23"/>
      <c r="H460" s="23"/>
      <c r="I460" s="23"/>
      <c r="J460" s="23"/>
      <c r="K460" s="21"/>
      <c r="L460" s="23"/>
      <c r="M460" s="23"/>
    </row>
    <row r="461" spans="1:13" ht="15.75" customHeight="1">
      <c r="A461" s="23"/>
      <c r="B461" s="23"/>
      <c r="C461" s="23"/>
      <c r="D461" s="24"/>
      <c r="E461" s="23"/>
      <c r="F461" s="23"/>
      <c r="G461" s="23"/>
      <c r="H461" s="23"/>
      <c r="I461" s="23"/>
      <c r="J461" s="23"/>
      <c r="K461" s="21"/>
      <c r="L461" s="23"/>
      <c r="M461" s="23"/>
    </row>
    <row r="462" spans="1:13" ht="15.75" customHeight="1">
      <c r="A462" s="23"/>
      <c r="B462" s="23"/>
      <c r="C462" s="23"/>
      <c r="D462" s="24"/>
      <c r="E462" s="23"/>
      <c r="F462" s="23"/>
      <c r="G462" s="23"/>
      <c r="H462" s="23"/>
      <c r="I462" s="23"/>
      <c r="J462" s="23"/>
      <c r="K462" s="21"/>
      <c r="L462" s="23"/>
      <c r="M462" s="23"/>
    </row>
    <row r="463" spans="1:13" ht="15.75" customHeight="1">
      <c r="A463" s="23"/>
      <c r="B463" s="23"/>
      <c r="C463" s="23"/>
      <c r="D463" s="24"/>
      <c r="E463" s="23"/>
      <c r="F463" s="23"/>
      <c r="G463" s="23"/>
      <c r="H463" s="23"/>
      <c r="I463" s="23"/>
      <c r="J463" s="23"/>
      <c r="K463" s="21"/>
      <c r="L463" s="23"/>
      <c r="M463" s="23"/>
    </row>
    <row r="464" spans="1:13" ht="15.75" customHeight="1">
      <c r="A464" s="23"/>
      <c r="B464" s="23"/>
      <c r="C464" s="23"/>
      <c r="D464" s="24"/>
      <c r="E464" s="23"/>
      <c r="F464" s="23"/>
      <c r="G464" s="23"/>
      <c r="H464" s="23"/>
      <c r="I464" s="23"/>
      <c r="J464" s="23"/>
      <c r="K464" s="21"/>
      <c r="L464" s="23"/>
      <c r="M464" s="23"/>
    </row>
    <row r="465" spans="1:13" ht="15.75" customHeight="1">
      <c r="A465" s="23"/>
      <c r="B465" s="23"/>
      <c r="C465" s="23"/>
      <c r="D465" s="24"/>
      <c r="E465" s="23"/>
      <c r="F465" s="23"/>
      <c r="G465" s="23"/>
      <c r="H465" s="23"/>
      <c r="I465" s="23"/>
      <c r="J465" s="23"/>
      <c r="K465" s="21"/>
      <c r="L465" s="23"/>
      <c r="M465" s="23"/>
    </row>
    <row r="466" spans="1:13" ht="15.75" customHeight="1">
      <c r="A466" s="23"/>
      <c r="B466" s="23"/>
      <c r="C466" s="23"/>
      <c r="D466" s="24"/>
      <c r="E466" s="23"/>
      <c r="F466" s="23"/>
      <c r="G466" s="23"/>
      <c r="H466" s="23"/>
      <c r="I466" s="23"/>
      <c r="J466" s="23"/>
      <c r="K466" s="21"/>
      <c r="L466" s="23"/>
      <c r="M466" s="23"/>
    </row>
    <row r="467" spans="1:13" ht="15.75" customHeight="1">
      <c r="A467" s="23"/>
      <c r="B467" s="23"/>
      <c r="C467" s="23"/>
      <c r="D467" s="24"/>
      <c r="E467" s="23"/>
      <c r="F467" s="23"/>
      <c r="G467" s="23"/>
      <c r="H467" s="23"/>
      <c r="I467" s="23"/>
      <c r="J467" s="23"/>
      <c r="K467" s="21"/>
      <c r="L467" s="23"/>
      <c r="M467" s="23"/>
    </row>
    <row r="468" spans="1:13" ht="15.75" customHeight="1">
      <c r="A468" s="23"/>
      <c r="B468" s="23"/>
      <c r="C468" s="23"/>
      <c r="D468" s="24"/>
      <c r="E468" s="23"/>
      <c r="F468" s="23"/>
      <c r="G468" s="23"/>
      <c r="H468" s="23"/>
      <c r="I468" s="23"/>
      <c r="J468" s="23"/>
      <c r="K468" s="21"/>
      <c r="L468" s="23"/>
      <c r="M468" s="23"/>
    </row>
    <row r="469" spans="1:13" ht="15.75" customHeight="1">
      <c r="A469" s="23"/>
      <c r="B469" s="23"/>
      <c r="C469" s="23"/>
      <c r="D469" s="24"/>
      <c r="E469" s="23"/>
      <c r="F469" s="23"/>
      <c r="G469" s="23"/>
      <c r="H469" s="23"/>
      <c r="I469" s="23"/>
      <c r="J469" s="23"/>
      <c r="K469" s="21"/>
      <c r="L469" s="23"/>
      <c r="M469" s="23"/>
    </row>
    <row r="470" spans="1:13" ht="15.75" customHeight="1">
      <c r="A470" s="23"/>
      <c r="B470" s="23"/>
      <c r="C470" s="23"/>
      <c r="D470" s="24"/>
      <c r="E470" s="23"/>
      <c r="F470" s="23"/>
      <c r="G470" s="23"/>
      <c r="H470" s="23"/>
      <c r="I470" s="23"/>
      <c r="J470" s="23"/>
      <c r="K470" s="21"/>
      <c r="L470" s="23"/>
      <c r="M470" s="23"/>
    </row>
    <row r="471" spans="1:13" ht="15.75" customHeight="1">
      <c r="A471" s="23"/>
      <c r="B471" s="23"/>
      <c r="C471" s="23"/>
      <c r="D471" s="24"/>
      <c r="E471" s="23"/>
      <c r="F471" s="23"/>
      <c r="G471" s="23"/>
      <c r="H471" s="23"/>
      <c r="I471" s="23"/>
      <c r="J471" s="23"/>
      <c r="K471" s="21"/>
      <c r="L471" s="23"/>
      <c r="M471" s="23"/>
    </row>
    <row r="472" spans="1:13" ht="15.75" customHeight="1">
      <c r="A472" s="23"/>
      <c r="B472" s="23"/>
      <c r="C472" s="23"/>
      <c r="D472" s="24"/>
      <c r="E472" s="23"/>
      <c r="F472" s="23"/>
      <c r="G472" s="23"/>
      <c r="H472" s="23"/>
      <c r="I472" s="23"/>
      <c r="J472" s="23"/>
      <c r="K472" s="21"/>
      <c r="L472" s="23"/>
      <c r="M472" s="23"/>
    </row>
    <row r="473" spans="1:13" ht="15.75" customHeight="1">
      <c r="A473" s="23"/>
      <c r="B473" s="23"/>
      <c r="C473" s="23"/>
      <c r="D473" s="24"/>
      <c r="E473" s="23"/>
      <c r="F473" s="23"/>
      <c r="G473" s="23"/>
      <c r="H473" s="23"/>
      <c r="I473" s="23"/>
      <c r="J473" s="23"/>
      <c r="K473" s="21"/>
      <c r="L473" s="23"/>
      <c r="M473" s="23"/>
    </row>
    <row r="474" spans="1:13" ht="15.75" customHeight="1">
      <c r="A474" s="23"/>
      <c r="B474" s="23"/>
      <c r="C474" s="23"/>
      <c r="D474" s="24"/>
      <c r="E474" s="23"/>
      <c r="F474" s="23"/>
      <c r="G474" s="23"/>
      <c r="H474" s="23"/>
      <c r="I474" s="23"/>
      <c r="J474" s="23"/>
      <c r="K474" s="21"/>
      <c r="L474" s="23"/>
      <c r="M474" s="23"/>
    </row>
    <row r="475" spans="1:13" ht="15.75" customHeight="1">
      <c r="A475" s="23"/>
      <c r="B475" s="23"/>
      <c r="C475" s="23"/>
      <c r="D475" s="24"/>
      <c r="E475" s="23"/>
      <c r="F475" s="23"/>
      <c r="G475" s="23"/>
      <c r="H475" s="23"/>
      <c r="I475" s="23"/>
      <c r="J475" s="23"/>
      <c r="K475" s="21"/>
      <c r="L475" s="23"/>
      <c r="M475" s="23"/>
    </row>
    <row r="476" spans="1:13" ht="15.75" customHeight="1">
      <c r="A476" s="23"/>
      <c r="B476" s="23"/>
      <c r="C476" s="23"/>
      <c r="D476" s="24"/>
      <c r="E476" s="23"/>
      <c r="F476" s="23"/>
      <c r="G476" s="23"/>
      <c r="H476" s="23"/>
      <c r="I476" s="23"/>
      <c r="J476" s="23"/>
      <c r="K476" s="21"/>
      <c r="L476" s="23"/>
      <c r="M476" s="23"/>
    </row>
    <row r="477" spans="1:13" ht="15.75" customHeight="1">
      <c r="A477" s="23"/>
      <c r="B477" s="23"/>
      <c r="C477" s="23"/>
      <c r="D477" s="24"/>
      <c r="E477" s="23"/>
      <c r="F477" s="23"/>
      <c r="G477" s="23"/>
      <c r="H477" s="23"/>
      <c r="I477" s="23"/>
      <c r="J477" s="23"/>
      <c r="K477" s="21"/>
      <c r="L477" s="23"/>
      <c r="M477" s="23"/>
    </row>
    <row r="478" spans="1:13" ht="15.75" customHeight="1">
      <c r="A478" s="23"/>
      <c r="B478" s="23"/>
      <c r="C478" s="23"/>
      <c r="D478" s="24"/>
      <c r="E478" s="23"/>
      <c r="F478" s="23"/>
      <c r="G478" s="23"/>
      <c r="H478" s="23"/>
      <c r="I478" s="23"/>
      <c r="J478" s="23"/>
      <c r="K478" s="21"/>
      <c r="L478" s="23"/>
      <c r="M478" s="23"/>
    </row>
    <row r="479" spans="1:13" ht="15.75" customHeight="1">
      <c r="A479" s="23"/>
      <c r="B479" s="23"/>
      <c r="C479" s="23"/>
      <c r="D479" s="24"/>
      <c r="E479" s="23"/>
      <c r="F479" s="23"/>
      <c r="G479" s="23"/>
      <c r="H479" s="23"/>
      <c r="I479" s="23"/>
      <c r="J479" s="23"/>
      <c r="K479" s="21"/>
      <c r="L479" s="23"/>
      <c r="M479" s="23"/>
    </row>
    <row r="480" spans="1:13" ht="15.75" customHeight="1">
      <c r="A480" s="23"/>
      <c r="B480" s="23"/>
      <c r="C480" s="23"/>
      <c r="D480" s="24"/>
      <c r="E480" s="23"/>
      <c r="F480" s="23"/>
      <c r="G480" s="23"/>
      <c r="H480" s="23"/>
      <c r="I480" s="23"/>
      <c r="J480" s="23"/>
      <c r="K480" s="21"/>
      <c r="L480" s="23"/>
      <c r="M480" s="23"/>
    </row>
    <row r="481" spans="1:13" ht="15.75" customHeight="1">
      <c r="A481" s="23"/>
      <c r="B481" s="23"/>
      <c r="C481" s="23"/>
      <c r="D481" s="24"/>
      <c r="E481" s="23"/>
      <c r="F481" s="23"/>
      <c r="G481" s="23"/>
      <c r="H481" s="23"/>
      <c r="I481" s="23"/>
      <c r="J481" s="23"/>
      <c r="K481" s="21"/>
      <c r="L481" s="23"/>
      <c r="M481" s="23"/>
    </row>
    <row r="482" spans="1:13" ht="15.75" customHeight="1">
      <c r="A482" s="23"/>
      <c r="B482" s="23"/>
      <c r="C482" s="23"/>
      <c r="D482" s="24"/>
      <c r="E482" s="23"/>
      <c r="F482" s="23"/>
      <c r="G482" s="23"/>
      <c r="H482" s="23"/>
      <c r="I482" s="23"/>
      <c r="J482" s="23"/>
      <c r="K482" s="21"/>
      <c r="L482" s="23"/>
      <c r="M482" s="23"/>
    </row>
    <row r="483" spans="1:13" ht="15.75" customHeight="1">
      <c r="A483" s="23"/>
      <c r="B483" s="23"/>
      <c r="C483" s="23"/>
      <c r="D483" s="24"/>
      <c r="E483" s="23"/>
      <c r="F483" s="23"/>
      <c r="G483" s="23"/>
      <c r="H483" s="23"/>
      <c r="I483" s="23"/>
      <c r="J483" s="23"/>
      <c r="K483" s="21"/>
      <c r="L483" s="23"/>
      <c r="M483" s="23"/>
    </row>
    <row r="484" spans="1:13" ht="15.75" customHeight="1">
      <c r="A484" s="23"/>
      <c r="B484" s="23"/>
      <c r="C484" s="23"/>
      <c r="D484" s="24"/>
      <c r="E484" s="23"/>
      <c r="F484" s="23"/>
      <c r="G484" s="23"/>
      <c r="H484" s="23"/>
      <c r="I484" s="23"/>
      <c r="J484" s="23"/>
      <c r="K484" s="21"/>
      <c r="L484" s="23"/>
      <c r="M484" s="23"/>
    </row>
    <row r="485" spans="1:13" ht="15.75" customHeight="1">
      <c r="A485" s="23"/>
      <c r="B485" s="23"/>
      <c r="C485" s="23"/>
      <c r="D485" s="24"/>
      <c r="E485" s="23"/>
      <c r="F485" s="23"/>
      <c r="G485" s="23"/>
      <c r="H485" s="23"/>
      <c r="I485" s="23"/>
      <c r="J485" s="23"/>
      <c r="K485" s="21"/>
      <c r="L485" s="23"/>
      <c r="M485" s="23"/>
    </row>
    <row r="486" spans="1:13" ht="15.75" customHeight="1">
      <c r="A486" s="23"/>
      <c r="B486" s="23"/>
      <c r="C486" s="23"/>
      <c r="D486" s="24"/>
      <c r="E486" s="23"/>
      <c r="F486" s="23"/>
      <c r="G486" s="23"/>
      <c r="H486" s="23"/>
      <c r="I486" s="23"/>
      <c r="J486" s="23"/>
      <c r="K486" s="21"/>
      <c r="L486" s="23"/>
      <c r="M486" s="23"/>
    </row>
    <row r="487" spans="1:13" ht="15.75" customHeight="1">
      <c r="A487" s="23"/>
      <c r="B487" s="23"/>
      <c r="C487" s="23"/>
      <c r="D487" s="24"/>
      <c r="E487" s="23"/>
      <c r="F487" s="23"/>
      <c r="G487" s="23"/>
      <c r="H487" s="23"/>
      <c r="I487" s="23"/>
      <c r="J487" s="23"/>
      <c r="K487" s="21"/>
      <c r="L487" s="23"/>
      <c r="M487" s="23"/>
    </row>
    <row r="488" spans="1:13" ht="15.75" customHeight="1">
      <c r="A488" s="23"/>
      <c r="B488" s="23"/>
      <c r="C488" s="23"/>
      <c r="D488" s="24"/>
      <c r="E488" s="23"/>
      <c r="F488" s="23"/>
      <c r="G488" s="23"/>
      <c r="H488" s="23"/>
      <c r="I488" s="23"/>
      <c r="J488" s="23"/>
      <c r="K488" s="21"/>
      <c r="L488" s="23"/>
      <c r="M488" s="23"/>
    </row>
    <row r="489" spans="1:13" ht="15.75" customHeight="1">
      <c r="A489" s="23"/>
      <c r="B489" s="23"/>
      <c r="C489" s="23"/>
      <c r="D489" s="24"/>
      <c r="E489" s="23"/>
      <c r="F489" s="23"/>
      <c r="G489" s="23"/>
      <c r="H489" s="23"/>
      <c r="I489" s="23"/>
      <c r="J489" s="23"/>
      <c r="K489" s="21"/>
      <c r="L489" s="23"/>
      <c r="M489" s="23"/>
    </row>
    <row r="490" spans="1:13" ht="15.75" customHeight="1">
      <c r="A490" s="23"/>
      <c r="B490" s="23"/>
      <c r="C490" s="23"/>
      <c r="D490" s="24"/>
      <c r="E490" s="23"/>
      <c r="F490" s="23"/>
      <c r="G490" s="23"/>
      <c r="H490" s="23"/>
      <c r="I490" s="23"/>
      <c r="J490" s="23"/>
      <c r="K490" s="21"/>
      <c r="L490" s="23"/>
      <c r="M490" s="23"/>
    </row>
    <row r="491" spans="1:13" ht="15.75" customHeight="1">
      <c r="A491" s="23"/>
      <c r="B491" s="23"/>
      <c r="C491" s="23"/>
      <c r="D491" s="24"/>
      <c r="E491" s="23"/>
      <c r="F491" s="23"/>
      <c r="G491" s="23"/>
      <c r="H491" s="23"/>
      <c r="I491" s="23"/>
      <c r="J491" s="23"/>
      <c r="K491" s="21"/>
      <c r="L491" s="23"/>
      <c r="M491" s="23"/>
    </row>
    <row r="492" spans="1:13" ht="15.75" customHeight="1">
      <c r="A492" s="23"/>
      <c r="B492" s="23"/>
      <c r="C492" s="23"/>
      <c r="D492" s="24"/>
      <c r="E492" s="23"/>
      <c r="F492" s="23"/>
      <c r="G492" s="23"/>
      <c r="H492" s="23"/>
      <c r="I492" s="23"/>
      <c r="J492" s="23"/>
      <c r="K492" s="21"/>
      <c r="L492" s="23"/>
      <c r="M492" s="23"/>
    </row>
    <row r="493" spans="1:13" ht="15.75" customHeight="1">
      <c r="A493" s="23"/>
      <c r="B493" s="23"/>
      <c r="C493" s="23"/>
      <c r="D493" s="24"/>
      <c r="E493" s="23"/>
      <c r="F493" s="23"/>
      <c r="G493" s="23"/>
      <c r="H493" s="23"/>
      <c r="I493" s="23"/>
      <c r="J493" s="23"/>
      <c r="K493" s="21"/>
      <c r="L493" s="23"/>
      <c r="M493" s="23"/>
    </row>
    <row r="494" spans="1:13" ht="15.75" customHeight="1">
      <c r="A494" s="23"/>
      <c r="B494" s="23"/>
      <c r="C494" s="23"/>
      <c r="D494" s="24"/>
      <c r="E494" s="23"/>
      <c r="F494" s="23"/>
      <c r="G494" s="23"/>
      <c r="H494" s="23"/>
      <c r="I494" s="23"/>
      <c r="J494" s="23"/>
      <c r="K494" s="21"/>
      <c r="L494" s="23"/>
      <c r="M494" s="23"/>
    </row>
    <row r="495" spans="1:13" ht="15.75" customHeight="1">
      <c r="A495" s="23"/>
      <c r="B495" s="23"/>
      <c r="C495" s="23"/>
      <c r="D495" s="24"/>
      <c r="E495" s="23"/>
      <c r="F495" s="23"/>
      <c r="G495" s="23"/>
      <c r="H495" s="23"/>
      <c r="I495" s="23"/>
      <c r="J495" s="23"/>
      <c r="K495" s="21"/>
      <c r="L495" s="23"/>
      <c r="M495" s="23"/>
    </row>
    <row r="496" spans="1:13" ht="15.75" customHeight="1">
      <c r="A496" s="23"/>
      <c r="B496" s="23"/>
      <c r="C496" s="23"/>
      <c r="D496" s="24"/>
      <c r="E496" s="23"/>
      <c r="F496" s="23"/>
      <c r="G496" s="23"/>
      <c r="H496" s="23"/>
      <c r="I496" s="23"/>
      <c r="J496" s="23"/>
      <c r="K496" s="21"/>
      <c r="L496" s="23"/>
      <c r="M496" s="23"/>
    </row>
    <row r="497" spans="1:13" ht="15.75" customHeight="1">
      <c r="A497" s="23"/>
      <c r="B497" s="23"/>
      <c r="C497" s="23"/>
      <c r="D497" s="24"/>
      <c r="E497" s="23"/>
      <c r="F497" s="23"/>
      <c r="G497" s="23"/>
      <c r="H497" s="23"/>
      <c r="I497" s="23"/>
      <c r="J497" s="23"/>
      <c r="K497" s="21"/>
      <c r="L497" s="23"/>
      <c r="M497" s="23"/>
    </row>
    <row r="498" spans="1:13" ht="15.75" customHeight="1">
      <c r="A498" s="23"/>
      <c r="B498" s="23"/>
      <c r="C498" s="23"/>
      <c r="D498" s="24"/>
      <c r="E498" s="23"/>
      <c r="F498" s="23"/>
      <c r="G498" s="23"/>
      <c r="H498" s="23"/>
      <c r="I498" s="23"/>
      <c r="J498" s="23"/>
      <c r="K498" s="21"/>
      <c r="L498" s="23"/>
      <c r="M498" s="23"/>
    </row>
    <row r="499" spans="1:13" ht="15.75" customHeight="1">
      <c r="A499" s="23"/>
      <c r="B499" s="23"/>
      <c r="C499" s="23"/>
      <c r="D499" s="24"/>
      <c r="E499" s="23"/>
      <c r="F499" s="23"/>
      <c r="G499" s="23"/>
      <c r="H499" s="23"/>
      <c r="I499" s="23"/>
      <c r="J499" s="23"/>
      <c r="K499" s="21"/>
      <c r="L499" s="23"/>
      <c r="M499" s="23"/>
    </row>
    <row r="500" spans="1:13" ht="15.75" customHeight="1">
      <c r="A500" s="23"/>
      <c r="B500" s="23"/>
      <c r="C500" s="23"/>
      <c r="D500" s="24"/>
      <c r="E500" s="23"/>
      <c r="F500" s="23"/>
      <c r="G500" s="23"/>
      <c r="H500" s="23"/>
      <c r="I500" s="23"/>
      <c r="J500" s="23"/>
      <c r="K500" s="21"/>
      <c r="L500" s="23"/>
      <c r="M500" s="23"/>
    </row>
    <row r="501" spans="1:13" ht="15.75" customHeight="1">
      <c r="A501" s="23"/>
      <c r="B501" s="23"/>
      <c r="C501" s="23"/>
      <c r="D501" s="24"/>
      <c r="E501" s="23"/>
      <c r="F501" s="23"/>
      <c r="G501" s="23"/>
      <c r="H501" s="23"/>
      <c r="I501" s="23"/>
      <c r="J501" s="23"/>
      <c r="K501" s="21"/>
      <c r="L501" s="23"/>
      <c r="M501" s="23"/>
    </row>
    <row r="502" spans="1:13" ht="15.75" customHeight="1">
      <c r="A502" s="23"/>
      <c r="B502" s="23"/>
      <c r="C502" s="23"/>
      <c r="D502" s="24"/>
      <c r="E502" s="23"/>
      <c r="F502" s="23"/>
      <c r="G502" s="23"/>
      <c r="H502" s="23"/>
      <c r="I502" s="23"/>
      <c r="J502" s="23"/>
      <c r="K502" s="21"/>
      <c r="L502" s="23"/>
      <c r="M502" s="23"/>
    </row>
    <row r="503" spans="1:13" ht="15.75" customHeight="1">
      <c r="A503" s="23"/>
      <c r="B503" s="23"/>
      <c r="C503" s="23"/>
      <c r="D503" s="24"/>
      <c r="E503" s="23"/>
      <c r="F503" s="23"/>
      <c r="G503" s="23"/>
      <c r="H503" s="23"/>
      <c r="I503" s="23"/>
      <c r="J503" s="23"/>
      <c r="K503" s="21"/>
      <c r="L503" s="23"/>
      <c r="M503" s="23"/>
    </row>
    <row r="504" spans="1:13" ht="15.75" customHeight="1">
      <c r="A504" s="23"/>
      <c r="B504" s="23"/>
      <c r="C504" s="23"/>
      <c r="D504" s="24"/>
      <c r="E504" s="23"/>
      <c r="F504" s="23"/>
      <c r="G504" s="23"/>
      <c r="H504" s="23"/>
      <c r="I504" s="23"/>
      <c r="J504" s="23"/>
      <c r="K504" s="21"/>
      <c r="L504" s="23"/>
      <c r="M504" s="23"/>
    </row>
    <row r="505" spans="1:13" ht="15.75" customHeight="1">
      <c r="A505" s="23"/>
      <c r="B505" s="23"/>
      <c r="C505" s="23"/>
      <c r="D505" s="24"/>
      <c r="E505" s="23"/>
      <c r="F505" s="23"/>
      <c r="G505" s="23"/>
      <c r="H505" s="23"/>
      <c r="I505" s="23"/>
      <c r="J505" s="23"/>
      <c r="K505" s="21"/>
      <c r="L505" s="23"/>
      <c r="M505" s="23"/>
    </row>
    <row r="506" spans="1:13" ht="15.75" customHeight="1">
      <c r="A506" s="23"/>
      <c r="B506" s="23"/>
      <c r="C506" s="23"/>
      <c r="D506" s="24"/>
      <c r="E506" s="23"/>
      <c r="F506" s="23"/>
      <c r="G506" s="23"/>
      <c r="H506" s="23"/>
      <c r="I506" s="23"/>
      <c r="J506" s="23"/>
      <c r="K506" s="21"/>
      <c r="L506" s="23"/>
      <c r="M506" s="23"/>
    </row>
    <row r="507" spans="1:13" ht="15.75" customHeight="1">
      <c r="A507" s="23"/>
      <c r="B507" s="23"/>
      <c r="C507" s="23"/>
      <c r="D507" s="24"/>
      <c r="E507" s="23"/>
      <c r="F507" s="23"/>
      <c r="G507" s="23"/>
      <c r="H507" s="23"/>
      <c r="I507" s="23"/>
      <c r="J507" s="23"/>
      <c r="K507" s="21"/>
      <c r="L507" s="23"/>
      <c r="M507" s="23"/>
    </row>
    <row r="508" spans="1:13" ht="15.75" customHeight="1">
      <c r="A508" s="23"/>
      <c r="B508" s="23"/>
      <c r="C508" s="23"/>
      <c r="D508" s="24"/>
      <c r="E508" s="23"/>
      <c r="F508" s="23"/>
      <c r="G508" s="23"/>
      <c r="H508" s="23"/>
      <c r="I508" s="23"/>
      <c r="J508" s="23"/>
      <c r="K508" s="21"/>
      <c r="L508" s="23"/>
      <c r="M508" s="23"/>
    </row>
    <row r="509" spans="1:13" ht="15.75" customHeight="1">
      <c r="A509" s="23"/>
      <c r="B509" s="23"/>
      <c r="C509" s="23"/>
      <c r="D509" s="24"/>
      <c r="E509" s="23"/>
      <c r="F509" s="23"/>
      <c r="G509" s="23"/>
      <c r="H509" s="23"/>
      <c r="I509" s="23"/>
      <c r="J509" s="23"/>
      <c r="K509" s="21"/>
      <c r="L509" s="23"/>
      <c r="M509" s="23"/>
    </row>
    <row r="510" spans="1:13" ht="15.75" customHeight="1">
      <c r="A510" s="23"/>
      <c r="B510" s="23"/>
      <c r="C510" s="23"/>
      <c r="D510" s="24"/>
      <c r="E510" s="23"/>
      <c r="F510" s="23"/>
      <c r="G510" s="23"/>
      <c r="H510" s="23"/>
      <c r="I510" s="23"/>
      <c r="J510" s="23"/>
      <c r="K510" s="21"/>
      <c r="L510" s="23"/>
      <c r="M510" s="23"/>
    </row>
    <row r="511" spans="1:13" ht="15.75" customHeight="1">
      <c r="A511" s="23"/>
      <c r="B511" s="23"/>
      <c r="C511" s="23"/>
      <c r="D511" s="24"/>
      <c r="E511" s="23"/>
      <c r="F511" s="23"/>
      <c r="G511" s="23"/>
      <c r="H511" s="23"/>
      <c r="I511" s="23"/>
      <c r="J511" s="23"/>
      <c r="K511" s="21"/>
      <c r="L511" s="23"/>
      <c r="M511" s="23"/>
    </row>
    <row r="512" spans="1:13" ht="15.75" customHeight="1">
      <c r="A512" s="23"/>
      <c r="B512" s="23"/>
      <c r="C512" s="23"/>
      <c r="D512" s="24"/>
      <c r="E512" s="23"/>
      <c r="F512" s="23"/>
      <c r="G512" s="23"/>
      <c r="H512" s="23"/>
      <c r="I512" s="23"/>
      <c r="J512" s="23"/>
      <c r="K512" s="21"/>
      <c r="L512" s="23"/>
      <c r="M512" s="23"/>
    </row>
    <row r="513" spans="1:13" ht="15.75" customHeight="1">
      <c r="A513" s="23"/>
      <c r="B513" s="23"/>
      <c r="C513" s="23"/>
      <c r="D513" s="24"/>
      <c r="E513" s="23"/>
      <c r="F513" s="23"/>
      <c r="G513" s="23"/>
      <c r="H513" s="23"/>
      <c r="I513" s="23"/>
      <c r="J513" s="23"/>
      <c r="K513" s="21"/>
      <c r="L513" s="23"/>
      <c r="M513" s="23"/>
    </row>
    <row r="514" spans="1:13" ht="15.75" customHeight="1">
      <c r="A514" s="23"/>
      <c r="B514" s="23"/>
      <c r="C514" s="23"/>
      <c r="D514" s="24"/>
      <c r="E514" s="23"/>
      <c r="F514" s="23"/>
      <c r="G514" s="23"/>
      <c r="H514" s="23"/>
      <c r="I514" s="23"/>
      <c r="J514" s="23"/>
      <c r="K514" s="21"/>
      <c r="L514" s="23"/>
      <c r="M514" s="23"/>
    </row>
    <row r="515" spans="1:13" ht="15.75" customHeight="1">
      <c r="A515" s="23"/>
      <c r="B515" s="23"/>
      <c r="C515" s="23"/>
      <c r="D515" s="24"/>
      <c r="E515" s="23"/>
      <c r="F515" s="23"/>
      <c r="G515" s="23"/>
      <c r="H515" s="23"/>
      <c r="I515" s="23"/>
      <c r="J515" s="23"/>
      <c r="K515" s="21"/>
      <c r="L515" s="23"/>
      <c r="M515" s="23"/>
    </row>
    <row r="516" spans="1:13" ht="15.75" customHeight="1">
      <c r="A516" s="23"/>
      <c r="B516" s="23"/>
      <c r="C516" s="23"/>
      <c r="D516" s="24"/>
      <c r="E516" s="23"/>
      <c r="F516" s="23"/>
      <c r="G516" s="23"/>
      <c r="H516" s="23"/>
      <c r="I516" s="23"/>
      <c r="J516" s="23"/>
      <c r="K516" s="21"/>
      <c r="L516" s="23"/>
      <c r="M516" s="23"/>
    </row>
    <row r="517" spans="1:13" ht="15.75" customHeight="1">
      <c r="A517" s="23"/>
      <c r="B517" s="23"/>
      <c r="C517" s="23"/>
      <c r="D517" s="24"/>
      <c r="E517" s="23"/>
      <c r="F517" s="23"/>
      <c r="G517" s="23"/>
      <c r="H517" s="23"/>
      <c r="I517" s="23"/>
      <c r="J517" s="23"/>
      <c r="K517" s="21"/>
      <c r="L517" s="23"/>
      <c r="M517" s="23"/>
    </row>
    <row r="518" spans="1:13" ht="15.75" customHeight="1">
      <c r="A518" s="23"/>
      <c r="B518" s="23"/>
      <c r="C518" s="23"/>
      <c r="D518" s="24"/>
      <c r="E518" s="23"/>
      <c r="F518" s="23"/>
      <c r="G518" s="23"/>
      <c r="H518" s="23"/>
      <c r="I518" s="23"/>
      <c r="J518" s="23"/>
      <c r="K518" s="21"/>
      <c r="L518" s="23"/>
      <c r="M518" s="23"/>
    </row>
    <row r="519" spans="1:13" ht="15.75" customHeight="1">
      <c r="A519" s="23"/>
      <c r="B519" s="23"/>
      <c r="C519" s="23"/>
      <c r="D519" s="24"/>
      <c r="E519" s="23"/>
      <c r="F519" s="23"/>
      <c r="G519" s="23"/>
      <c r="H519" s="23"/>
      <c r="I519" s="23"/>
      <c r="J519" s="23"/>
      <c r="K519" s="21"/>
      <c r="L519" s="23"/>
      <c r="M519" s="23"/>
    </row>
    <row r="520" spans="1:13" ht="15.75" customHeight="1">
      <c r="A520" s="23"/>
      <c r="B520" s="23"/>
      <c r="C520" s="23"/>
      <c r="D520" s="24"/>
      <c r="E520" s="23"/>
      <c r="F520" s="23"/>
      <c r="G520" s="23"/>
      <c r="H520" s="23"/>
      <c r="I520" s="23"/>
      <c r="J520" s="23"/>
      <c r="K520" s="21"/>
      <c r="L520" s="23"/>
      <c r="M520" s="23"/>
    </row>
    <row r="521" spans="1:13" ht="15.75" customHeight="1">
      <c r="A521" s="23"/>
      <c r="B521" s="23"/>
      <c r="C521" s="23"/>
      <c r="D521" s="24"/>
      <c r="E521" s="23"/>
      <c r="F521" s="23"/>
      <c r="G521" s="23"/>
      <c r="H521" s="23"/>
      <c r="I521" s="23"/>
      <c r="J521" s="23"/>
      <c r="K521" s="21"/>
      <c r="L521" s="23"/>
      <c r="M521" s="23"/>
    </row>
    <row r="522" spans="1:13" ht="15.75" customHeight="1">
      <c r="A522" s="23"/>
      <c r="B522" s="23"/>
      <c r="C522" s="23"/>
      <c r="D522" s="24"/>
      <c r="E522" s="23"/>
      <c r="F522" s="23"/>
      <c r="G522" s="23"/>
      <c r="H522" s="23"/>
      <c r="I522" s="23"/>
      <c r="J522" s="23"/>
      <c r="K522" s="21"/>
      <c r="L522" s="23"/>
      <c r="M522" s="23"/>
    </row>
    <row r="523" spans="1:13" ht="15.75" customHeight="1">
      <c r="A523" s="23"/>
      <c r="B523" s="23"/>
      <c r="C523" s="23"/>
      <c r="D523" s="24"/>
      <c r="E523" s="23"/>
      <c r="F523" s="23"/>
      <c r="G523" s="23"/>
      <c r="H523" s="23"/>
      <c r="I523" s="23"/>
      <c r="J523" s="23"/>
      <c r="K523" s="21"/>
      <c r="L523" s="23"/>
      <c r="M523" s="23"/>
    </row>
    <row r="524" spans="1:13" ht="15.75" customHeight="1">
      <c r="A524" s="23"/>
      <c r="B524" s="23"/>
      <c r="C524" s="23"/>
      <c r="D524" s="24"/>
      <c r="E524" s="23"/>
      <c r="F524" s="23"/>
      <c r="G524" s="23"/>
      <c r="H524" s="23"/>
      <c r="I524" s="23"/>
      <c r="J524" s="23"/>
      <c r="K524" s="21"/>
      <c r="L524" s="23"/>
      <c r="M524" s="23"/>
    </row>
    <row r="525" spans="1:13" ht="15.75" customHeight="1">
      <c r="A525" s="23"/>
      <c r="B525" s="23"/>
      <c r="C525" s="23"/>
      <c r="D525" s="24"/>
      <c r="E525" s="23"/>
      <c r="F525" s="23"/>
      <c r="G525" s="23"/>
      <c r="H525" s="23"/>
      <c r="I525" s="23"/>
      <c r="J525" s="23"/>
      <c r="K525" s="21"/>
      <c r="L525" s="23"/>
      <c r="M525" s="23"/>
    </row>
    <row r="526" spans="1:13" ht="15.75" customHeight="1">
      <c r="A526" s="23"/>
      <c r="B526" s="23"/>
      <c r="C526" s="23"/>
      <c r="D526" s="24"/>
      <c r="E526" s="23"/>
      <c r="F526" s="23"/>
      <c r="G526" s="23"/>
      <c r="H526" s="23"/>
      <c r="I526" s="23"/>
      <c r="J526" s="23"/>
      <c r="K526" s="21"/>
      <c r="L526" s="23"/>
      <c r="M526" s="23"/>
    </row>
    <row r="527" spans="1:13" ht="15.75" customHeight="1">
      <c r="A527" s="23"/>
      <c r="B527" s="23"/>
      <c r="C527" s="23"/>
      <c r="D527" s="24"/>
      <c r="E527" s="23"/>
      <c r="F527" s="23"/>
      <c r="G527" s="23"/>
      <c r="H527" s="23"/>
      <c r="I527" s="23"/>
      <c r="J527" s="23"/>
      <c r="K527" s="21"/>
      <c r="L527" s="23"/>
      <c r="M527" s="23"/>
    </row>
    <row r="528" spans="1:13" ht="15.75" customHeight="1">
      <c r="A528" s="23"/>
      <c r="B528" s="23"/>
      <c r="C528" s="23"/>
      <c r="D528" s="24"/>
      <c r="E528" s="23"/>
      <c r="F528" s="23"/>
      <c r="G528" s="23"/>
      <c r="H528" s="23"/>
      <c r="I528" s="23"/>
      <c r="J528" s="23"/>
      <c r="K528" s="21"/>
      <c r="L528" s="23"/>
      <c r="M528" s="23"/>
    </row>
    <row r="529" spans="1:13" ht="15.75" customHeight="1">
      <c r="A529" s="23"/>
      <c r="B529" s="23"/>
      <c r="C529" s="23"/>
      <c r="D529" s="24"/>
      <c r="E529" s="23"/>
      <c r="F529" s="23"/>
      <c r="G529" s="23"/>
      <c r="H529" s="23"/>
      <c r="I529" s="23"/>
      <c r="J529" s="23"/>
      <c r="K529" s="21"/>
      <c r="L529" s="23"/>
      <c r="M529" s="23"/>
    </row>
    <row r="530" spans="1:13" ht="15.75" customHeight="1">
      <c r="A530" s="23"/>
      <c r="B530" s="23"/>
      <c r="C530" s="23"/>
      <c r="D530" s="24"/>
      <c r="E530" s="23"/>
      <c r="F530" s="23"/>
      <c r="G530" s="23"/>
      <c r="H530" s="23"/>
      <c r="I530" s="23"/>
      <c r="J530" s="23"/>
      <c r="K530" s="21"/>
      <c r="L530" s="23"/>
      <c r="M530" s="23"/>
    </row>
    <row r="531" spans="1:13" ht="15.75" customHeight="1">
      <c r="A531" s="23"/>
      <c r="B531" s="23"/>
      <c r="C531" s="23"/>
      <c r="D531" s="24"/>
      <c r="E531" s="23"/>
      <c r="F531" s="23"/>
      <c r="G531" s="23"/>
      <c r="H531" s="23"/>
      <c r="I531" s="23"/>
      <c r="J531" s="23"/>
      <c r="K531" s="21"/>
      <c r="L531" s="23"/>
      <c r="M531" s="23"/>
    </row>
    <row r="532" spans="1:13" ht="15.75" customHeight="1">
      <c r="A532" s="23"/>
      <c r="B532" s="23"/>
      <c r="C532" s="23"/>
      <c r="D532" s="24"/>
      <c r="E532" s="23"/>
      <c r="F532" s="23"/>
      <c r="G532" s="23"/>
      <c r="H532" s="23"/>
      <c r="I532" s="23"/>
      <c r="J532" s="23"/>
      <c r="K532" s="21"/>
      <c r="L532" s="23"/>
      <c r="M532" s="23"/>
    </row>
    <row r="533" spans="1:13" ht="15.75" customHeight="1">
      <c r="A533" s="23"/>
      <c r="B533" s="23"/>
      <c r="C533" s="23"/>
      <c r="D533" s="24"/>
      <c r="E533" s="23"/>
      <c r="F533" s="23"/>
      <c r="G533" s="23"/>
      <c r="H533" s="23"/>
      <c r="I533" s="23"/>
      <c r="J533" s="23"/>
      <c r="K533" s="21"/>
      <c r="L533" s="23"/>
      <c r="M533" s="23"/>
    </row>
    <row r="534" spans="1:13" ht="15.75" customHeight="1">
      <c r="A534" s="23"/>
      <c r="B534" s="23"/>
      <c r="C534" s="23"/>
      <c r="D534" s="24"/>
      <c r="E534" s="23"/>
      <c r="F534" s="23"/>
      <c r="G534" s="23"/>
      <c r="H534" s="23"/>
      <c r="I534" s="23"/>
      <c r="J534" s="23"/>
      <c r="K534" s="21"/>
      <c r="L534" s="23"/>
      <c r="M534" s="23"/>
    </row>
    <row r="535" spans="1:13" ht="15.75" customHeight="1">
      <c r="A535" s="23"/>
      <c r="B535" s="23"/>
      <c r="C535" s="23"/>
      <c r="D535" s="24"/>
      <c r="E535" s="23"/>
      <c r="F535" s="23"/>
      <c r="G535" s="23"/>
      <c r="H535" s="23"/>
      <c r="I535" s="23"/>
      <c r="J535" s="23"/>
      <c r="K535" s="21"/>
      <c r="L535" s="23"/>
      <c r="M535" s="23"/>
    </row>
    <row r="536" spans="1:13" ht="15.75" customHeight="1">
      <c r="A536" s="23"/>
      <c r="B536" s="23"/>
      <c r="C536" s="23"/>
      <c r="D536" s="24"/>
      <c r="E536" s="23"/>
      <c r="F536" s="23"/>
      <c r="G536" s="23"/>
      <c r="H536" s="23"/>
      <c r="I536" s="23"/>
      <c r="J536" s="23"/>
      <c r="K536" s="21"/>
      <c r="L536" s="23"/>
      <c r="M536" s="23"/>
    </row>
    <row r="537" spans="1:13" ht="15.75" customHeight="1">
      <c r="A537" s="23"/>
      <c r="B537" s="23"/>
      <c r="C537" s="23"/>
      <c r="D537" s="24"/>
      <c r="E537" s="23"/>
      <c r="F537" s="23"/>
      <c r="G537" s="23"/>
      <c r="H537" s="23"/>
      <c r="I537" s="23"/>
      <c r="J537" s="23"/>
      <c r="K537" s="21"/>
      <c r="L537" s="23"/>
      <c r="M537" s="23"/>
    </row>
    <row r="538" spans="1:13" ht="15.75" customHeight="1">
      <c r="A538" s="23"/>
      <c r="B538" s="23"/>
      <c r="C538" s="23"/>
      <c r="D538" s="24"/>
      <c r="E538" s="23"/>
      <c r="F538" s="23"/>
      <c r="G538" s="23"/>
      <c r="H538" s="23"/>
      <c r="I538" s="23"/>
      <c r="J538" s="23"/>
      <c r="K538" s="21"/>
      <c r="L538" s="23"/>
      <c r="M538" s="23"/>
    </row>
    <row r="539" spans="1:13" ht="15.75" customHeight="1">
      <c r="A539" s="23"/>
      <c r="B539" s="23"/>
      <c r="C539" s="23"/>
      <c r="D539" s="24"/>
      <c r="E539" s="23"/>
      <c r="F539" s="23"/>
      <c r="G539" s="23"/>
      <c r="H539" s="23"/>
      <c r="I539" s="23"/>
      <c r="J539" s="23"/>
      <c r="K539" s="21"/>
      <c r="L539" s="23"/>
      <c r="M539" s="23"/>
    </row>
    <row r="540" spans="1:13" ht="15.75" customHeight="1">
      <c r="A540" s="23"/>
      <c r="B540" s="23"/>
      <c r="C540" s="23"/>
      <c r="D540" s="24"/>
      <c r="E540" s="23"/>
      <c r="F540" s="23"/>
      <c r="G540" s="23"/>
      <c r="H540" s="23"/>
      <c r="I540" s="23"/>
      <c r="J540" s="23"/>
      <c r="K540" s="21"/>
      <c r="L540" s="23"/>
      <c r="M540" s="23"/>
    </row>
    <row r="541" spans="1:13" ht="15.75" customHeight="1">
      <c r="A541" s="23"/>
      <c r="B541" s="23"/>
      <c r="C541" s="23"/>
      <c r="D541" s="24"/>
      <c r="E541" s="23"/>
      <c r="F541" s="23"/>
      <c r="G541" s="23"/>
      <c r="H541" s="23"/>
      <c r="I541" s="23"/>
      <c r="J541" s="23"/>
      <c r="K541" s="21"/>
      <c r="L541" s="23"/>
      <c r="M541" s="23"/>
    </row>
    <row r="542" spans="1:13" ht="15.75" customHeight="1">
      <c r="A542" s="23"/>
      <c r="B542" s="23"/>
      <c r="C542" s="23"/>
      <c r="D542" s="24"/>
      <c r="E542" s="23"/>
      <c r="F542" s="23"/>
      <c r="G542" s="23"/>
      <c r="H542" s="23"/>
      <c r="I542" s="23"/>
      <c r="J542" s="23"/>
      <c r="K542" s="21"/>
      <c r="L542" s="23"/>
      <c r="M542" s="23"/>
    </row>
    <row r="543" spans="1:13" ht="15.75" customHeight="1">
      <c r="A543" s="23"/>
      <c r="B543" s="23"/>
      <c r="C543" s="23"/>
      <c r="D543" s="24"/>
      <c r="E543" s="23"/>
      <c r="F543" s="23"/>
      <c r="G543" s="23"/>
      <c r="H543" s="23"/>
      <c r="I543" s="23"/>
      <c r="J543" s="23"/>
      <c r="K543" s="21"/>
      <c r="L543" s="23"/>
      <c r="M543" s="23"/>
    </row>
    <row r="544" spans="1:13" ht="15.75" customHeight="1">
      <c r="A544" s="23"/>
      <c r="B544" s="23"/>
      <c r="C544" s="23"/>
      <c r="D544" s="24"/>
      <c r="E544" s="23"/>
      <c r="F544" s="23"/>
      <c r="G544" s="23"/>
      <c r="H544" s="23"/>
      <c r="I544" s="23"/>
      <c r="J544" s="23"/>
      <c r="K544" s="21"/>
      <c r="L544" s="23"/>
      <c r="M544" s="23"/>
    </row>
    <row r="545" spans="1:13" ht="15.75" customHeight="1">
      <c r="A545" s="23"/>
      <c r="B545" s="23"/>
      <c r="C545" s="23"/>
      <c r="D545" s="24"/>
      <c r="E545" s="23"/>
      <c r="F545" s="23"/>
      <c r="G545" s="23"/>
      <c r="H545" s="23"/>
      <c r="I545" s="23"/>
      <c r="J545" s="23"/>
      <c r="K545" s="21"/>
      <c r="L545" s="23"/>
      <c r="M545" s="23"/>
    </row>
    <row r="546" spans="1:13" ht="15.75" customHeight="1">
      <c r="A546" s="23"/>
      <c r="B546" s="23"/>
      <c r="C546" s="23"/>
      <c r="D546" s="24"/>
      <c r="E546" s="23"/>
      <c r="F546" s="23"/>
      <c r="G546" s="23"/>
      <c r="H546" s="23"/>
      <c r="I546" s="23"/>
      <c r="J546" s="23"/>
      <c r="K546" s="21"/>
      <c r="L546" s="23"/>
      <c r="M546" s="23"/>
    </row>
    <row r="547" spans="1:13" ht="15.75" customHeight="1">
      <c r="A547" s="23"/>
      <c r="B547" s="23"/>
      <c r="C547" s="23"/>
      <c r="D547" s="24"/>
      <c r="E547" s="23"/>
      <c r="F547" s="23"/>
      <c r="G547" s="23"/>
      <c r="H547" s="23"/>
      <c r="I547" s="23"/>
      <c r="J547" s="23"/>
      <c r="K547" s="21"/>
      <c r="L547" s="23"/>
      <c r="M547" s="23"/>
    </row>
    <row r="548" spans="1:13" ht="15.75" customHeight="1">
      <c r="A548" s="23"/>
      <c r="B548" s="23"/>
      <c r="C548" s="23"/>
      <c r="D548" s="24"/>
      <c r="E548" s="23"/>
      <c r="F548" s="23"/>
      <c r="G548" s="23"/>
      <c r="H548" s="23"/>
      <c r="I548" s="23"/>
      <c r="J548" s="23"/>
      <c r="K548" s="21"/>
      <c r="L548" s="23"/>
      <c r="M548" s="23"/>
    </row>
    <row r="549" spans="1:13" ht="15.75" customHeight="1">
      <c r="A549" s="23"/>
      <c r="B549" s="23"/>
      <c r="C549" s="23"/>
      <c r="D549" s="24"/>
      <c r="E549" s="23"/>
      <c r="F549" s="23"/>
      <c r="G549" s="23"/>
      <c r="H549" s="23"/>
      <c r="I549" s="23"/>
      <c r="J549" s="23"/>
      <c r="K549" s="21"/>
      <c r="L549" s="23"/>
      <c r="M549" s="23"/>
    </row>
    <row r="550" spans="1:13" ht="15.75" customHeight="1">
      <c r="A550" s="23"/>
      <c r="B550" s="23"/>
      <c r="C550" s="23"/>
      <c r="D550" s="24"/>
      <c r="E550" s="23"/>
      <c r="F550" s="23"/>
      <c r="G550" s="23"/>
      <c r="H550" s="23"/>
      <c r="I550" s="23"/>
      <c r="J550" s="23"/>
      <c r="K550" s="21"/>
      <c r="L550" s="23"/>
      <c r="M550" s="23"/>
    </row>
    <row r="551" spans="1:13" ht="15.75" customHeight="1">
      <c r="A551" s="23"/>
      <c r="B551" s="23"/>
      <c r="C551" s="23"/>
      <c r="D551" s="24"/>
      <c r="E551" s="23"/>
      <c r="F551" s="23"/>
      <c r="G551" s="23"/>
      <c r="H551" s="23"/>
      <c r="I551" s="23"/>
      <c r="J551" s="23"/>
      <c r="K551" s="21"/>
      <c r="L551" s="23"/>
      <c r="M551" s="23"/>
    </row>
    <row r="552" spans="1:13" ht="15.75" customHeight="1">
      <c r="A552" s="23"/>
      <c r="B552" s="23"/>
      <c r="C552" s="23"/>
      <c r="D552" s="24"/>
      <c r="E552" s="23"/>
      <c r="F552" s="23"/>
      <c r="G552" s="23"/>
      <c r="H552" s="23"/>
      <c r="I552" s="23"/>
      <c r="J552" s="23"/>
      <c r="K552" s="21"/>
      <c r="L552" s="23"/>
      <c r="M552" s="23"/>
    </row>
    <row r="553" spans="1:13" ht="15.75" customHeight="1">
      <c r="A553" s="23"/>
      <c r="B553" s="23"/>
      <c r="C553" s="23"/>
      <c r="D553" s="24"/>
      <c r="E553" s="23"/>
      <c r="F553" s="23"/>
      <c r="G553" s="23"/>
      <c r="H553" s="23"/>
      <c r="I553" s="23"/>
      <c r="J553" s="23"/>
      <c r="K553" s="21"/>
      <c r="L553" s="23"/>
      <c r="M553" s="23"/>
    </row>
    <row r="554" spans="1:13" ht="15.75" customHeight="1">
      <c r="A554" s="23"/>
      <c r="B554" s="23"/>
      <c r="C554" s="23"/>
      <c r="D554" s="24"/>
      <c r="E554" s="23"/>
      <c r="F554" s="23"/>
      <c r="G554" s="23"/>
      <c r="H554" s="23"/>
      <c r="I554" s="23"/>
      <c r="J554" s="23"/>
      <c r="K554" s="21"/>
      <c r="L554" s="23"/>
      <c r="M554" s="23"/>
    </row>
    <row r="555" spans="1:13" ht="15.75" customHeight="1">
      <c r="A555" s="23"/>
      <c r="B555" s="23"/>
      <c r="C555" s="23"/>
      <c r="D555" s="24"/>
      <c r="E555" s="23"/>
      <c r="F555" s="23"/>
      <c r="G555" s="23"/>
      <c r="H555" s="23"/>
      <c r="I555" s="23"/>
      <c r="J555" s="23"/>
      <c r="K555" s="21"/>
      <c r="L555" s="23"/>
      <c r="M555" s="23"/>
    </row>
    <row r="556" spans="1:13" ht="15.75" customHeight="1">
      <c r="A556" s="23"/>
      <c r="B556" s="23"/>
      <c r="C556" s="23"/>
      <c r="D556" s="24"/>
      <c r="E556" s="23"/>
      <c r="F556" s="23"/>
      <c r="G556" s="23"/>
      <c r="H556" s="23"/>
      <c r="I556" s="23"/>
      <c r="J556" s="23"/>
      <c r="K556" s="21"/>
      <c r="L556" s="23"/>
      <c r="M556" s="23"/>
    </row>
    <row r="557" spans="1:13" ht="15.75" customHeight="1">
      <c r="A557" s="23"/>
      <c r="B557" s="23"/>
      <c r="C557" s="23"/>
      <c r="D557" s="24"/>
      <c r="E557" s="23"/>
      <c r="F557" s="23"/>
      <c r="G557" s="23"/>
      <c r="H557" s="23"/>
      <c r="I557" s="23"/>
      <c r="J557" s="23"/>
      <c r="K557" s="21"/>
      <c r="L557" s="23"/>
      <c r="M557" s="23"/>
    </row>
    <row r="558" spans="1:13" ht="15.75" customHeight="1">
      <c r="A558" s="23"/>
      <c r="B558" s="23"/>
      <c r="C558" s="23"/>
      <c r="D558" s="24"/>
      <c r="E558" s="23"/>
      <c r="F558" s="23"/>
      <c r="G558" s="23"/>
      <c r="H558" s="23"/>
      <c r="I558" s="23"/>
      <c r="J558" s="23"/>
      <c r="K558" s="21"/>
      <c r="L558" s="23"/>
      <c r="M558" s="23"/>
    </row>
    <row r="559" spans="1:13" ht="15.75" customHeight="1">
      <c r="A559" s="23"/>
      <c r="B559" s="23"/>
      <c r="C559" s="23"/>
      <c r="D559" s="24"/>
      <c r="E559" s="23"/>
      <c r="F559" s="23"/>
      <c r="G559" s="23"/>
      <c r="H559" s="23"/>
      <c r="I559" s="23"/>
      <c r="J559" s="23"/>
      <c r="K559" s="21"/>
      <c r="L559" s="23"/>
      <c r="M559" s="23"/>
    </row>
    <row r="560" spans="1:13" ht="15.75" customHeight="1">
      <c r="A560" s="23"/>
      <c r="B560" s="23"/>
      <c r="C560" s="23"/>
      <c r="D560" s="24"/>
      <c r="E560" s="23"/>
      <c r="F560" s="23"/>
      <c r="G560" s="23"/>
      <c r="H560" s="23"/>
      <c r="I560" s="23"/>
      <c r="J560" s="23"/>
      <c r="K560" s="21"/>
      <c r="L560" s="23"/>
      <c r="M560" s="23"/>
    </row>
    <row r="561" spans="1:13" ht="15.75" customHeight="1">
      <c r="A561" s="23"/>
      <c r="B561" s="23"/>
      <c r="C561" s="23"/>
      <c r="D561" s="24"/>
      <c r="E561" s="23"/>
      <c r="F561" s="23"/>
      <c r="G561" s="23"/>
      <c r="H561" s="23"/>
      <c r="I561" s="23"/>
      <c r="J561" s="23"/>
      <c r="K561" s="21"/>
      <c r="L561" s="23"/>
      <c r="M561" s="23"/>
    </row>
    <row r="562" spans="1:13" ht="15.75" customHeight="1">
      <c r="A562" s="23"/>
      <c r="B562" s="23"/>
      <c r="C562" s="23"/>
      <c r="D562" s="24"/>
      <c r="E562" s="23"/>
      <c r="F562" s="23"/>
      <c r="G562" s="23"/>
      <c r="H562" s="23"/>
      <c r="I562" s="23"/>
      <c r="J562" s="23"/>
      <c r="K562" s="21"/>
      <c r="L562" s="23"/>
      <c r="M562" s="23"/>
    </row>
    <row r="563" spans="1:13" ht="15.75" customHeight="1">
      <c r="A563" s="23"/>
      <c r="B563" s="23"/>
      <c r="C563" s="23"/>
      <c r="D563" s="24"/>
      <c r="E563" s="23"/>
      <c r="F563" s="23"/>
      <c r="G563" s="23"/>
      <c r="H563" s="23"/>
      <c r="I563" s="23"/>
      <c r="J563" s="23"/>
      <c r="K563" s="21"/>
      <c r="L563" s="23"/>
      <c r="M563" s="23"/>
    </row>
    <row r="564" spans="1:13" ht="15.75" customHeight="1">
      <c r="A564" s="23"/>
      <c r="B564" s="23"/>
      <c r="C564" s="23"/>
      <c r="D564" s="24"/>
      <c r="E564" s="23"/>
      <c r="F564" s="23"/>
      <c r="G564" s="23"/>
      <c r="H564" s="23"/>
      <c r="I564" s="23"/>
      <c r="J564" s="23"/>
      <c r="K564" s="21"/>
      <c r="L564" s="23"/>
      <c r="M564" s="23"/>
    </row>
    <row r="565" spans="1:13" ht="15.75" customHeight="1">
      <c r="A565" s="23"/>
      <c r="B565" s="23"/>
      <c r="C565" s="23"/>
      <c r="D565" s="24"/>
      <c r="E565" s="23"/>
      <c r="F565" s="23"/>
      <c r="G565" s="23"/>
      <c r="H565" s="23"/>
      <c r="I565" s="23"/>
      <c r="J565" s="23"/>
      <c r="K565" s="21"/>
      <c r="L565" s="23"/>
      <c r="M565" s="23"/>
    </row>
    <row r="566" spans="1:13" ht="15.75" customHeight="1">
      <c r="A566" s="23"/>
      <c r="B566" s="23"/>
      <c r="C566" s="23"/>
      <c r="D566" s="24"/>
      <c r="E566" s="23"/>
      <c r="F566" s="23"/>
      <c r="G566" s="23"/>
      <c r="H566" s="23"/>
      <c r="I566" s="23"/>
      <c r="J566" s="23"/>
      <c r="K566" s="21"/>
      <c r="L566" s="23"/>
      <c r="M566" s="23"/>
    </row>
    <row r="567" spans="1:13" ht="15.75" customHeight="1">
      <c r="A567" s="23"/>
      <c r="B567" s="23"/>
      <c r="C567" s="23"/>
      <c r="D567" s="24"/>
      <c r="E567" s="23"/>
      <c r="F567" s="23"/>
      <c r="G567" s="23"/>
      <c r="H567" s="23"/>
      <c r="I567" s="23"/>
      <c r="J567" s="23"/>
      <c r="K567" s="21"/>
      <c r="L567" s="23"/>
      <c r="M567" s="23"/>
    </row>
    <row r="568" spans="1:13" ht="15.75" customHeight="1">
      <c r="A568" s="23"/>
      <c r="B568" s="23"/>
      <c r="C568" s="23"/>
      <c r="D568" s="24"/>
      <c r="E568" s="23"/>
      <c r="F568" s="23"/>
      <c r="G568" s="23"/>
      <c r="H568" s="23"/>
      <c r="I568" s="23"/>
      <c r="J568" s="23"/>
      <c r="K568" s="21"/>
      <c r="L568" s="23"/>
      <c r="M568" s="23"/>
    </row>
    <row r="569" spans="1:13" ht="15.75" customHeight="1">
      <c r="A569" s="23"/>
      <c r="B569" s="23"/>
      <c r="C569" s="23"/>
      <c r="D569" s="24"/>
      <c r="E569" s="23"/>
      <c r="F569" s="23"/>
      <c r="G569" s="23"/>
      <c r="H569" s="23"/>
      <c r="I569" s="23"/>
      <c r="J569" s="23"/>
      <c r="K569" s="21"/>
      <c r="L569" s="23"/>
      <c r="M569" s="23"/>
    </row>
    <row r="570" spans="1:13" ht="15.75" customHeight="1">
      <c r="A570" s="23"/>
      <c r="B570" s="23"/>
      <c r="C570" s="23"/>
      <c r="D570" s="24"/>
      <c r="E570" s="23"/>
      <c r="F570" s="23"/>
      <c r="G570" s="23"/>
      <c r="H570" s="23"/>
      <c r="I570" s="23"/>
      <c r="J570" s="23"/>
      <c r="K570" s="21"/>
      <c r="L570" s="23"/>
      <c r="M570" s="23"/>
    </row>
    <row r="571" spans="1:13" ht="15.75" customHeight="1">
      <c r="A571" s="23"/>
      <c r="B571" s="23"/>
      <c r="C571" s="23"/>
      <c r="D571" s="24"/>
      <c r="E571" s="23"/>
      <c r="F571" s="23"/>
      <c r="G571" s="23"/>
      <c r="H571" s="23"/>
      <c r="I571" s="23"/>
      <c r="J571" s="23"/>
      <c r="K571" s="21"/>
      <c r="L571" s="23"/>
      <c r="M571" s="23"/>
    </row>
    <row r="572" spans="1:13" ht="15.75" customHeight="1">
      <c r="A572" s="23"/>
      <c r="B572" s="23"/>
      <c r="C572" s="23"/>
      <c r="D572" s="24"/>
      <c r="E572" s="23"/>
      <c r="F572" s="23"/>
      <c r="G572" s="23"/>
      <c r="H572" s="23"/>
      <c r="I572" s="23"/>
      <c r="J572" s="23"/>
      <c r="K572" s="21"/>
      <c r="L572" s="23"/>
      <c r="M572" s="23"/>
    </row>
    <row r="573" spans="1:13" ht="15.75" customHeight="1">
      <c r="A573" s="23"/>
      <c r="B573" s="23"/>
      <c r="C573" s="23"/>
      <c r="D573" s="24"/>
      <c r="E573" s="23"/>
      <c r="F573" s="23"/>
      <c r="G573" s="23"/>
      <c r="H573" s="23"/>
      <c r="I573" s="23"/>
      <c r="J573" s="23"/>
      <c r="K573" s="21"/>
      <c r="L573" s="23"/>
      <c r="M573" s="23"/>
    </row>
    <row r="574" spans="1:13" ht="15.75" customHeight="1">
      <c r="A574" s="23"/>
      <c r="B574" s="23"/>
      <c r="C574" s="23"/>
      <c r="D574" s="24"/>
      <c r="E574" s="23"/>
      <c r="F574" s="23"/>
      <c r="G574" s="23"/>
      <c r="H574" s="23"/>
      <c r="I574" s="23"/>
      <c r="J574" s="23"/>
      <c r="K574" s="21"/>
      <c r="L574" s="23"/>
      <c r="M574" s="23"/>
    </row>
    <row r="575" spans="1:13" ht="15.75" customHeight="1">
      <c r="A575" s="23"/>
      <c r="B575" s="23"/>
      <c r="C575" s="23"/>
      <c r="D575" s="24"/>
      <c r="E575" s="23"/>
      <c r="F575" s="23"/>
      <c r="G575" s="23"/>
      <c r="H575" s="23"/>
      <c r="I575" s="23"/>
      <c r="J575" s="23"/>
      <c r="K575" s="21"/>
      <c r="L575" s="23"/>
      <c r="M575" s="23"/>
    </row>
    <row r="576" spans="1:13" ht="15.75" customHeight="1">
      <c r="A576" s="23"/>
      <c r="B576" s="23"/>
      <c r="C576" s="23"/>
      <c r="D576" s="24"/>
      <c r="E576" s="23"/>
      <c r="F576" s="23"/>
      <c r="G576" s="23"/>
      <c r="H576" s="23"/>
      <c r="I576" s="23"/>
      <c r="J576" s="23"/>
      <c r="K576" s="21"/>
      <c r="L576" s="23"/>
      <c r="M576" s="23"/>
    </row>
    <row r="577" spans="1:13" ht="15.75" customHeight="1">
      <c r="A577" s="23"/>
      <c r="B577" s="23"/>
      <c r="C577" s="23"/>
      <c r="D577" s="24"/>
      <c r="E577" s="23"/>
      <c r="F577" s="23"/>
      <c r="G577" s="23"/>
      <c r="H577" s="23"/>
      <c r="I577" s="23"/>
      <c r="J577" s="23"/>
      <c r="K577" s="21"/>
      <c r="L577" s="23"/>
      <c r="M577" s="23"/>
    </row>
    <row r="578" spans="1:13" ht="15.75" customHeight="1">
      <c r="A578" s="23"/>
      <c r="B578" s="23"/>
      <c r="C578" s="23"/>
      <c r="D578" s="24"/>
      <c r="E578" s="23"/>
      <c r="F578" s="23"/>
      <c r="G578" s="23"/>
      <c r="H578" s="23"/>
      <c r="I578" s="23"/>
      <c r="J578" s="23"/>
      <c r="K578" s="21"/>
      <c r="L578" s="23"/>
      <c r="M578" s="23"/>
    </row>
    <row r="579" spans="1:13" ht="15.75" customHeight="1">
      <c r="A579" s="23"/>
      <c r="B579" s="23"/>
      <c r="C579" s="23"/>
      <c r="D579" s="24"/>
      <c r="E579" s="23"/>
      <c r="F579" s="23"/>
      <c r="G579" s="23"/>
      <c r="H579" s="23"/>
      <c r="I579" s="23"/>
      <c r="J579" s="23"/>
      <c r="K579" s="21"/>
      <c r="L579" s="23"/>
      <c r="M579" s="23"/>
    </row>
    <row r="580" spans="1:13" ht="15.75" customHeight="1">
      <c r="A580" s="23"/>
      <c r="B580" s="23"/>
      <c r="C580" s="23"/>
      <c r="D580" s="24"/>
      <c r="E580" s="23"/>
      <c r="F580" s="23"/>
      <c r="G580" s="23"/>
      <c r="H580" s="23"/>
      <c r="I580" s="23"/>
      <c r="J580" s="23"/>
      <c r="K580" s="21"/>
      <c r="L580" s="23"/>
      <c r="M580" s="23"/>
    </row>
    <row r="581" spans="1:13" ht="15.75" customHeight="1">
      <c r="A581" s="23"/>
      <c r="B581" s="23"/>
      <c r="C581" s="23"/>
      <c r="D581" s="24"/>
      <c r="E581" s="23"/>
      <c r="F581" s="23"/>
      <c r="G581" s="23"/>
      <c r="H581" s="23"/>
      <c r="I581" s="23"/>
      <c r="J581" s="23"/>
      <c r="K581" s="21"/>
      <c r="L581" s="23"/>
      <c r="M581" s="23"/>
    </row>
    <row r="582" spans="1:13" ht="15.75" customHeight="1">
      <c r="A582" s="23"/>
      <c r="B582" s="23"/>
      <c r="C582" s="23"/>
      <c r="D582" s="24"/>
      <c r="E582" s="23"/>
      <c r="F582" s="23"/>
      <c r="G582" s="23"/>
      <c r="H582" s="23"/>
      <c r="I582" s="23"/>
      <c r="J582" s="23"/>
      <c r="K582" s="21"/>
      <c r="L582" s="23"/>
      <c r="M582" s="23"/>
    </row>
    <row r="583" spans="1:13" ht="15.75" customHeight="1">
      <c r="A583" s="23"/>
      <c r="B583" s="23"/>
      <c r="C583" s="23"/>
      <c r="D583" s="24"/>
      <c r="E583" s="23"/>
      <c r="F583" s="23"/>
      <c r="G583" s="23"/>
      <c r="H583" s="23"/>
      <c r="I583" s="23"/>
      <c r="J583" s="23"/>
      <c r="K583" s="21"/>
      <c r="L583" s="23"/>
      <c r="M583" s="23"/>
    </row>
    <row r="584" spans="1:13" ht="15.75" customHeight="1">
      <c r="A584" s="23"/>
      <c r="B584" s="23"/>
      <c r="C584" s="23"/>
      <c r="D584" s="24"/>
      <c r="E584" s="23"/>
      <c r="F584" s="23"/>
      <c r="G584" s="23"/>
      <c r="H584" s="23"/>
      <c r="I584" s="23"/>
      <c r="J584" s="23"/>
      <c r="K584" s="21"/>
      <c r="L584" s="23"/>
      <c r="M584" s="23"/>
    </row>
    <row r="585" spans="1:13" ht="15.75" customHeight="1">
      <c r="A585" s="23"/>
      <c r="B585" s="23"/>
      <c r="C585" s="23"/>
      <c r="D585" s="24"/>
      <c r="E585" s="23"/>
      <c r="F585" s="23"/>
      <c r="G585" s="23"/>
      <c r="H585" s="23"/>
      <c r="I585" s="23"/>
      <c r="J585" s="23"/>
      <c r="K585" s="21"/>
      <c r="L585" s="23"/>
      <c r="M585" s="23"/>
    </row>
    <row r="586" spans="1:13" ht="15.75" customHeight="1">
      <c r="A586" s="23"/>
      <c r="B586" s="23"/>
      <c r="C586" s="23"/>
      <c r="D586" s="24"/>
      <c r="E586" s="23"/>
      <c r="F586" s="23"/>
      <c r="G586" s="23"/>
      <c r="H586" s="23"/>
      <c r="I586" s="23"/>
      <c r="J586" s="23"/>
      <c r="K586" s="21"/>
      <c r="L586" s="23"/>
      <c r="M586" s="23"/>
    </row>
    <row r="587" spans="1:13" ht="15.75" customHeight="1">
      <c r="A587" s="23"/>
      <c r="B587" s="23"/>
      <c r="C587" s="23"/>
      <c r="D587" s="24"/>
      <c r="E587" s="23"/>
      <c r="F587" s="23"/>
      <c r="G587" s="23"/>
      <c r="H587" s="23"/>
      <c r="I587" s="23"/>
      <c r="J587" s="23"/>
      <c r="K587" s="21"/>
      <c r="L587" s="23"/>
      <c r="M587" s="23"/>
    </row>
    <row r="588" spans="1:13" ht="15.75" customHeight="1">
      <c r="A588" s="23"/>
      <c r="B588" s="23"/>
      <c r="C588" s="23"/>
      <c r="D588" s="24"/>
      <c r="E588" s="23"/>
      <c r="F588" s="23"/>
      <c r="G588" s="23"/>
      <c r="H588" s="23"/>
      <c r="I588" s="23"/>
      <c r="J588" s="23"/>
      <c r="K588" s="21"/>
      <c r="L588" s="23"/>
      <c r="M588" s="23"/>
    </row>
    <row r="589" spans="1:13" ht="15.75" customHeight="1">
      <c r="A589" s="23"/>
      <c r="B589" s="23"/>
      <c r="C589" s="23"/>
      <c r="D589" s="24"/>
      <c r="E589" s="23"/>
      <c r="F589" s="23"/>
      <c r="G589" s="23"/>
      <c r="H589" s="23"/>
      <c r="I589" s="23"/>
      <c r="J589" s="23"/>
      <c r="K589" s="21"/>
      <c r="L589" s="23"/>
      <c r="M589" s="23"/>
    </row>
    <row r="590" spans="1:13" ht="15.75" customHeight="1">
      <c r="A590" s="23"/>
      <c r="B590" s="23"/>
      <c r="C590" s="23"/>
      <c r="D590" s="24"/>
      <c r="E590" s="23"/>
      <c r="F590" s="23"/>
      <c r="G590" s="23"/>
      <c r="H590" s="23"/>
      <c r="I590" s="23"/>
      <c r="J590" s="23"/>
      <c r="K590" s="21"/>
      <c r="L590" s="23"/>
      <c r="M590" s="23"/>
    </row>
    <row r="591" spans="1:13" ht="15.75" customHeight="1">
      <c r="A591" s="23"/>
      <c r="B591" s="23"/>
      <c r="C591" s="23"/>
      <c r="D591" s="24"/>
      <c r="E591" s="23"/>
      <c r="F591" s="23"/>
      <c r="G591" s="23"/>
      <c r="H591" s="23"/>
      <c r="I591" s="23"/>
      <c r="J591" s="23"/>
      <c r="K591" s="21"/>
      <c r="L591" s="23"/>
      <c r="M591" s="23"/>
    </row>
    <row r="592" spans="1:13" ht="15.75" customHeight="1">
      <c r="A592" s="23"/>
      <c r="B592" s="23"/>
      <c r="C592" s="23"/>
      <c r="D592" s="24"/>
      <c r="E592" s="23"/>
      <c r="F592" s="23"/>
      <c r="G592" s="23"/>
      <c r="H592" s="23"/>
      <c r="I592" s="23"/>
      <c r="J592" s="23"/>
      <c r="K592" s="21"/>
      <c r="L592" s="23"/>
      <c r="M592" s="23"/>
    </row>
    <row r="593" spans="1:13" ht="15.75" customHeight="1">
      <c r="A593" s="23"/>
      <c r="B593" s="23"/>
      <c r="C593" s="23"/>
      <c r="D593" s="24"/>
      <c r="E593" s="23"/>
      <c r="F593" s="23"/>
      <c r="G593" s="23"/>
      <c r="H593" s="23"/>
      <c r="I593" s="23"/>
      <c r="J593" s="23"/>
      <c r="K593" s="21"/>
      <c r="L593" s="23"/>
      <c r="M593" s="23"/>
    </row>
    <row r="594" spans="1:13" ht="15.75" customHeight="1">
      <c r="A594" s="23"/>
      <c r="B594" s="23"/>
      <c r="C594" s="23"/>
      <c r="D594" s="24"/>
      <c r="E594" s="23"/>
      <c r="F594" s="23"/>
      <c r="G594" s="23"/>
      <c r="H594" s="23"/>
      <c r="I594" s="23"/>
      <c r="J594" s="23"/>
      <c r="K594" s="21"/>
      <c r="L594" s="23"/>
      <c r="M594" s="23"/>
    </row>
    <row r="595" spans="1:13" ht="15.75" customHeight="1">
      <c r="A595" s="23"/>
      <c r="B595" s="23"/>
      <c r="C595" s="23"/>
      <c r="D595" s="24"/>
      <c r="E595" s="23"/>
      <c r="F595" s="23"/>
      <c r="G595" s="23"/>
      <c r="H595" s="23"/>
      <c r="I595" s="23"/>
      <c r="J595" s="23"/>
      <c r="K595" s="21"/>
      <c r="L595" s="23"/>
      <c r="M595" s="23"/>
    </row>
    <row r="596" spans="1:13" ht="15.75" customHeight="1">
      <c r="A596" s="23"/>
      <c r="B596" s="23"/>
      <c r="C596" s="23"/>
      <c r="D596" s="24"/>
      <c r="E596" s="23"/>
      <c r="F596" s="23"/>
      <c r="G596" s="23"/>
      <c r="H596" s="23"/>
      <c r="I596" s="23"/>
      <c r="J596" s="23"/>
      <c r="K596" s="21"/>
      <c r="L596" s="23"/>
      <c r="M596" s="23"/>
    </row>
    <row r="597" spans="1:13" ht="15.75" customHeight="1">
      <c r="A597" s="23"/>
      <c r="B597" s="23"/>
      <c r="C597" s="23"/>
      <c r="D597" s="24"/>
      <c r="E597" s="23"/>
      <c r="F597" s="23"/>
      <c r="G597" s="23"/>
      <c r="H597" s="23"/>
      <c r="I597" s="23"/>
      <c r="J597" s="23"/>
      <c r="K597" s="21"/>
      <c r="L597" s="23"/>
      <c r="M597" s="23"/>
    </row>
    <row r="598" spans="1:13" ht="15.75" customHeight="1">
      <c r="A598" s="23"/>
      <c r="B598" s="23"/>
      <c r="C598" s="23"/>
      <c r="D598" s="24"/>
      <c r="E598" s="23"/>
      <c r="F598" s="23"/>
      <c r="G598" s="23"/>
      <c r="H598" s="23"/>
      <c r="I598" s="23"/>
      <c r="J598" s="23"/>
      <c r="K598" s="21"/>
      <c r="L598" s="23"/>
      <c r="M598" s="23"/>
    </row>
    <row r="599" spans="1:13" ht="15.75" customHeight="1">
      <c r="A599" s="23"/>
      <c r="B599" s="23"/>
      <c r="C599" s="23"/>
      <c r="D599" s="24"/>
      <c r="E599" s="23"/>
      <c r="F599" s="23"/>
      <c r="G599" s="23"/>
      <c r="H599" s="23"/>
      <c r="I599" s="23"/>
      <c r="J599" s="23"/>
      <c r="K599" s="21"/>
      <c r="L599" s="23"/>
      <c r="M599" s="23"/>
    </row>
    <row r="600" spans="1:13" ht="15.75" customHeight="1">
      <c r="A600" s="23"/>
      <c r="B600" s="23"/>
      <c r="C600" s="23"/>
      <c r="D600" s="24"/>
      <c r="E600" s="23"/>
      <c r="F600" s="23"/>
      <c r="G600" s="23"/>
      <c r="H600" s="23"/>
      <c r="I600" s="23"/>
      <c r="J600" s="23"/>
      <c r="K600" s="21"/>
      <c r="L600" s="23"/>
      <c r="M600" s="23"/>
    </row>
    <row r="601" spans="1:13" ht="15.75" customHeight="1">
      <c r="A601" s="23"/>
      <c r="B601" s="23"/>
      <c r="C601" s="23"/>
      <c r="D601" s="24"/>
      <c r="E601" s="23"/>
      <c r="F601" s="23"/>
      <c r="G601" s="23"/>
      <c r="H601" s="23"/>
      <c r="I601" s="23"/>
      <c r="J601" s="23"/>
      <c r="K601" s="21"/>
      <c r="L601" s="23"/>
      <c r="M601" s="23"/>
    </row>
    <row r="602" spans="1:13" ht="15.75" customHeight="1">
      <c r="A602" s="23"/>
      <c r="B602" s="23"/>
      <c r="C602" s="23"/>
      <c r="D602" s="24"/>
      <c r="E602" s="23"/>
      <c r="F602" s="23"/>
      <c r="G602" s="23"/>
      <c r="H602" s="23"/>
      <c r="I602" s="23"/>
      <c r="J602" s="23"/>
      <c r="K602" s="21"/>
      <c r="L602" s="23"/>
      <c r="M602" s="23"/>
    </row>
    <row r="603" spans="1:13" ht="15.75" customHeight="1">
      <c r="A603" s="23"/>
      <c r="B603" s="23"/>
      <c r="C603" s="23"/>
      <c r="D603" s="24"/>
      <c r="E603" s="23"/>
      <c r="F603" s="23"/>
      <c r="G603" s="23"/>
      <c r="H603" s="23"/>
      <c r="I603" s="23"/>
      <c r="J603" s="23"/>
      <c r="K603" s="21"/>
      <c r="L603" s="23"/>
      <c r="M603" s="23"/>
    </row>
    <row r="604" spans="1:13" ht="15.75" customHeight="1">
      <c r="A604" s="23"/>
      <c r="B604" s="23"/>
      <c r="C604" s="23"/>
      <c r="D604" s="24"/>
      <c r="E604" s="23"/>
      <c r="F604" s="23"/>
      <c r="G604" s="23"/>
      <c r="H604" s="23"/>
      <c r="I604" s="23"/>
      <c r="J604" s="23"/>
      <c r="K604" s="21"/>
      <c r="L604" s="23"/>
      <c r="M604" s="23"/>
    </row>
    <row r="605" spans="1:13" ht="15.75" customHeight="1">
      <c r="A605" s="23"/>
      <c r="B605" s="23"/>
      <c r="C605" s="23"/>
      <c r="D605" s="24"/>
      <c r="E605" s="23"/>
      <c r="F605" s="23"/>
      <c r="G605" s="23"/>
      <c r="H605" s="23"/>
      <c r="I605" s="23"/>
      <c r="J605" s="23"/>
      <c r="K605" s="21"/>
      <c r="L605" s="23"/>
      <c r="M605" s="23"/>
    </row>
    <row r="606" spans="1:13" ht="15.75" customHeight="1">
      <c r="A606" s="23"/>
      <c r="B606" s="23"/>
      <c r="C606" s="23"/>
      <c r="D606" s="24"/>
      <c r="E606" s="23"/>
      <c r="F606" s="23"/>
      <c r="G606" s="23"/>
      <c r="H606" s="23"/>
      <c r="I606" s="23"/>
      <c r="J606" s="23"/>
      <c r="K606" s="21"/>
      <c r="L606" s="23"/>
      <c r="M606" s="23"/>
    </row>
    <row r="607" spans="1:13" ht="15.75" customHeight="1">
      <c r="A607" s="23"/>
      <c r="B607" s="23"/>
      <c r="C607" s="23"/>
      <c r="D607" s="24"/>
      <c r="E607" s="23"/>
      <c r="F607" s="23"/>
      <c r="G607" s="23"/>
      <c r="H607" s="23"/>
      <c r="I607" s="23"/>
      <c r="J607" s="23"/>
      <c r="K607" s="21"/>
      <c r="L607" s="23"/>
      <c r="M607" s="23"/>
    </row>
    <row r="608" spans="1:13" ht="15.75" customHeight="1">
      <c r="A608" s="23"/>
      <c r="B608" s="23"/>
      <c r="C608" s="23"/>
      <c r="D608" s="24"/>
      <c r="E608" s="23"/>
      <c r="F608" s="23"/>
      <c r="G608" s="23"/>
      <c r="H608" s="23"/>
      <c r="I608" s="23"/>
      <c r="J608" s="23"/>
      <c r="K608" s="21"/>
      <c r="L608" s="23"/>
      <c r="M608" s="23"/>
    </row>
    <row r="609" spans="1:13" ht="15.75" customHeight="1">
      <c r="A609" s="23"/>
      <c r="B609" s="23"/>
      <c r="C609" s="23"/>
      <c r="D609" s="24"/>
      <c r="E609" s="23"/>
      <c r="F609" s="23"/>
      <c r="G609" s="23"/>
      <c r="H609" s="23"/>
      <c r="I609" s="23"/>
      <c r="J609" s="23"/>
      <c r="K609" s="21"/>
      <c r="L609" s="23"/>
      <c r="M609" s="23"/>
    </row>
    <row r="610" spans="1:13" ht="15.75" customHeight="1">
      <c r="A610" s="23"/>
      <c r="B610" s="23"/>
      <c r="C610" s="23"/>
      <c r="D610" s="24"/>
      <c r="E610" s="23"/>
      <c r="F610" s="23"/>
      <c r="G610" s="23"/>
      <c r="H610" s="23"/>
      <c r="I610" s="23"/>
      <c r="J610" s="23"/>
      <c r="K610" s="21"/>
      <c r="L610" s="23"/>
      <c r="M610" s="23"/>
    </row>
    <row r="611" spans="1:13" ht="15.75" customHeight="1">
      <c r="A611" s="23"/>
      <c r="B611" s="23"/>
      <c r="C611" s="23"/>
      <c r="D611" s="24"/>
      <c r="E611" s="23"/>
      <c r="F611" s="23"/>
      <c r="G611" s="23"/>
      <c r="H611" s="23"/>
      <c r="I611" s="23"/>
      <c r="J611" s="23"/>
      <c r="K611" s="21"/>
      <c r="L611" s="23"/>
      <c r="M611" s="23"/>
    </row>
    <row r="612" spans="1:13" ht="15.75" customHeight="1">
      <c r="A612" s="23"/>
      <c r="B612" s="23"/>
      <c r="C612" s="23"/>
      <c r="D612" s="24"/>
      <c r="E612" s="23"/>
      <c r="F612" s="23"/>
      <c r="G612" s="23"/>
      <c r="H612" s="23"/>
      <c r="I612" s="23"/>
      <c r="J612" s="23"/>
      <c r="K612" s="21"/>
      <c r="L612" s="23"/>
      <c r="M612" s="23"/>
    </row>
    <row r="613" spans="1:13" ht="15.75" customHeight="1">
      <c r="A613" s="23"/>
      <c r="B613" s="23"/>
      <c r="C613" s="23"/>
      <c r="D613" s="24"/>
      <c r="E613" s="23"/>
      <c r="F613" s="23"/>
      <c r="G613" s="23"/>
      <c r="H613" s="23"/>
      <c r="I613" s="23"/>
      <c r="J613" s="23"/>
      <c r="K613" s="21"/>
      <c r="L613" s="23"/>
      <c r="M613" s="23"/>
    </row>
    <row r="614" spans="1:13" ht="15.75" customHeight="1">
      <c r="A614" s="23"/>
      <c r="B614" s="23"/>
      <c r="C614" s="23"/>
      <c r="D614" s="24"/>
      <c r="E614" s="23"/>
      <c r="F614" s="23"/>
      <c r="G614" s="23"/>
      <c r="H614" s="23"/>
      <c r="I614" s="23"/>
      <c r="J614" s="23"/>
      <c r="K614" s="21"/>
      <c r="L614" s="23"/>
      <c r="M614" s="23"/>
    </row>
    <row r="615" spans="1:13" ht="15.75" customHeight="1">
      <c r="A615" s="23"/>
      <c r="B615" s="23"/>
      <c r="C615" s="23"/>
      <c r="D615" s="24"/>
      <c r="E615" s="23"/>
      <c r="F615" s="23"/>
      <c r="G615" s="23"/>
      <c r="H615" s="23"/>
      <c r="I615" s="23"/>
      <c r="J615" s="23"/>
      <c r="K615" s="21"/>
      <c r="L615" s="23"/>
      <c r="M615" s="23"/>
    </row>
    <row r="616" spans="1:13" ht="15.75" customHeight="1">
      <c r="A616" s="23"/>
      <c r="B616" s="23"/>
      <c r="C616" s="23"/>
      <c r="D616" s="24"/>
      <c r="E616" s="23"/>
      <c r="F616" s="23"/>
      <c r="G616" s="23"/>
      <c r="H616" s="23"/>
      <c r="I616" s="23"/>
      <c r="J616" s="23"/>
      <c r="K616" s="21"/>
      <c r="L616" s="23"/>
      <c r="M616" s="23"/>
    </row>
    <row r="617" spans="1:13" ht="15.75" customHeight="1">
      <c r="A617" s="23"/>
      <c r="B617" s="23"/>
      <c r="C617" s="23"/>
      <c r="D617" s="24"/>
      <c r="E617" s="23"/>
      <c r="F617" s="23"/>
      <c r="G617" s="23"/>
      <c r="H617" s="23"/>
      <c r="I617" s="23"/>
      <c r="J617" s="23"/>
      <c r="K617" s="21"/>
      <c r="L617" s="23"/>
      <c r="M617" s="23"/>
    </row>
    <row r="618" spans="1:13" ht="15.75" customHeight="1">
      <c r="A618" s="23"/>
      <c r="B618" s="23"/>
      <c r="C618" s="23"/>
      <c r="D618" s="24"/>
      <c r="E618" s="23"/>
      <c r="F618" s="23"/>
      <c r="G618" s="23"/>
      <c r="H618" s="23"/>
      <c r="I618" s="23"/>
      <c r="J618" s="23"/>
      <c r="K618" s="21"/>
      <c r="L618" s="23"/>
      <c r="M618" s="23"/>
    </row>
    <row r="619" spans="1:13" ht="15.75" customHeight="1">
      <c r="A619" s="23"/>
      <c r="B619" s="23"/>
      <c r="C619" s="23"/>
      <c r="D619" s="24"/>
      <c r="E619" s="23"/>
      <c r="F619" s="23"/>
      <c r="G619" s="23"/>
      <c r="H619" s="23"/>
      <c r="I619" s="23"/>
      <c r="J619" s="23"/>
      <c r="K619" s="21"/>
      <c r="L619" s="23"/>
      <c r="M619" s="23"/>
    </row>
    <row r="620" spans="1:13" ht="15.75" customHeight="1">
      <c r="A620" s="23"/>
      <c r="B620" s="23"/>
      <c r="C620" s="23"/>
      <c r="D620" s="24"/>
      <c r="E620" s="23"/>
      <c r="F620" s="23"/>
      <c r="G620" s="23"/>
      <c r="H620" s="23"/>
      <c r="I620" s="23"/>
      <c r="J620" s="23"/>
      <c r="K620" s="21"/>
      <c r="L620" s="23"/>
      <c r="M620" s="23"/>
    </row>
    <row r="621" spans="1:13" ht="15.75" customHeight="1">
      <c r="A621" s="23"/>
      <c r="B621" s="23"/>
      <c r="C621" s="23"/>
      <c r="D621" s="24"/>
      <c r="E621" s="23"/>
      <c r="F621" s="23"/>
      <c r="G621" s="23"/>
      <c r="H621" s="23"/>
      <c r="I621" s="23"/>
      <c r="J621" s="23"/>
      <c r="K621" s="21"/>
      <c r="L621" s="23"/>
      <c r="M621" s="23"/>
    </row>
    <row r="622" spans="1:13" ht="15.75" customHeight="1">
      <c r="A622" s="23"/>
      <c r="B622" s="23"/>
      <c r="C622" s="23"/>
      <c r="D622" s="24"/>
      <c r="E622" s="23"/>
      <c r="F622" s="23"/>
      <c r="G622" s="23"/>
      <c r="H622" s="23"/>
      <c r="I622" s="23"/>
      <c r="J622" s="23"/>
      <c r="K622" s="21"/>
      <c r="L622" s="23"/>
      <c r="M622" s="23"/>
    </row>
    <row r="623" spans="1:13" ht="15.75" customHeight="1">
      <c r="A623" s="23"/>
      <c r="B623" s="23"/>
      <c r="C623" s="23"/>
      <c r="D623" s="24"/>
      <c r="E623" s="23"/>
      <c r="F623" s="23"/>
      <c r="G623" s="23"/>
      <c r="H623" s="23"/>
      <c r="I623" s="23"/>
      <c r="J623" s="23"/>
      <c r="K623" s="21"/>
      <c r="L623" s="23"/>
      <c r="M623" s="23"/>
    </row>
    <row r="624" spans="1:13" ht="15.75" customHeight="1">
      <c r="A624" s="23"/>
      <c r="B624" s="23"/>
      <c r="C624" s="23"/>
      <c r="D624" s="24"/>
      <c r="E624" s="23"/>
      <c r="F624" s="23"/>
      <c r="G624" s="23"/>
      <c r="H624" s="23"/>
      <c r="I624" s="23"/>
      <c r="J624" s="23"/>
      <c r="K624" s="21"/>
      <c r="L624" s="23"/>
      <c r="M624" s="23"/>
    </row>
    <row r="625" spans="1:13" ht="15.75" customHeight="1">
      <c r="A625" s="23"/>
      <c r="B625" s="23"/>
      <c r="C625" s="23"/>
      <c r="D625" s="24"/>
      <c r="E625" s="23"/>
      <c r="F625" s="23"/>
      <c r="G625" s="23"/>
      <c r="H625" s="23"/>
      <c r="I625" s="23"/>
      <c r="J625" s="23"/>
      <c r="K625" s="21"/>
      <c r="L625" s="23"/>
      <c r="M625" s="23"/>
    </row>
    <row r="626" spans="1:13" ht="15.75" customHeight="1">
      <c r="A626" s="23"/>
      <c r="B626" s="23"/>
      <c r="C626" s="23"/>
      <c r="D626" s="24"/>
      <c r="E626" s="23"/>
      <c r="F626" s="23"/>
      <c r="G626" s="23"/>
      <c r="H626" s="23"/>
      <c r="I626" s="23"/>
      <c r="J626" s="23"/>
      <c r="K626" s="21"/>
      <c r="L626" s="23"/>
      <c r="M626" s="23"/>
    </row>
    <row r="627" spans="1:13" ht="15.75" customHeight="1">
      <c r="A627" s="23"/>
      <c r="B627" s="23"/>
      <c r="C627" s="23"/>
      <c r="D627" s="24"/>
      <c r="E627" s="23"/>
      <c r="F627" s="23"/>
      <c r="G627" s="23"/>
      <c r="H627" s="23"/>
      <c r="I627" s="23"/>
      <c r="J627" s="23"/>
      <c r="K627" s="21"/>
      <c r="L627" s="23"/>
      <c r="M627" s="23"/>
    </row>
    <row r="628" spans="1:13" ht="15.75" customHeight="1">
      <c r="A628" s="23"/>
      <c r="B628" s="23"/>
      <c r="C628" s="23"/>
      <c r="D628" s="24"/>
      <c r="E628" s="23"/>
      <c r="F628" s="23"/>
      <c r="G628" s="23"/>
      <c r="H628" s="23"/>
      <c r="I628" s="23"/>
      <c r="J628" s="23"/>
      <c r="K628" s="21"/>
      <c r="L628" s="23"/>
      <c r="M628" s="23"/>
    </row>
    <row r="629" spans="1:13" ht="15.75" customHeight="1">
      <c r="A629" s="23"/>
      <c r="B629" s="23"/>
      <c r="C629" s="23"/>
      <c r="D629" s="24"/>
      <c r="E629" s="23"/>
      <c r="F629" s="23"/>
      <c r="G629" s="23"/>
      <c r="H629" s="23"/>
      <c r="I629" s="23"/>
      <c r="J629" s="23"/>
      <c r="K629" s="21"/>
      <c r="L629" s="23"/>
      <c r="M629" s="23"/>
    </row>
    <row r="630" spans="1:13" ht="15.75" customHeight="1">
      <c r="A630" s="23"/>
      <c r="B630" s="23"/>
      <c r="C630" s="23"/>
      <c r="D630" s="24"/>
      <c r="E630" s="23"/>
      <c r="F630" s="23"/>
      <c r="G630" s="23"/>
      <c r="H630" s="23"/>
      <c r="I630" s="23"/>
      <c r="J630" s="23"/>
      <c r="K630" s="21"/>
      <c r="L630" s="23"/>
      <c r="M630" s="23"/>
    </row>
    <row r="631" spans="1:13" ht="15.75" customHeight="1">
      <c r="A631" s="23"/>
      <c r="B631" s="23"/>
      <c r="C631" s="23"/>
      <c r="D631" s="24"/>
      <c r="E631" s="23"/>
      <c r="F631" s="23"/>
      <c r="G631" s="23"/>
      <c r="H631" s="23"/>
      <c r="I631" s="23"/>
      <c r="J631" s="23"/>
      <c r="K631" s="21"/>
      <c r="L631" s="23"/>
      <c r="M631" s="23"/>
    </row>
    <row r="632" spans="1:13" ht="15.75" customHeight="1">
      <c r="A632" s="23"/>
      <c r="B632" s="23"/>
      <c r="C632" s="23"/>
      <c r="D632" s="24"/>
      <c r="E632" s="23"/>
      <c r="F632" s="23"/>
      <c r="G632" s="23"/>
      <c r="H632" s="23"/>
      <c r="I632" s="23"/>
      <c r="J632" s="23"/>
      <c r="K632" s="21"/>
      <c r="L632" s="23"/>
      <c r="M632" s="23"/>
    </row>
    <row r="633" spans="1:13" ht="15.75" customHeight="1">
      <c r="A633" s="23"/>
      <c r="B633" s="23"/>
      <c r="C633" s="23"/>
      <c r="D633" s="24"/>
      <c r="E633" s="23"/>
      <c r="F633" s="23"/>
      <c r="G633" s="23"/>
      <c r="H633" s="23"/>
      <c r="I633" s="23"/>
      <c r="J633" s="23"/>
      <c r="K633" s="21"/>
      <c r="L633" s="23"/>
      <c r="M633" s="23"/>
    </row>
    <row r="634" spans="1:13" ht="15.75" customHeight="1">
      <c r="A634" s="23"/>
      <c r="B634" s="23"/>
      <c r="C634" s="23"/>
      <c r="D634" s="24"/>
      <c r="E634" s="23"/>
      <c r="F634" s="23"/>
      <c r="G634" s="23"/>
      <c r="H634" s="23"/>
      <c r="I634" s="23"/>
      <c r="J634" s="23"/>
      <c r="K634" s="21"/>
      <c r="L634" s="23"/>
      <c r="M634" s="23"/>
    </row>
    <row r="635" spans="1:13" ht="15.75" customHeight="1">
      <c r="A635" s="23"/>
      <c r="B635" s="23"/>
      <c r="C635" s="23"/>
      <c r="D635" s="24"/>
      <c r="E635" s="23"/>
      <c r="F635" s="23"/>
      <c r="G635" s="23"/>
      <c r="H635" s="23"/>
      <c r="I635" s="23"/>
      <c r="J635" s="23"/>
      <c r="K635" s="21"/>
      <c r="L635" s="23"/>
      <c r="M635" s="23"/>
    </row>
    <row r="636" spans="1:13" ht="15.75" customHeight="1">
      <c r="A636" s="23"/>
      <c r="B636" s="23"/>
      <c r="C636" s="23"/>
      <c r="D636" s="24"/>
      <c r="E636" s="23"/>
      <c r="F636" s="23"/>
      <c r="G636" s="23"/>
      <c r="H636" s="23"/>
      <c r="I636" s="23"/>
      <c r="J636" s="23"/>
      <c r="K636" s="21"/>
      <c r="L636" s="23"/>
      <c r="M636" s="23"/>
    </row>
    <row r="637" spans="1:13" ht="15.75" customHeight="1">
      <c r="A637" s="23"/>
      <c r="B637" s="23"/>
      <c r="C637" s="23"/>
      <c r="D637" s="24"/>
      <c r="E637" s="23"/>
      <c r="F637" s="23"/>
      <c r="G637" s="23"/>
      <c r="H637" s="23"/>
      <c r="I637" s="23"/>
      <c r="J637" s="23"/>
      <c r="K637" s="21"/>
      <c r="L637" s="23"/>
      <c r="M637" s="23"/>
    </row>
    <row r="638" spans="1:13" ht="15.75" customHeight="1">
      <c r="A638" s="23"/>
      <c r="B638" s="23"/>
      <c r="C638" s="23"/>
      <c r="D638" s="24"/>
      <c r="E638" s="23"/>
      <c r="F638" s="23"/>
      <c r="G638" s="23"/>
      <c r="H638" s="23"/>
      <c r="I638" s="23"/>
      <c r="J638" s="23"/>
      <c r="K638" s="21"/>
      <c r="L638" s="23"/>
      <c r="M638" s="23"/>
    </row>
    <row r="639" spans="1:13" ht="15.75" customHeight="1">
      <c r="A639" s="23"/>
      <c r="B639" s="23"/>
      <c r="C639" s="23"/>
      <c r="D639" s="24"/>
      <c r="E639" s="23"/>
      <c r="F639" s="23"/>
      <c r="G639" s="23"/>
      <c r="H639" s="23"/>
      <c r="I639" s="23"/>
      <c r="J639" s="23"/>
      <c r="K639" s="21"/>
      <c r="L639" s="23"/>
      <c r="M639" s="23"/>
    </row>
    <row r="640" spans="1:13" ht="15.75" customHeight="1">
      <c r="A640" s="23"/>
      <c r="B640" s="23"/>
      <c r="C640" s="23"/>
      <c r="D640" s="24"/>
      <c r="E640" s="23"/>
      <c r="F640" s="23"/>
      <c r="G640" s="23"/>
      <c r="H640" s="23"/>
      <c r="I640" s="23"/>
      <c r="J640" s="23"/>
      <c r="K640" s="21"/>
      <c r="L640" s="23"/>
      <c r="M640" s="23"/>
    </row>
    <row r="641" spans="1:13" ht="15.75" customHeight="1">
      <c r="A641" s="23"/>
      <c r="B641" s="23"/>
      <c r="C641" s="23"/>
      <c r="D641" s="24"/>
      <c r="E641" s="23"/>
      <c r="F641" s="23"/>
      <c r="G641" s="23"/>
      <c r="H641" s="23"/>
      <c r="I641" s="23"/>
      <c r="J641" s="23"/>
      <c r="K641" s="21"/>
      <c r="L641" s="23"/>
      <c r="M641" s="23"/>
    </row>
    <row r="642" spans="1:13" ht="15.75" customHeight="1">
      <c r="A642" s="23"/>
      <c r="B642" s="23"/>
      <c r="C642" s="23"/>
      <c r="D642" s="24"/>
      <c r="E642" s="23"/>
      <c r="F642" s="23"/>
      <c r="G642" s="23"/>
      <c r="H642" s="23"/>
      <c r="I642" s="23"/>
      <c r="J642" s="23"/>
      <c r="K642" s="21"/>
      <c r="L642" s="23"/>
      <c r="M642" s="23"/>
    </row>
    <row r="643" spans="1:13" ht="15.75" customHeight="1">
      <c r="A643" s="23"/>
      <c r="B643" s="23"/>
      <c r="C643" s="23"/>
      <c r="D643" s="24"/>
      <c r="E643" s="23"/>
      <c r="F643" s="23"/>
      <c r="G643" s="23"/>
      <c r="H643" s="23"/>
      <c r="I643" s="23"/>
      <c r="J643" s="23"/>
      <c r="K643" s="21"/>
      <c r="L643" s="23"/>
      <c r="M643" s="23"/>
    </row>
    <row r="644" spans="1:13" ht="15.75" customHeight="1">
      <c r="A644" s="23"/>
      <c r="B644" s="23"/>
      <c r="C644" s="23"/>
      <c r="D644" s="24"/>
      <c r="E644" s="23"/>
      <c r="F644" s="23"/>
      <c r="G644" s="23"/>
      <c r="H644" s="23"/>
      <c r="I644" s="23"/>
      <c r="J644" s="23"/>
      <c r="K644" s="21"/>
      <c r="L644" s="23"/>
      <c r="M644" s="23"/>
    </row>
    <row r="645" spans="1:13" ht="15.75" customHeight="1">
      <c r="A645" s="23"/>
      <c r="B645" s="23"/>
      <c r="C645" s="23"/>
      <c r="D645" s="24"/>
      <c r="E645" s="23"/>
      <c r="F645" s="23"/>
      <c r="G645" s="23"/>
      <c r="H645" s="23"/>
      <c r="I645" s="23"/>
      <c r="J645" s="23"/>
      <c r="K645" s="21"/>
      <c r="L645" s="23"/>
      <c r="M645" s="23"/>
    </row>
    <row r="646" spans="1:13" ht="15.75" customHeight="1">
      <c r="A646" s="23"/>
      <c r="B646" s="23"/>
      <c r="C646" s="23"/>
      <c r="D646" s="24"/>
      <c r="E646" s="23"/>
      <c r="F646" s="23"/>
      <c r="G646" s="23"/>
      <c r="H646" s="23"/>
      <c r="I646" s="23"/>
      <c r="J646" s="23"/>
      <c r="K646" s="21"/>
      <c r="L646" s="23"/>
      <c r="M646" s="23"/>
    </row>
    <row r="647" spans="1:13" ht="15.75" customHeight="1">
      <c r="A647" s="23"/>
      <c r="B647" s="23"/>
      <c r="C647" s="23"/>
      <c r="D647" s="24"/>
      <c r="E647" s="23"/>
      <c r="F647" s="23"/>
      <c r="G647" s="23"/>
      <c r="H647" s="23"/>
      <c r="I647" s="23"/>
      <c r="J647" s="23"/>
      <c r="K647" s="21"/>
      <c r="L647" s="23"/>
      <c r="M647" s="23"/>
    </row>
    <row r="648" spans="1:13" ht="15.75" customHeight="1">
      <c r="A648" s="23"/>
      <c r="B648" s="23"/>
      <c r="C648" s="23"/>
      <c r="D648" s="24"/>
      <c r="E648" s="23"/>
      <c r="F648" s="23"/>
      <c r="G648" s="23"/>
      <c r="H648" s="23"/>
      <c r="I648" s="23"/>
      <c r="J648" s="23"/>
      <c r="K648" s="21"/>
      <c r="L648" s="23"/>
      <c r="M648" s="23"/>
    </row>
    <row r="649" spans="1:13" ht="15.75" customHeight="1">
      <c r="A649" s="23"/>
      <c r="B649" s="23"/>
      <c r="C649" s="23"/>
      <c r="D649" s="24"/>
      <c r="E649" s="23"/>
      <c r="F649" s="23"/>
      <c r="G649" s="23"/>
      <c r="H649" s="23"/>
      <c r="I649" s="23"/>
      <c r="J649" s="23"/>
      <c r="K649" s="21"/>
      <c r="L649" s="23"/>
      <c r="M649" s="23"/>
    </row>
    <row r="650" spans="1:13" ht="15.75" customHeight="1">
      <c r="A650" s="23"/>
      <c r="B650" s="23"/>
      <c r="C650" s="23"/>
      <c r="D650" s="24"/>
      <c r="E650" s="23"/>
      <c r="F650" s="23"/>
      <c r="G650" s="23"/>
      <c r="H650" s="23"/>
      <c r="I650" s="23"/>
      <c r="J650" s="23"/>
      <c r="K650" s="21"/>
      <c r="L650" s="23"/>
      <c r="M650" s="23"/>
    </row>
    <row r="651" spans="1:13" ht="15.75" customHeight="1">
      <c r="A651" s="23"/>
      <c r="B651" s="23"/>
      <c r="C651" s="23"/>
      <c r="D651" s="24"/>
      <c r="E651" s="23"/>
      <c r="F651" s="23"/>
      <c r="G651" s="23"/>
      <c r="H651" s="23"/>
      <c r="I651" s="23"/>
      <c r="J651" s="23"/>
      <c r="K651" s="21"/>
      <c r="L651" s="23"/>
      <c r="M651" s="23"/>
    </row>
    <row r="652" spans="1:13" ht="15.75" customHeight="1">
      <c r="A652" s="23"/>
      <c r="B652" s="23"/>
      <c r="C652" s="23"/>
      <c r="D652" s="24"/>
      <c r="E652" s="23"/>
      <c r="F652" s="23"/>
      <c r="G652" s="23"/>
      <c r="H652" s="23"/>
      <c r="I652" s="23"/>
      <c r="J652" s="23"/>
      <c r="K652" s="21"/>
      <c r="L652" s="23"/>
      <c r="M652" s="23"/>
    </row>
    <row r="653" spans="1:13" ht="15.75" customHeight="1">
      <c r="A653" s="23"/>
      <c r="B653" s="23"/>
      <c r="C653" s="23"/>
      <c r="D653" s="24"/>
      <c r="E653" s="23"/>
      <c r="F653" s="23"/>
      <c r="G653" s="23"/>
      <c r="H653" s="23"/>
      <c r="I653" s="23"/>
      <c r="J653" s="23"/>
      <c r="K653" s="21"/>
      <c r="L653" s="23"/>
      <c r="M653" s="23"/>
    </row>
    <row r="654" spans="1:13" ht="15.75" customHeight="1">
      <c r="A654" s="23"/>
      <c r="B654" s="23"/>
      <c r="C654" s="23"/>
      <c r="D654" s="24"/>
      <c r="E654" s="23"/>
      <c r="F654" s="23"/>
      <c r="G654" s="23"/>
      <c r="H654" s="23"/>
      <c r="I654" s="23"/>
      <c r="J654" s="23"/>
      <c r="K654" s="21"/>
      <c r="L654" s="23"/>
      <c r="M654" s="23"/>
    </row>
    <row r="655" spans="1:13" ht="15.75" customHeight="1">
      <c r="A655" s="23"/>
      <c r="B655" s="23"/>
      <c r="C655" s="23"/>
      <c r="D655" s="24"/>
      <c r="E655" s="23"/>
      <c r="F655" s="23"/>
      <c r="G655" s="23"/>
      <c r="H655" s="23"/>
      <c r="I655" s="23"/>
      <c r="J655" s="23"/>
      <c r="K655" s="21"/>
      <c r="L655" s="23"/>
      <c r="M655" s="23"/>
    </row>
    <row r="656" spans="1:13" ht="15.75" customHeight="1">
      <c r="A656" s="23"/>
      <c r="B656" s="23"/>
      <c r="C656" s="23"/>
      <c r="D656" s="24"/>
      <c r="E656" s="23"/>
      <c r="F656" s="23"/>
      <c r="G656" s="23"/>
      <c r="H656" s="23"/>
      <c r="I656" s="23"/>
      <c r="J656" s="23"/>
      <c r="K656" s="21"/>
      <c r="L656" s="23"/>
      <c r="M656" s="23"/>
    </row>
    <row r="657" spans="1:13" ht="15.75" customHeight="1">
      <c r="A657" s="23"/>
      <c r="B657" s="23"/>
      <c r="C657" s="23"/>
      <c r="D657" s="24"/>
      <c r="E657" s="23"/>
      <c r="F657" s="23"/>
      <c r="G657" s="23"/>
      <c r="H657" s="23"/>
      <c r="I657" s="23"/>
      <c r="J657" s="23"/>
      <c r="K657" s="21"/>
      <c r="L657" s="23"/>
      <c r="M657" s="23"/>
    </row>
    <row r="658" spans="1:13" ht="15.75" customHeight="1">
      <c r="A658" s="23"/>
      <c r="B658" s="23"/>
      <c r="C658" s="23"/>
      <c r="D658" s="24"/>
      <c r="E658" s="23"/>
      <c r="F658" s="23"/>
      <c r="G658" s="23"/>
      <c r="H658" s="23"/>
      <c r="I658" s="23"/>
      <c r="J658" s="23"/>
      <c r="K658" s="21"/>
      <c r="L658" s="23"/>
      <c r="M658" s="23"/>
    </row>
    <row r="659" spans="1:13" ht="15.75" customHeight="1">
      <c r="A659" s="23"/>
      <c r="B659" s="23"/>
      <c r="C659" s="23"/>
      <c r="D659" s="24"/>
      <c r="E659" s="23"/>
      <c r="F659" s="23"/>
      <c r="G659" s="23"/>
      <c r="H659" s="23"/>
      <c r="I659" s="23"/>
      <c r="J659" s="23"/>
      <c r="K659" s="21"/>
      <c r="L659" s="23"/>
      <c r="M659" s="23"/>
    </row>
    <row r="660" spans="1:13" ht="15.75" customHeight="1">
      <c r="A660" s="23"/>
      <c r="B660" s="23"/>
      <c r="C660" s="23"/>
      <c r="D660" s="24"/>
      <c r="E660" s="23"/>
      <c r="F660" s="23"/>
      <c r="G660" s="23"/>
      <c r="H660" s="23"/>
      <c r="I660" s="23"/>
      <c r="J660" s="23"/>
      <c r="K660" s="21"/>
      <c r="L660" s="23"/>
      <c r="M660" s="23"/>
    </row>
    <row r="661" spans="1:13" ht="15.75" customHeight="1">
      <c r="A661" s="23"/>
      <c r="B661" s="23"/>
      <c r="C661" s="23"/>
      <c r="D661" s="24"/>
      <c r="E661" s="23"/>
      <c r="F661" s="23"/>
      <c r="G661" s="23"/>
      <c r="H661" s="23"/>
      <c r="I661" s="23"/>
      <c r="J661" s="23"/>
      <c r="K661" s="21"/>
      <c r="L661" s="23"/>
      <c r="M661" s="23"/>
    </row>
    <row r="662" spans="1:13" ht="15.75" customHeight="1">
      <c r="A662" s="23"/>
      <c r="B662" s="23"/>
      <c r="C662" s="23"/>
      <c r="D662" s="24"/>
      <c r="E662" s="23"/>
      <c r="F662" s="23"/>
      <c r="G662" s="23"/>
      <c r="H662" s="23"/>
      <c r="I662" s="23"/>
      <c r="J662" s="23"/>
      <c r="K662" s="21"/>
      <c r="L662" s="23"/>
      <c r="M662" s="23"/>
    </row>
    <row r="663" spans="1:13" ht="15.75" customHeight="1">
      <c r="A663" s="23"/>
      <c r="B663" s="23"/>
      <c r="C663" s="23"/>
      <c r="D663" s="24"/>
      <c r="E663" s="23"/>
      <c r="F663" s="23"/>
      <c r="G663" s="23"/>
      <c r="H663" s="23"/>
      <c r="I663" s="23"/>
      <c r="J663" s="23"/>
      <c r="K663" s="21"/>
      <c r="L663" s="23"/>
      <c r="M663" s="23"/>
    </row>
    <row r="664" spans="1:13" ht="15.75" customHeight="1">
      <c r="A664" s="23"/>
      <c r="B664" s="23"/>
      <c r="C664" s="23"/>
      <c r="D664" s="24"/>
      <c r="E664" s="23"/>
      <c r="F664" s="23"/>
      <c r="G664" s="23"/>
      <c r="H664" s="23"/>
      <c r="I664" s="23"/>
      <c r="J664" s="23"/>
      <c r="K664" s="21"/>
      <c r="L664" s="23"/>
      <c r="M664" s="23"/>
    </row>
    <row r="665" spans="1:13" ht="15.75" customHeight="1">
      <c r="A665" s="23"/>
      <c r="B665" s="23"/>
      <c r="C665" s="23"/>
      <c r="D665" s="24"/>
      <c r="E665" s="23"/>
      <c r="F665" s="23"/>
      <c r="G665" s="23"/>
      <c r="H665" s="23"/>
      <c r="I665" s="23"/>
      <c r="J665" s="23"/>
      <c r="K665" s="21"/>
      <c r="L665" s="23"/>
      <c r="M665" s="23"/>
    </row>
    <row r="666" spans="1:13" ht="15.75" customHeight="1">
      <c r="A666" s="23"/>
      <c r="B666" s="23"/>
      <c r="C666" s="23"/>
      <c r="D666" s="24"/>
      <c r="E666" s="23"/>
      <c r="F666" s="23"/>
      <c r="G666" s="23"/>
      <c r="H666" s="23"/>
      <c r="I666" s="23"/>
      <c r="J666" s="23"/>
      <c r="K666" s="21"/>
      <c r="L666" s="23"/>
      <c r="M666" s="23"/>
    </row>
    <row r="667" spans="1:13" ht="15.75" customHeight="1">
      <c r="A667" s="23"/>
      <c r="B667" s="23"/>
      <c r="C667" s="23"/>
      <c r="D667" s="24"/>
      <c r="E667" s="23"/>
      <c r="F667" s="23"/>
      <c r="G667" s="23"/>
      <c r="H667" s="23"/>
      <c r="I667" s="23"/>
      <c r="J667" s="23"/>
      <c r="K667" s="21"/>
      <c r="L667" s="23"/>
      <c r="M667" s="23"/>
    </row>
    <row r="668" spans="1:13" ht="15.75" customHeight="1">
      <c r="A668" s="23"/>
      <c r="B668" s="23"/>
      <c r="C668" s="23"/>
      <c r="D668" s="24"/>
      <c r="E668" s="23"/>
      <c r="F668" s="23"/>
      <c r="G668" s="23"/>
      <c r="H668" s="23"/>
      <c r="I668" s="23"/>
      <c r="J668" s="23"/>
      <c r="K668" s="21"/>
      <c r="L668" s="23"/>
      <c r="M668" s="23"/>
    </row>
    <row r="669" spans="1:13" ht="15.75" customHeight="1">
      <c r="A669" s="23"/>
      <c r="B669" s="23"/>
      <c r="C669" s="23"/>
      <c r="D669" s="24"/>
      <c r="E669" s="23"/>
      <c r="F669" s="23"/>
      <c r="G669" s="23"/>
      <c r="H669" s="23"/>
      <c r="I669" s="23"/>
      <c r="J669" s="23"/>
      <c r="K669" s="21"/>
      <c r="L669" s="23"/>
      <c r="M669" s="23"/>
    </row>
    <row r="670" spans="1:13" ht="15.75" customHeight="1">
      <c r="A670" s="23"/>
      <c r="B670" s="23"/>
      <c r="C670" s="23"/>
      <c r="D670" s="24"/>
      <c r="E670" s="23"/>
      <c r="F670" s="23"/>
      <c r="G670" s="23"/>
      <c r="H670" s="23"/>
      <c r="I670" s="23"/>
      <c r="J670" s="23"/>
      <c r="K670" s="21"/>
      <c r="L670" s="23"/>
      <c r="M670" s="23"/>
    </row>
    <row r="671" spans="1:13" ht="15.75" customHeight="1">
      <c r="A671" s="23"/>
      <c r="B671" s="23"/>
      <c r="C671" s="23"/>
      <c r="D671" s="24"/>
      <c r="E671" s="23"/>
      <c r="F671" s="23"/>
      <c r="G671" s="23"/>
      <c r="H671" s="23"/>
      <c r="I671" s="23"/>
      <c r="J671" s="23"/>
      <c r="K671" s="21"/>
      <c r="L671" s="23"/>
      <c r="M671" s="23"/>
    </row>
    <row r="672" spans="1:13" ht="15.75" customHeight="1">
      <c r="A672" s="23"/>
      <c r="B672" s="23"/>
      <c r="C672" s="23"/>
      <c r="D672" s="24"/>
      <c r="E672" s="23"/>
      <c r="F672" s="23"/>
      <c r="G672" s="23"/>
      <c r="H672" s="23"/>
      <c r="I672" s="23"/>
      <c r="J672" s="23"/>
      <c r="K672" s="21"/>
      <c r="L672" s="23"/>
      <c r="M672" s="23"/>
    </row>
    <row r="673" spans="1:13" ht="15.75" customHeight="1">
      <c r="A673" s="23"/>
      <c r="B673" s="23"/>
      <c r="C673" s="23"/>
      <c r="D673" s="24"/>
      <c r="E673" s="23"/>
      <c r="F673" s="23"/>
      <c r="G673" s="23"/>
      <c r="H673" s="23"/>
      <c r="I673" s="23"/>
      <c r="J673" s="23"/>
      <c r="K673" s="21"/>
      <c r="L673" s="23"/>
      <c r="M673" s="23"/>
    </row>
    <row r="674" spans="1:13" ht="15.75" customHeight="1">
      <c r="A674" s="23"/>
      <c r="B674" s="23"/>
      <c r="C674" s="23"/>
      <c r="D674" s="24"/>
      <c r="E674" s="23"/>
      <c r="F674" s="23"/>
      <c r="G674" s="23"/>
      <c r="H674" s="23"/>
      <c r="I674" s="23"/>
      <c r="J674" s="23"/>
      <c r="K674" s="21"/>
      <c r="L674" s="23"/>
      <c r="M674" s="23"/>
    </row>
    <row r="675" spans="1:13" ht="15.75" customHeight="1">
      <c r="A675" s="23"/>
      <c r="B675" s="23"/>
      <c r="C675" s="23"/>
      <c r="D675" s="24"/>
      <c r="E675" s="23"/>
      <c r="F675" s="23"/>
      <c r="G675" s="23"/>
      <c r="H675" s="23"/>
      <c r="I675" s="23"/>
      <c r="J675" s="23"/>
      <c r="K675" s="21"/>
      <c r="L675" s="23"/>
      <c r="M675" s="23"/>
    </row>
    <row r="676" spans="1:13" ht="15.75" customHeight="1">
      <c r="A676" s="23"/>
      <c r="B676" s="23"/>
      <c r="C676" s="23"/>
      <c r="D676" s="24"/>
      <c r="E676" s="23"/>
      <c r="F676" s="23"/>
      <c r="G676" s="23"/>
      <c r="H676" s="23"/>
      <c r="I676" s="23"/>
      <c r="J676" s="23"/>
      <c r="K676" s="21"/>
      <c r="L676" s="23"/>
      <c r="M676" s="23"/>
    </row>
    <row r="677" spans="1:13" ht="15.75" customHeight="1">
      <c r="A677" s="23"/>
      <c r="B677" s="23"/>
      <c r="C677" s="23"/>
      <c r="D677" s="24"/>
      <c r="E677" s="23"/>
      <c r="F677" s="23"/>
      <c r="G677" s="23"/>
      <c r="H677" s="23"/>
      <c r="I677" s="23"/>
      <c r="J677" s="23"/>
      <c r="K677" s="21"/>
      <c r="L677" s="23"/>
      <c r="M677" s="23"/>
    </row>
    <row r="678" spans="1:13" ht="15.75" customHeight="1">
      <c r="A678" s="23"/>
      <c r="B678" s="23"/>
      <c r="C678" s="23"/>
      <c r="D678" s="24"/>
      <c r="E678" s="23"/>
      <c r="F678" s="23"/>
      <c r="G678" s="23"/>
      <c r="H678" s="23"/>
      <c r="I678" s="23"/>
      <c r="J678" s="23"/>
      <c r="K678" s="21"/>
      <c r="L678" s="23"/>
      <c r="M678" s="23"/>
    </row>
    <row r="679" spans="1:13" ht="15.75" customHeight="1">
      <c r="A679" s="23"/>
      <c r="B679" s="23"/>
      <c r="C679" s="23"/>
      <c r="D679" s="24"/>
      <c r="E679" s="23"/>
      <c r="F679" s="23"/>
      <c r="G679" s="23"/>
      <c r="H679" s="23"/>
      <c r="I679" s="23"/>
      <c r="J679" s="23"/>
      <c r="K679" s="21"/>
      <c r="L679" s="23"/>
      <c r="M679" s="23"/>
    </row>
    <row r="680" spans="1:13" ht="15.75" customHeight="1">
      <c r="A680" s="23"/>
      <c r="B680" s="23"/>
      <c r="C680" s="23"/>
      <c r="D680" s="24"/>
      <c r="E680" s="23"/>
      <c r="F680" s="23"/>
      <c r="G680" s="23"/>
      <c r="H680" s="23"/>
      <c r="I680" s="23"/>
      <c r="J680" s="23"/>
      <c r="K680" s="21"/>
      <c r="L680" s="23"/>
      <c r="M680" s="23"/>
    </row>
    <row r="681" spans="1:13" ht="15.75" customHeight="1">
      <c r="A681" s="23"/>
      <c r="B681" s="23"/>
      <c r="C681" s="23"/>
      <c r="D681" s="24"/>
      <c r="E681" s="23"/>
      <c r="F681" s="23"/>
      <c r="G681" s="23"/>
      <c r="H681" s="23"/>
      <c r="I681" s="23"/>
      <c r="J681" s="23"/>
      <c r="K681" s="21"/>
      <c r="L681" s="23"/>
      <c r="M681" s="23"/>
    </row>
    <row r="682" spans="1:13" ht="15.75" customHeight="1">
      <c r="A682" s="23"/>
      <c r="B682" s="23"/>
      <c r="C682" s="23"/>
      <c r="D682" s="24"/>
      <c r="E682" s="23"/>
      <c r="F682" s="23"/>
      <c r="G682" s="23"/>
      <c r="H682" s="23"/>
      <c r="I682" s="23"/>
      <c r="J682" s="23"/>
      <c r="K682" s="21"/>
      <c r="L682" s="23"/>
      <c r="M682" s="23"/>
    </row>
    <row r="683" spans="1:13" ht="15.75" customHeight="1">
      <c r="A683" s="23"/>
      <c r="B683" s="23"/>
      <c r="C683" s="23"/>
      <c r="D683" s="24"/>
      <c r="E683" s="23"/>
      <c r="F683" s="23"/>
      <c r="G683" s="23"/>
      <c r="H683" s="23"/>
      <c r="I683" s="23"/>
      <c r="J683" s="23"/>
      <c r="K683" s="21"/>
      <c r="L683" s="23"/>
      <c r="M683" s="23"/>
    </row>
    <row r="684" spans="1:13" ht="15.75" customHeight="1">
      <c r="A684" s="23"/>
      <c r="B684" s="23"/>
      <c r="C684" s="23"/>
      <c r="D684" s="24"/>
      <c r="E684" s="23"/>
      <c r="F684" s="23"/>
      <c r="G684" s="23"/>
      <c r="H684" s="23"/>
      <c r="I684" s="23"/>
      <c r="J684" s="23"/>
      <c r="K684" s="21"/>
      <c r="L684" s="23"/>
      <c r="M684" s="23"/>
    </row>
    <row r="685" spans="1:13" ht="15.75" customHeight="1">
      <c r="A685" s="23"/>
      <c r="B685" s="23"/>
      <c r="C685" s="23"/>
      <c r="D685" s="24"/>
      <c r="E685" s="23"/>
      <c r="F685" s="23"/>
      <c r="G685" s="23"/>
      <c r="H685" s="23"/>
      <c r="I685" s="23"/>
      <c r="J685" s="23"/>
      <c r="K685" s="21"/>
      <c r="L685" s="23"/>
      <c r="M685" s="23"/>
    </row>
    <row r="686" spans="1:13" ht="15.75" customHeight="1">
      <c r="A686" s="23"/>
      <c r="B686" s="23"/>
      <c r="C686" s="23"/>
      <c r="D686" s="24"/>
      <c r="E686" s="23"/>
      <c r="F686" s="23"/>
      <c r="G686" s="23"/>
      <c r="H686" s="23"/>
      <c r="I686" s="23"/>
      <c r="J686" s="23"/>
      <c r="K686" s="21"/>
      <c r="L686" s="23"/>
      <c r="M686" s="23"/>
    </row>
    <row r="687" spans="1:13" ht="15.75" customHeight="1">
      <c r="A687" s="23"/>
      <c r="B687" s="23"/>
      <c r="C687" s="23"/>
      <c r="D687" s="24"/>
      <c r="E687" s="23"/>
      <c r="F687" s="23"/>
      <c r="G687" s="23"/>
      <c r="H687" s="23"/>
      <c r="I687" s="23"/>
      <c r="J687" s="23"/>
      <c r="K687" s="21"/>
      <c r="L687" s="23"/>
      <c r="M687" s="23"/>
    </row>
    <row r="688" spans="1:13" ht="15.75" customHeight="1">
      <c r="A688" s="23"/>
      <c r="B688" s="23"/>
      <c r="C688" s="23"/>
      <c r="D688" s="24"/>
      <c r="E688" s="23"/>
      <c r="F688" s="23"/>
      <c r="G688" s="23"/>
      <c r="H688" s="23"/>
      <c r="I688" s="23"/>
      <c r="J688" s="23"/>
      <c r="K688" s="21"/>
      <c r="L688" s="23"/>
      <c r="M688" s="23"/>
    </row>
    <row r="689" spans="1:13" ht="15.75" customHeight="1">
      <c r="A689" s="23"/>
      <c r="B689" s="23"/>
      <c r="C689" s="23"/>
      <c r="D689" s="24"/>
      <c r="E689" s="23"/>
      <c r="F689" s="23"/>
      <c r="G689" s="23"/>
      <c r="H689" s="23"/>
      <c r="I689" s="23"/>
      <c r="J689" s="23"/>
      <c r="K689" s="21"/>
      <c r="L689" s="23"/>
      <c r="M689" s="23"/>
    </row>
    <row r="690" spans="1:13" ht="15.75" customHeight="1">
      <c r="A690" s="23"/>
      <c r="B690" s="23"/>
      <c r="C690" s="23"/>
      <c r="D690" s="24"/>
      <c r="E690" s="23"/>
      <c r="F690" s="23"/>
      <c r="G690" s="23"/>
      <c r="H690" s="23"/>
      <c r="I690" s="23"/>
      <c r="J690" s="23"/>
      <c r="K690" s="21"/>
      <c r="L690" s="23"/>
      <c r="M690" s="23"/>
    </row>
    <row r="691" spans="1:13" ht="15.75" customHeight="1">
      <c r="A691" s="23"/>
      <c r="B691" s="23"/>
      <c r="C691" s="23"/>
      <c r="D691" s="24"/>
      <c r="E691" s="23"/>
      <c r="F691" s="23"/>
      <c r="G691" s="23"/>
      <c r="H691" s="23"/>
      <c r="I691" s="23"/>
      <c r="J691" s="23"/>
      <c r="K691" s="21"/>
      <c r="L691" s="23"/>
      <c r="M691" s="23"/>
    </row>
    <row r="692" spans="1:13" ht="15.75" customHeight="1">
      <c r="A692" s="23"/>
      <c r="B692" s="23"/>
      <c r="C692" s="23"/>
      <c r="D692" s="24"/>
      <c r="E692" s="23"/>
      <c r="F692" s="23"/>
      <c r="G692" s="23"/>
      <c r="H692" s="23"/>
      <c r="I692" s="23"/>
      <c r="J692" s="23"/>
      <c r="K692" s="21"/>
      <c r="L692" s="23"/>
      <c r="M692" s="23"/>
    </row>
    <row r="693" spans="1:13" ht="15.75" customHeight="1">
      <c r="A693" s="23"/>
      <c r="B693" s="23"/>
      <c r="C693" s="23"/>
      <c r="D693" s="24"/>
      <c r="E693" s="23"/>
      <c r="F693" s="23"/>
      <c r="G693" s="23"/>
      <c r="H693" s="23"/>
      <c r="I693" s="23"/>
      <c r="J693" s="23"/>
      <c r="K693" s="21"/>
      <c r="L693" s="23"/>
      <c r="M693" s="23"/>
    </row>
    <row r="694" spans="1:13" ht="15.75" customHeight="1">
      <c r="A694" s="23"/>
      <c r="B694" s="23"/>
      <c r="C694" s="23"/>
      <c r="D694" s="24"/>
      <c r="E694" s="23"/>
      <c r="F694" s="23"/>
      <c r="G694" s="23"/>
      <c r="H694" s="23"/>
      <c r="I694" s="23"/>
      <c r="J694" s="23"/>
      <c r="K694" s="21"/>
      <c r="L694" s="23"/>
      <c r="M694" s="23"/>
    </row>
    <row r="695" spans="1:13" ht="15.75" customHeight="1">
      <c r="A695" s="23"/>
      <c r="B695" s="23"/>
      <c r="C695" s="23"/>
      <c r="D695" s="24"/>
      <c r="E695" s="23"/>
      <c r="F695" s="23"/>
      <c r="G695" s="23"/>
      <c r="H695" s="23"/>
      <c r="I695" s="23"/>
      <c r="J695" s="23"/>
      <c r="K695" s="21"/>
      <c r="L695" s="23"/>
      <c r="M695" s="23"/>
    </row>
    <row r="696" spans="1:13" ht="15.75" customHeight="1">
      <c r="A696" s="23"/>
      <c r="B696" s="23"/>
      <c r="C696" s="23"/>
      <c r="D696" s="24"/>
      <c r="E696" s="23"/>
      <c r="F696" s="23"/>
      <c r="G696" s="23"/>
      <c r="H696" s="23"/>
      <c r="I696" s="23"/>
      <c r="J696" s="23"/>
      <c r="K696" s="21"/>
      <c r="L696" s="23"/>
      <c r="M696" s="23"/>
    </row>
    <row r="697" spans="1:13" ht="15.75" customHeight="1">
      <c r="A697" s="23"/>
      <c r="B697" s="23"/>
      <c r="C697" s="23"/>
      <c r="D697" s="24"/>
      <c r="E697" s="23"/>
      <c r="F697" s="23"/>
      <c r="G697" s="23"/>
      <c r="H697" s="23"/>
      <c r="I697" s="23"/>
      <c r="J697" s="23"/>
      <c r="K697" s="21"/>
      <c r="L697" s="23"/>
      <c r="M697" s="23"/>
    </row>
    <row r="698" spans="1:13" ht="15.75" customHeight="1">
      <c r="A698" s="23"/>
      <c r="B698" s="23"/>
      <c r="C698" s="23"/>
      <c r="D698" s="24"/>
      <c r="E698" s="23"/>
      <c r="F698" s="23"/>
      <c r="G698" s="23"/>
      <c r="H698" s="23"/>
      <c r="I698" s="23"/>
      <c r="J698" s="23"/>
      <c r="K698" s="21"/>
      <c r="L698" s="23"/>
      <c r="M698" s="23"/>
    </row>
    <row r="699" spans="1:13" ht="15.75" customHeight="1">
      <c r="A699" s="23"/>
      <c r="B699" s="23"/>
      <c r="C699" s="23"/>
      <c r="D699" s="24"/>
      <c r="E699" s="23"/>
      <c r="F699" s="23"/>
      <c r="G699" s="23"/>
      <c r="H699" s="23"/>
      <c r="I699" s="23"/>
      <c r="J699" s="23"/>
      <c r="K699" s="21"/>
      <c r="L699" s="23"/>
      <c r="M699" s="23"/>
    </row>
    <row r="700" spans="1:13" ht="15.75" customHeight="1">
      <c r="A700" s="23"/>
      <c r="B700" s="23"/>
      <c r="C700" s="23"/>
      <c r="D700" s="24"/>
      <c r="E700" s="23"/>
      <c r="F700" s="23"/>
      <c r="G700" s="23"/>
      <c r="H700" s="23"/>
      <c r="I700" s="23"/>
      <c r="J700" s="23"/>
      <c r="K700" s="21"/>
      <c r="L700" s="23"/>
      <c r="M700" s="23"/>
    </row>
    <row r="701" spans="1:13" ht="15.75" customHeight="1">
      <c r="A701" s="23"/>
      <c r="B701" s="23"/>
      <c r="C701" s="23"/>
      <c r="D701" s="24"/>
      <c r="E701" s="23"/>
      <c r="F701" s="23"/>
      <c r="G701" s="23"/>
      <c r="H701" s="23"/>
      <c r="I701" s="23"/>
      <c r="J701" s="23"/>
      <c r="K701" s="21"/>
      <c r="L701" s="23"/>
      <c r="M701" s="23"/>
    </row>
    <row r="702" spans="1:13" ht="15.75" customHeight="1">
      <c r="A702" s="23"/>
      <c r="B702" s="23"/>
      <c r="C702" s="23"/>
      <c r="D702" s="24"/>
      <c r="E702" s="23"/>
      <c r="F702" s="23"/>
      <c r="G702" s="23"/>
      <c r="H702" s="23"/>
      <c r="I702" s="23"/>
      <c r="J702" s="23"/>
      <c r="K702" s="21"/>
      <c r="L702" s="23"/>
      <c r="M702" s="23"/>
    </row>
    <row r="703" spans="1:13" ht="15.75" customHeight="1">
      <c r="A703" s="23"/>
      <c r="B703" s="23"/>
      <c r="C703" s="23"/>
      <c r="D703" s="24"/>
      <c r="E703" s="23"/>
      <c r="F703" s="23"/>
      <c r="G703" s="23"/>
      <c r="H703" s="23"/>
      <c r="I703" s="23"/>
      <c r="J703" s="23"/>
      <c r="K703" s="21"/>
      <c r="L703" s="23"/>
      <c r="M703" s="23"/>
    </row>
    <row r="704" spans="1:13" ht="15.75" customHeight="1">
      <c r="A704" s="23"/>
      <c r="B704" s="23"/>
      <c r="C704" s="23"/>
      <c r="D704" s="24"/>
      <c r="E704" s="23"/>
      <c r="F704" s="23"/>
      <c r="G704" s="23"/>
      <c r="H704" s="23"/>
      <c r="I704" s="23"/>
      <c r="J704" s="23"/>
      <c r="K704" s="21"/>
      <c r="L704" s="23"/>
      <c r="M704" s="23"/>
    </row>
    <row r="705" spans="1:13" ht="15.75" customHeight="1">
      <c r="A705" s="23"/>
      <c r="B705" s="23"/>
      <c r="C705" s="23"/>
      <c r="D705" s="24"/>
      <c r="E705" s="23"/>
      <c r="F705" s="23"/>
      <c r="G705" s="23"/>
      <c r="H705" s="23"/>
      <c r="I705" s="23"/>
      <c r="J705" s="23"/>
      <c r="K705" s="21"/>
      <c r="L705" s="23"/>
      <c r="M705" s="23"/>
    </row>
    <row r="706" spans="1:13" ht="15.75" customHeight="1">
      <c r="A706" s="23"/>
      <c r="B706" s="23"/>
      <c r="C706" s="23"/>
      <c r="D706" s="24"/>
      <c r="E706" s="23"/>
      <c r="F706" s="23"/>
      <c r="G706" s="23"/>
      <c r="H706" s="23"/>
      <c r="I706" s="23"/>
      <c r="J706" s="23"/>
      <c r="K706" s="21"/>
      <c r="L706" s="23"/>
      <c r="M706" s="23"/>
    </row>
    <row r="707" spans="1:13" ht="15.75" customHeight="1">
      <c r="A707" s="23"/>
      <c r="B707" s="23"/>
      <c r="C707" s="23"/>
      <c r="D707" s="24"/>
      <c r="E707" s="23"/>
      <c r="F707" s="23"/>
      <c r="G707" s="23"/>
      <c r="H707" s="23"/>
      <c r="I707" s="23"/>
      <c r="J707" s="23"/>
      <c r="K707" s="21"/>
      <c r="L707" s="23"/>
      <c r="M707" s="23"/>
    </row>
    <row r="708" spans="1:13" ht="15.75" customHeight="1">
      <c r="A708" s="23"/>
      <c r="B708" s="23"/>
      <c r="C708" s="23"/>
      <c r="D708" s="24"/>
      <c r="E708" s="23"/>
      <c r="F708" s="23"/>
      <c r="G708" s="23"/>
      <c r="H708" s="23"/>
      <c r="I708" s="23"/>
      <c r="J708" s="23"/>
      <c r="K708" s="21"/>
      <c r="L708" s="23"/>
      <c r="M708" s="23"/>
    </row>
    <row r="709" spans="1:13" ht="15.75" customHeight="1">
      <c r="A709" s="23"/>
      <c r="B709" s="23"/>
      <c r="C709" s="23"/>
      <c r="D709" s="24"/>
      <c r="E709" s="23"/>
      <c r="F709" s="23"/>
      <c r="G709" s="23"/>
      <c r="H709" s="23"/>
      <c r="I709" s="23"/>
      <c r="J709" s="23"/>
      <c r="K709" s="21"/>
      <c r="L709" s="23"/>
      <c r="M709" s="23"/>
    </row>
    <row r="710" spans="1:13" ht="15.75" customHeight="1">
      <c r="A710" s="23"/>
      <c r="B710" s="23"/>
      <c r="C710" s="23"/>
      <c r="D710" s="24"/>
      <c r="E710" s="23"/>
      <c r="F710" s="23"/>
      <c r="G710" s="23"/>
      <c r="H710" s="23"/>
      <c r="I710" s="23"/>
      <c r="J710" s="23"/>
      <c r="K710" s="21"/>
      <c r="L710" s="23"/>
      <c r="M710" s="23"/>
    </row>
    <row r="711" spans="1:13" ht="15.75" customHeight="1">
      <c r="A711" s="23"/>
      <c r="B711" s="23"/>
      <c r="C711" s="23"/>
      <c r="D711" s="24"/>
      <c r="E711" s="23"/>
      <c r="F711" s="23"/>
      <c r="G711" s="23"/>
      <c r="H711" s="23"/>
      <c r="I711" s="23"/>
      <c r="J711" s="23"/>
      <c r="K711" s="21"/>
      <c r="L711" s="23"/>
      <c r="M711" s="23"/>
    </row>
    <row r="712" spans="1:13" ht="15.75" customHeight="1">
      <c r="A712" s="23"/>
      <c r="B712" s="23"/>
      <c r="C712" s="23"/>
      <c r="D712" s="24"/>
      <c r="E712" s="23"/>
      <c r="F712" s="23"/>
      <c r="G712" s="23"/>
      <c r="H712" s="23"/>
      <c r="I712" s="23"/>
      <c r="J712" s="23"/>
      <c r="K712" s="21"/>
      <c r="L712" s="23"/>
      <c r="M712" s="23"/>
    </row>
    <row r="713" spans="1:13" ht="15.75" customHeight="1">
      <c r="A713" s="23"/>
      <c r="B713" s="23"/>
      <c r="C713" s="23"/>
      <c r="D713" s="24"/>
      <c r="E713" s="23"/>
      <c r="F713" s="23"/>
      <c r="G713" s="23"/>
      <c r="H713" s="23"/>
      <c r="I713" s="23"/>
      <c r="J713" s="23"/>
      <c r="K713" s="21"/>
      <c r="L713" s="23"/>
      <c r="M713" s="23"/>
    </row>
    <row r="714" spans="1:13" ht="15.75" customHeight="1">
      <c r="A714" s="23"/>
      <c r="B714" s="23"/>
      <c r="C714" s="23"/>
      <c r="D714" s="24"/>
      <c r="E714" s="23"/>
      <c r="F714" s="23"/>
      <c r="G714" s="23"/>
      <c r="H714" s="23"/>
      <c r="I714" s="23"/>
      <c r="J714" s="23"/>
      <c r="K714" s="21"/>
      <c r="L714" s="23"/>
      <c r="M714" s="23"/>
    </row>
    <row r="715" spans="1:13" ht="15.75" customHeight="1">
      <c r="A715" s="23"/>
      <c r="B715" s="23"/>
      <c r="C715" s="23"/>
      <c r="D715" s="24"/>
      <c r="E715" s="23"/>
      <c r="F715" s="23"/>
      <c r="G715" s="23"/>
      <c r="H715" s="23"/>
      <c r="I715" s="23"/>
      <c r="J715" s="23"/>
      <c r="K715" s="21"/>
      <c r="L715" s="23"/>
      <c r="M715" s="23"/>
    </row>
    <row r="716" spans="1:13" ht="15.75" customHeight="1">
      <c r="A716" s="23"/>
      <c r="B716" s="23"/>
      <c r="C716" s="23"/>
      <c r="D716" s="24"/>
      <c r="E716" s="23"/>
      <c r="F716" s="23"/>
      <c r="G716" s="23"/>
      <c r="H716" s="23"/>
      <c r="I716" s="23"/>
      <c r="J716" s="23"/>
      <c r="K716" s="21"/>
      <c r="L716" s="23"/>
      <c r="M716" s="23"/>
    </row>
    <row r="717" spans="1:13" ht="15.75" customHeight="1">
      <c r="A717" s="23"/>
      <c r="B717" s="23"/>
      <c r="C717" s="23"/>
      <c r="D717" s="24"/>
      <c r="E717" s="23"/>
      <c r="F717" s="23"/>
      <c r="G717" s="23"/>
      <c r="H717" s="23"/>
      <c r="I717" s="23"/>
      <c r="J717" s="23"/>
      <c r="K717" s="21"/>
      <c r="L717" s="23"/>
      <c r="M717" s="23"/>
    </row>
    <row r="718" spans="1:13" ht="15.75" customHeight="1">
      <c r="A718" s="23"/>
      <c r="B718" s="23"/>
      <c r="C718" s="23"/>
      <c r="D718" s="24"/>
      <c r="E718" s="23"/>
      <c r="F718" s="23"/>
      <c r="G718" s="23"/>
      <c r="H718" s="23"/>
      <c r="I718" s="23"/>
      <c r="J718" s="23"/>
      <c r="K718" s="21"/>
      <c r="L718" s="23"/>
      <c r="M718" s="23"/>
    </row>
    <row r="719" spans="1:13" ht="15.75" customHeight="1">
      <c r="A719" s="23"/>
      <c r="B719" s="23"/>
      <c r="C719" s="23"/>
      <c r="D719" s="24"/>
      <c r="E719" s="23"/>
      <c r="F719" s="23"/>
      <c r="G719" s="23"/>
      <c r="H719" s="23"/>
      <c r="I719" s="23"/>
      <c r="J719" s="23"/>
      <c r="K719" s="21"/>
      <c r="L719" s="23"/>
      <c r="M719" s="23"/>
    </row>
    <row r="720" spans="1:13" ht="15.75" customHeight="1">
      <c r="A720" s="23"/>
      <c r="B720" s="23"/>
      <c r="C720" s="23"/>
      <c r="D720" s="24"/>
      <c r="E720" s="23"/>
      <c r="F720" s="23"/>
      <c r="G720" s="23"/>
      <c r="H720" s="23"/>
      <c r="I720" s="23"/>
      <c r="J720" s="23"/>
      <c r="K720" s="21"/>
      <c r="L720" s="23"/>
      <c r="M720" s="23"/>
    </row>
    <row r="721" spans="1:13" ht="15.75" customHeight="1">
      <c r="A721" s="23"/>
      <c r="B721" s="23"/>
      <c r="C721" s="23"/>
      <c r="D721" s="24"/>
      <c r="E721" s="23"/>
      <c r="F721" s="23"/>
      <c r="G721" s="23"/>
      <c r="H721" s="23"/>
      <c r="I721" s="23"/>
      <c r="J721" s="23"/>
      <c r="K721" s="21"/>
      <c r="L721" s="23"/>
      <c r="M721" s="23"/>
    </row>
    <row r="722" spans="1:13" ht="15.75" customHeight="1">
      <c r="A722" s="23"/>
      <c r="B722" s="23"/>
      <c r="C722" s="23"/>
      <c r="D722" s="24"/>
      <c r="E722" s="23"/>
      <c r="F722" s="23"/>
      <c r="G722" s="23"/>
      <c r="H722" s="23"/>
      <c r="I722" s="23"/>
      <c r="J722" s="23"/>
      <c r="K722" s="21"/>
      <c r="L722" s="23"/>
      <c r="M722" s="23"/>
    </row>
    <row r="723" spans="1:13" ht="15.75" customHeight="1">
      <c r="A723" s="23"/>
      <c r="B723" s="23"/>
      <c r="C723" s="23"/>
      <c r="D723" s="24"/>
      <c r="E723" s="23"/>
      <c r="F723" s="23"/>
      <c r="G723" s="23"/>
      <c r="H723" s="23"/>
      <c r="I723" s="23"/>
      <c r="J723" s="23"/>
      <c r="K723" s="21"/>
      <c r="L723" s="23"/>
      <c r="M723" s="23"/>
    </row>
    <row r="724" spans="1:13" ht="15.75" customHeight="1">
      <c r="A724" s="23"/>
      <c r="B724" s="23"/>
      <c r="C724" s="23"/>
      <c r="D724" s="24"/>
      <c r="E724" s="23"/>
      <c r="F724" s="23"/>
      <c r="G724" s="23"/>
      <c r="H724" s="23"/>
      <c r="I724" s="23"/>
      <c r="J724" s="23"/>
      <c r="K724" s="21"/>
      <c r="L724" s="23"/>
      <c r="M724" s="23"/>
    </row>
    <row r="725" spans="1:13" ht="15.75" customHeight="1">
      <c r="A725" s="23"/>
      <c r="B725" s="23"/>
      <c r="C725" s="23"/>
      <c r="D725" s="24"/>
      <c r="E725" s="23"/>
      <c r="F725" s="23"/>
      <c r="G725" s="23"/>
      <c r="H725" s="23"/>
      <c r="I725" s="23"/>
      <c r="J725" s="23"/>
      <c r="K725" s="21"/>
      <c r="L725" s="23"/>
      <c r="M725" s="23"/>
    </row>
    <row r="726" spans="1:13" ht="15.75" customHeight="1">
      <c r="A726" s="23"/>
      <c r="B726" s="23"/>
      <c r="C726" s="23"/>
      <c r="D726" s="24"/>
      <c r="E726" s="23"/>
      <c r="F726" s="23"/>
      <c r="G726" s="23"/>
      <c r="H726" s="23"/>
      <c r="I726" s="23"/>
      <c r="J726" s="23"/>
      <c r="K726" s="21"/>
      <c r="L726" s="23"/>
      <c r="M726" s="23"/>
    </row>
    <row r="727" spans="1:13" ht="15.75" customHeight="1">
      <c r="A727" s="23"/>
      <c r="B727" s="23"/>
      <c r="C727" s="23"/>
      <c r="D727" s="24"/>
      <c r="E727" s="23"/>
      <c r="F727" s="23"/>
      <c r="G727" s="23"/>
      <c r="H727" s="23"/>
      <c r="I727" s="23"/>
      <c r="J727" s="23"/>
      <c r="K727" s="21"/>
      <c r="L727" s="23"/>
      <c r="M727" s="23"/>
    </row>
    <row r="728" spans="1:13" ht="15.75" customHeight="1">
      <c r="A728" s="23"/>
      <c r="B728" s="23"/>
      <c r="C728" s="23"/>
      <c r="D728" s="24"/>
      <c r="E728" s="23"/>
      <c r="F728" s="23"/>
      <c r="G728" s="23"/>
      <c r="H728" s="23"/>
      <c r="I728" s="23"/>
      <c r="J728" s="23"/>
      <c r="K728" s="21"/>
      <c r="L728" s="23"/>
      <c r="M728" s="23"/>
    </row>
    <row r="729" spans="1:13" ht="15.75" customHeight="1">
      <c r="A729" s="23"/>
      <c r="B729" s="23"/>
      <c r="C729" s="23"/>
      <c r="D729" s="24"/>
      <c r="E729" s="23"/>
      <c r="F729" s="23"/>
      <c r="G729" s="23"/>
      <c r="H729" s="23"/>
      <c r="I729" s="23"/>
      <c r="J729" s="23"/>
      <c r="K729" s="21"/>
      <c r="L729" s="23"/>
      <c r="M729" s="23"/>
    </row>
    <row r="730" spans="1:13" ht="15.75" customHeight="1">
      <c r="A730" s="23"/>
      <c r="B730" s="23"/>
      <c r="C730" s="23"/>
      <c r="D730" s="24"/>
      <c r="E730" s="23"/>
      <c r="F730" s="23"/>
      <c r="G730" s="23"/>
      <c r="H730" s="23"/>
      <c r="I730" s="23"/>
      <c r="J730" s="23"/>
      <c r="K730" s="21"/>
      <c r="L730" s="23"/>
      <c r="M730" s="23"/>
    </row>
    <row r="731" spans="1:13" ht="15.75" customHeight="1">
      <c r="A731" s="23"/>
      <c r="B731" s="23"/>
      <c r="C731" s="23"/>
      <c r="D731" s="24"/>
      <c r="E731" s="23"/>
      <c r="F731" s="23"/>
      <c r="G731" s="23"/>
      <c r="H731" s="23"/>
      <c r="I731" s="23"/>
      <c r="J731" s="23"/>
      <c r="K731" s="21"/>
      <c r="L731" s="23"/>
      <c r="M731" s="23"/>
    </row>
    <row r="732" spans="1:13" ht="15.75" customHeight="1">
      <c r="A732" s="23"/>
      <c r="B732" s="23"/>
      <c r="C732" s="23"/>
      <c r="D732" s="24"/>
      <c r="E732" s="23"/>
      <c r="F732" s="23"/>
      <c r="G732" s="23"/>
      <c r="H732" s="23"/>
      <c r="I732" s="23"/>
      <c r="J732" s="23"/>
      <c r="K732" s="21"/>
      <c r="L732" s="23"/>
      <c r="M732" s="23"/>
    </row>
    <row r="733" spans="1:13" ht="15.75" customHeight="1">
      <c r="A733" s="23"/>
      <c r="B733" s="23"/>
      <c r="C733" s="23"/>
      <c r="D733" s="24"/>
      <c r="E733" s="23"/>
      <c r="F733" s="23"/>
      <c r="G733" s="23"/>
      <c r="H733" s="23"/>
      <c r="I733" s="23"/>
      <c r="J733" s="23"/>
      <c r="K733" s="21"/>
      <c r="L733" s="23"/>
      <c r="M733" s="23"/>
    </row>
    <row r="734" spans="1:13" ht="15.75" customHeight="1">
      <c r="A734" s="23"/>
      <c r="B734" s="23"/>
      <c r="C734" s="23"/>
      <c r="D734" s="24"/>
      <c r="E734" s="23"/>
      <c r="F734" s="23"/>
      <c r="G734" s="23"/>
      <c r="H734" s="23"/>
      <c r="I734" s="23"/>
      <c r="J734" s="23"/>
      <c r="K734" s="21"/>
      <c r="L734" s="23"/>
      <c r="M734" s="23"/>
    </row>
    <row r="735" spans="1:13" ht="15.75" customHeight="1">
      <c r="A735" s="23"/>
      <c r="B735" s="23"/>
      <c r="C735" s="23"/>
      <c r="D735" s="24"/>
      <c r="E735" s="23"/>
      <c r="F735" s="23"/>
      <c r="G735" s="23"/>
      <c r="H735" s="23"/>
      <c r="I735" s="23"/>
      <c r="J735" s="23"/>
      <c r="K735" s="21"/>
      <c r="L735" s="23"/>
      <c r="M735" s="23"/>
    </row>
    <row r="736" spans="1:13" ht="15.75" customHeight="1">
      <c r="A736" s="23"/>
      <c r="B736" s="23"/>
      <c r="C736" s="23"/>
      <c r="D736" s="24"/>
      <c r="E736" s="23"/>
      <c r="F736" s="23"/>
      <c r="G736" s="23"/>
      <c r="H736" s="23"/>
      <c r="I736" s="23"/>
      <c r="J736" s="23"/>
      <c r="K736" s="21"/>
      <c r="L736" s="23"/>
      <c r="M736" s="23"/>
    </row>
    <row r="737" spans="1:13" ht="15.75" customHeight="1">
      <c r="A737" s="23"/>
      <c r="B737" s="23"/>
      <c r="C737" s="23"/>
      <c r="D737" s="24"/>
      <c r="E737" s="23"/>
      <c r="F737" s="23"/>
      <c r="G737" s="23"/>
      <c r="H737" s="23"/>
      <c r="I737" s="23"/>
      <c r="J737" s="23"/>
      <c r="K737" s="21"/>
      <c r="L737" s="23"/>
      <c r="M737" s="23"/>
    </row>
    <row r="738" spans="1:13" ht="15.75" customHeight="1">
      <c r="A738" s="23"/>
      <c r="B738" s="23"/>
      <c r="C738" s="23"/>
      <c r="D738" s="24"/>
      <c r="E738" s="23"/>
      <c r="F738" s="23"/>
      <c r="G738" s="23"/>
      <c r="H738" s="23"/>
      <c r="I738" s="23"/>
      <c r="J738" s="23"/>
      <c r="K738" s="21"/>
      <c r="L738" s="23"/>
      <c r="M738" s="23"/>
    </row>
    <row r="739" spans="1:13" ht="15.75" customHeight="1">
      <c r="A739" s="23"/>
      <c r="B739" s="23"/>
      <c r="C739" s="23"/>
      <c r="D739" s="24"/>
      <c r="E739" s="23"/>
      <c r="F739" s="23"/>
      <c r="G739" s="23"/>
      <c r="H739" s="23"/>
      <c r="I739" s="23"/>
      <c r="J739" s="23"/>
      <c r="K739" s="21"/>
      <c r="L739" s="23"/>
      <c r="M739" s="23"/>
    </row>
    <row r="740" spans="1:13" ht="15.75" customHeight="1">
      <c r="A740" s="23"/>
      <c r="B740" s="23"/>
      <c r="C740" s="23"/>
      <c r="D740" s="24"/>
      <c r="E740" s="23"/>
      <c r="F740" s="23"/>
      <c r="G740" s="23"/>
      <c r="H740" s="23"/>
      <c r="I740" s="23"/>
      <c r="J740" s="23"/>
      <c r="K740" s="21"/>
      <c r="L740" s="23"/>
      <c r="M740" s="23"/>
    </row>
    <row r="741" spans="1:13" ht="15.75" customHeight="1">
      <c r="A741" s="23"/>
      <c r="B741" s="23"/>
      <c r="C741" s="23"/>
      <c r="D741" s="24"/>
      <c r="E741" s="23"/>
      <c r="F741" s="23"/>
      <c r="G741" s="23"/>
      <c r="H741" s="23"/>
      <c r="I741" s="23"/>
      <c r="J741" s="23"/>
      <c r="K741" s="21"/>
      <c r="L741" s="23"/>
      <c r="M741" s="23"/>
    </row>
    <row r="742" spans="1:13" ht="15.75" customHeight="1">
      <c r="A742" s="23"/>
      <c r="B742" s="23"/>
      <c r="C742" s="23"/>
      <c r="D742" s="24"/>
      <c r="E742" s="23"/>
      <c r="F742" s="23"/>
      <c r="G742" s="23"/>
      <c r="H742" s="23"/>
      <c r="I742" s="23"/>
      <c r="J742" s="23"/>
      <c r="K742" s="21"/>
      <c r="L742" s="23"/>
      <c r="M742" s="23"/>
    </row>
    <row r="743" spans="1:13" ht="15.75" customHeight="1">
      <c r="A743" s="23"/>
      <c r="B743" s="23"/>
      <c r="C743" s="23"/>
      <c r="D743" s="24"/>
      <c r="E743" s="23"/>
      <c r="F743" s="23"/>
      <c r="G743" s="23"/>
      <c r="H743" s="23"/>
      <c r="I743" s="23"/>
      <c r="J743" s="23"/>
      <c r="K743" s="21"/>
      <c r="L743" s="23"/>
      <c r="M743" s="23"/>
    </row>
    <row r="744" spans="1:13" ht="15.75" customHeight="1">
      <c r="A744" s="23"/>
      <c r="B744" s="23"/>
      <c r="C744" s="23"/>
      <c r="D744" s="24"/>
      <c r="E744" s="23"/>
      <c r="F744" s="23"/>
      <c r="G744" s="23"/>
      <c r="H744" s="23"/>
      <c r="I744" s="23"/>
      <c r="J744" s="23"/>
      <c r="K744" s="21"/>
      <c r="L744" s="23"/>
      <c r="M744" s="23"/>
    </row>
    <row r="745" spans="1:13" ht="15.75" customHeight="1">
      <c r="A745" s="23"/>
      <c r="B745" s="23"/>
      <c r="C745" s="23"/>
      <c r="D745" s="24"/>
      <c r="E745" s="23"/>
      <c r="F745" s="23"/>
      <c r="G745" s="23"/>
      <c r="H745" s="23"/>
      <c r="I745" s="23"/>
      <c r="J745" s="23"/>
      <c r="K745" s="21"/>
      <c r="L745" s="23"/>
      <c r="M745" s="23"/>
    </row>
    <row r="746" spans="1:13" ht="15.75" customHeight="1">
      <c r="A746" s="23"/>
      <c r="B746" s="23"/>
      <c r="C746" s="23"/>
      <c r="D746" s="24"/>
      <c r="E746" s="23"/>
      <c r="F746" s="23"/>
      <c r="G746" s="23"/>
      <c r="H746" s="23"/>
      <c r="I746" s="23"/>
      <c r="J746" s="23"/>
      <c r="K746" s="21"/>
      <c r="L746" s="23"/>
      <c r="M746" s="23"/>
    </row>
    <row r="747" spans="1:13" ht="15.75" customHeight="1">
      <c r="A747" s="23"/>
      <c r="B747" s="23"/>
      <c r="C747" s="23"/>
      <c r="D747" s="24"/>
      <c r="E747" s="23"/>
      <c r="F747" s="23"/>
      <c r="G747" s="23"/>
      <c r="H747" s="23"/>
      <c r="I747" s="23"/>
      <c r="J747" s="23"/>
      <c r="K747" s="21"/>
      <c r="L747" s="23"/>
      <c r="M747" s="23"/>
    </row>
    <row r="748" spans="1:13" ht="15.75" customHeight="1">
      <c r="A748" s="23"/>
      <c r="B748" s="23"/>
      <c r="C748" s="23"/>
      <c r="D748" s="24"/>
      <c r="E748" s="23"/>
      <c r="F748" s="23"/>
      <c r="G748" s="23"/>
      <c r="H748" s="23"/>
      <c r="I748" s="23"/>
      <c r="J748" s="23"/>
      <c r="K748" s="21"/>
      <c r="L748" s="23"/>
      <c r="M748" s="23"/>
    </row>
    <row r="749" spans="1:13" ht="15.75" customHeight="1">
      <c r="A749" s="23"/>
      <c r="B749" s="23"/>
      <c r="C749" s="23"/>
      <c r="D749" s="24"/>
      <c r="E749" s="23"/>
      <c r="F749" s="23"/>
      <c r="G749" s="23"/>
      <c r="H749" s="23"/>
      <c r="I749" s="23"/>
      <c r="J749" s="23"/>
      <c r="K749" s="21"/>
      <c r="L749" s="23"/>
      <c r="M749" s="23"/>
    </row>
    <row r="750" spans="1:13" ht="15.75" customHeight="1">
      <c r="A750" s="23"/>
      <c r="B750" s="23"/>
      <c r="C750" s="23"/>
      <c r="D750" s="24"/>
      <c r="E750" s="23"/>
      <c r="F750" s="23"/>
      <c r="G750" s="23"/>
      <c r="H750" s="23"/>
      <c r="I750" s="23"/>
      <c r="J750" s="23"/>
      <c r="K750" s="21"/>
      <c r="L750" s="23"/>
      <c r="M750" s="23"/>
    </row>
    <row r="751" spans="1:13" ht="15.75" customHeight="1">
      <c r="A751" s="23"/>
      <c r="B751" s="23"/>
      <c r="C751" s="23"/>
      <c r="D751" s="24"/>
      <c r="E751" s="23"/>
      <c r="F751" s="23"/>
      <c r="G751" s="23"/>
      <c r="H751" s="23"/>
      <c r="I751" s="23"/>
      <c r="J751" s="23"/>
      <c r="K751" s="21"/>
      <c r="L751" s="23"/>
      <c r="M751" s="23"/>
    </row>
    <row r="752" spans="1:13" ht="15.75" customHeight="1">
      <c r="A752" s="23"/>
      <c r="B752" s="23"/>
      <c r="C752" s="23"/>
      <c r="D752" s="24"/>
      <c r="E752" s="23"/>
      <c r="F752" s="23"/>
      <c r="G752" s="23"/>
      <c r="H752" s="23"/>
      <c r="I752" s="23"/>
      <c r="J752" s="23"/>
      <c r="K752" s="21"/>
      <c r="L752" s="23"/>
      <c r="M752" s="23"/>
    </row>
    <row r="753" spans="1:13" ht="15.75" customHeight="1">
      <c r="A753" s="23"/>
      <c r="B753" s="23"/>
      <c r="C753" s="23"/>
      <c r="D753" s="24"/>
      <c r="E753" s="23"/>
      <c r="F753" s="23"/>
      <c r="G753" s="23"/>
      <c r="H753" s="23"/>
      <c r="I753" s="23"/>
      <c r="J753" s="23"/>
      <c r="K753" s="21"/>
      <c r="L753" s="23"/>
      <c r="M753" s="23"/>
    </row>
    <row r="754" spans="1:13" ht="15.75" customHeight="1">
      <c r="A754" s="23"/>
      <c r="B754" s="23"/>
      <c r="C754" s="23"/>
      <c r="D754" s="24"/>
      <c r="E754" s="23"/>
      <c r="F754" s="23"/>
      <c r="G754" s="23"/>
      <c r="H754" s="23"/>
      <c r="I754" s="23"/>
      <c r="J754" s="23"/>
      <c r="K754" s="21"/>
      <c r="L754" s="23"/>
      <c r="M754" s="23"/>
    </row>
    <row r="755" spans="1:13" ht="15.75" customHeight="1">
      <c r="A755" s="23"/>
      <c r="B755" s="23"/>
      <c r="C755" s="23"/>
      <c r="D755" s="24"/>
      <c r="E755" s="23"/>
      <c r="F755" s="23"/>
      <c r="G755" s="23"/>
      <c r="H755" s="23"/>
      <c r="I755" s="23"/>
      <c r="J755" s="23"/>
      <c r="K755" s="21"/>
      <c r="L755" s="23"/>
      <c r="M755" s="23"/>
    </row>
    <row r="756" spans="1:13" ht="15.75" customHeight="1">
      <c r="A756" s="23"/>
      <c r="B756" s="23"/>
      <c r="C756" s="23"/>
      <c r="D756" s="24"/>
      <c r="E756" s="23"/>
      <c r="F756" s="23"/>
      <c r="G756" s="23"/>
      <c r="H756" s="23"/>
      <c r="I756" s="23"/>
      <c r="J756" s="23"/>
      <c r="K756" s="21"/>
      <c r="L756" s="23"/>
      <c r="M756" s="23"/>
    </row>
    <row r="757" spans="1:13" ht="15.75" customHeight="1">
      <c r="A757" s="23"/>
      <c r="B757" s="23"/>
      <c r="C757" s="23"/>
      <c r="D757" s="24"/>
      <c r="E757" s="23"/>
      <c r="F757" s="23"/>
      <c r="G757" s="23"/>
      <c r="H757" s="23"/>
      <c r="I757" s="23"/>
      <c r="J757" s="23"/>
      <c r="K757" s="21"/>
      <c r="L757" s="23"/>
      <c r="M757" s="23"/>
    </row>
    <row r="758" spans="1:13" ht="15.75" customHeight="1">
      <c r="A758" s="23"/>
      <c r="B758" s="23"/>
      <c r="C758" s="23"/>
      <c r="D758" s="24"/>
      <c r="E758" s="23"/>
      <c r="F758" s="23"/>
      <c r="G758" s="23"/>
      <c r="H758" s="23"/>
      <c r="I758" s="23"/>
      <c r="J758" s="23"/>
      <c r="K758" s="21"/>
      <c r="L758" s="23"/>
      <c r="M758" s="23"/>
    </row>
    <row r="759" spans="1:13" ht="15.75" customHeight="1">
      <c r="A759" s="23"/>
      <c r="B759" s="23"/>
      <c r="C759" s="23"/>
      <c r="D759" s="24"/>
      <c r="E759" s="23"/>
      <c r="F759" s="23"/>
      <c r="G759" s="23"/>
      <c r="H759" s="23"/>
      <c r="I759" s="23"/>
      <c r="J759" s="23"/>
      <c r="K759" s="21"/>
      <c r="L759" s="23"/>
      <c r="M759" s="23"/>
    </row>
    <row r="760" spans="1:13" ht="15.75" customHeight="1">
      <c r="A760" s="23"/>
      <c r="B760" s="23"/>
      <c r="C760" s="23"/>
      <c r="D760" s="24"/>
      <c r="E760" s="23"/>
      <c r="F760" s="23"/>
      <c r="G760" s="23"/>
      <c r="H760" s="23"/>
      <c r="I760" s="23"/>
      <c r="J760" s="23"/>
      <c r="K760" s="21"/>
      <c r="L760" s="23"/>
      <c r="M760" s="23"/>
    </row>
    <row r="761" spans="1:13" ht="15.75" customHeight="1">
      <c r="A761" s="23"/>
      <c r="B761" s="23"/>
      <c r="C761" s="23"/>
      <c r="D761" s="24"/>
      <c r="E761" s="23"/>
      <c r="F761" s="23"/>
      <c r="G761" s="23"/>
      <c r="H761" s="23"/>
      <c r="I761" s="23"/>
      <c r="J761" s="23"/>
      <c r="K761" s="21"/>
      <c r="L761" s="23"/>
      <c r="M761" s="23"/>
    </row>
    <row r="762" spans="1:13" ht="15.75" customHeight="1">
      <c r="A762" s="23"/>
      <c r="B762" s="23"/>
      <c r="C762" s="23"/>
      <c r="D762" s="24"/>
      <c r="E762" s="23"/>
      <c r="F762" s="23"/>
      <c r="G762" s="23"/>
      <c r="H762" s="23"/>
      <c r="I762" s="23"/>
      <c r="J762" s="23"/>
      <c r="K762" s="21"/>
      <c r="L762" s="23"/>
      <c r="M762" s="23"/>
    </row>
    <row r="763" spans="1:13" ht="15.75" customHeight="1">
      <c r="A763" s="23"/>
      <c r="B763" s="23"/>
      <c r="C763" s="23"/>
      <c r="D763" s="24"/>
      <c r="E763" s="23"/>
      <c r="F763" s="23"/>
      <c r="G763" s="23"/>
      <c r="H763" s="23"/>
      <c r="I763" s="23"/>
      <c r="J763" s="23"/>
      <c r="K763" s="21"/>
      <c r="L763" s="23"/>
      <c r="M763" s="23"/>
    </row>
    <row r="764" spans="1:13" ht="15.75" customHeight="1">
      <c r="A764" s="23"/>
      <c r="B764" s="23"/>
      <c r="C764" s="23"/>
      <c r="D764" s="24"/>
      <c r="E764" s="23"/>
      <c r="F764" s="23"/>
      <c r="G764" s="23"/>
      <c r="H764" s="23"/>
      <c r="I764" s="23"/>
      <c r="J764" s="23"/>
      <c r="K764" s="21"/>
      <c r="L764" s="23"/>
      <c r="M764" s="23"/>
    </row>
    <row r="765" spans="1:13" ht="15.75" customHeight="1">
      <c r="A765" s="23"/>
      <c r="B765" s="23"/>
      <c r="C765" s="23"/>
      <c r="D765" s="24"/>
      <c r="E765" s="23"/>
      <c r="F765" s="23"/>
      <c r="G765" s="23"/>
      <c r="H765" s="23"/>
      <c r="I765" s="23"/>
      <c r="J765" s="23"/>
      <c r="K765" s="21"/>
      <c r="L765" s="23"/>
      <c r="M765" s="23"/>
    </row>
    <row r="766" spans="1:13" ht="15.75" customHeight="1">
      <c r="A766" s="23"/>
      <c r="B766" s="23"/>
      <c r="C766" s="23"/>
      <c r="D766" s="24"/>
      <c r="E766" s="23"/>
      <c r="F766" s="23"/>
      <c r="G766" s="23"/>
      <c r="H766" s="23"/>
      <c r="I766" s="23"/>
      <c r="J766" s="23"/>
      <c r="K766" s="21"/>
      <c r="L766" s="23"/>
      <c r="M766" s="23"/>
    </row>
    <row r="767" spans="1:13" ht="15.75" customHeight="1">
      <c r="A767" s="23"/>
      <c r="B767" s="23"/>
      <c r="C767" s="23"/>
      <c r="D767" s="24"/>
      <c r="E767" s="23"/>
      <c r="F767" s="23"/>
      <c r="G767" s="23"/>
      <c r="H767" s="23"/>
      <c r="I767" s="23"/>
      <c r="J767" s="23"/>
      <c r="K767" s="21"/>
      <c r="L767" s="23"/>
      <c r="M767" s="23"/>
    </row>
    <row r="768" spans="1:13" ht="15.75" customHeight="1">
      <c r="A768" s="23"/>
      <c r="B768" s="23"/>
      <c r="C768" s="23"/>
      <c r="D768" s="24"/>
      <c r="E768" s="23"/>
      <c r="F768" s="23"/>
      <c r="G768" s="23"/>
      <c r="H768" s="23"/>
      <c r="I768" s="23"/>
      <c r="J768" s="23"/>
      <c r="K768" s="21"/>
      <c r="L768" s="23"/>
      <c r="M768" s="23"/>
    </row>
    <row r="769" spans="1:13" ht="15.75" customHeight="1">
      <c r="A769" s="23"/>
      <c r="B769" s="23"/>
      <c r="C769" s="23"/>
      <c r="D769" s="24"/>
      <c r="E769" s="23"/>
      <c r="F769" s="23"/>
      <c r="G769" s="23"/>
      <c r="H769" s="23"/>
      <c r="I769" s="23"/>
      <c r="J769" s="23"/>
      <c r="K769" s="21"/>
      <c r="L769" s="23"/>
      <c r="M769" s="23"/>
    </row>
    <row r="770" spans="1:13" ht="15.75" customHeight="1">
      <c r="A770" s="23"/>
      <c r="B770" s="23"/>
      <c r="C770" s="23"/>
      <c r="D770" s="24"/>
      <c r="E770" s="23"/>
      <c r="F770" s="23"/>
      <c r="G770" s="23"/>
      <c r="H770" s="23"/>
      <c r="I770" s="23"/>
      <c r="J770" s="23"/>
      <c r="K770" s="21"/>
      <c r="L770" s="23"/>
      <c r="M770" s="23"/>
    </row>
    <row r="771" spans="1:13" ht="15.75" customHeight="1">
      <c r="A771" s="23"/>
      <c r="B771" s="23"/>
      <c r="C771" s="23"/>
      <c r="D771" s="24"/>
      <c r="E771" s="23"/>
      <c r="F771" s="23"/>
      <c r="G771" s="23"/>
      <c r="H771" s="23"/>
      <c r="I771" s="23"/>
      <c r="J771" s="23"/>
      <c r="K771" s="21"/>
      <c r="L771" s="23"/>
      <c r="M771" s="23"/>
    </row>
    <row r="772" spans="1:13" ht="15.75" customHeight="1">
      <c r="A772" s="23"/>
      <c r="B772" s="23"/>
      <c r="C772" s="23"/>
      <c r="D772" s="24"/>
      <c r="E772" s="23"/>
      <c r="F772" s="23"/>
      <c r="G772" s="23"/>
      <c r="H772" s="23"/>
      <c r="I772" s="23"/>
      <c r="J772" s="23"/>
      <c r="K772" s="21"/>
      <c r="L772" s="23"/>
      <c r="M772" s="23"/>
    </row>
    <row r="773" spans="1:13" ht="15.75" customHeight="1">
      <c r="A773" s="23"/>
      <c r="B773" s="23"/>
      <c r="C773" s="23"/>
      <c r="D773" s="24"/>
      <c r="E773" s="23"/>
      <c r="F773" s="23"/>
      <c r="G773" s="23"/>
      <c r="H773" s="23"/>
      <c r="I773" s="23"/>
      <c r="J773" s="23"/>
      <c r="K773" s="21"/>
      <c r="L773" s="23"/>
      <c r="M773" s="23"/>
    </row>
    <row r="774" spans="1:13" ht="15.75" customHeight="1">
      <c r="A774" s="23"/>
      <c r="B774" s="23"/>
      <c r="C774" s="23"/>
      <c r="D774" s="24"/>
      <c r="E774" s="23"/>
      <c r="F774" s="23"/>
      <c r="G774" s="23"/>
      <c r="H774" s="23"/>
      <c r="I774" s="23"/>
      <c r="J774" s="23"/>
      <c r="K774" s="21"/>
      <c r="L774" s="23"/>
      <c r="M774" s="23"/>
    </row>
    <row r="775" spans="1:13" ht="15.75" customHeight="1">
      <c r="A775" s="23"/>
      <c r="B775" s="23"/>
      <c r="C775" s="23"/>
      <c r="D775" s="24"/>
      <c r="E775" s="23"/>
      <c r="F775" s="23"/>
      <c r="G775" s="23"/>
      <c r="H775" s="23"/>
      <c r="I775" s="23"/>
      <c r="J775" s="23"/>
      <c r="K775" s="21"/>
      <c r="L775" s="23"/>
      <c r="M775" s="23"/>
    </row>
    <row r="776" spans="1:13" ht="15.75" customHeight="1">
      <c r="A776" s="23"/>
      <c r="B776" s="23"/>
      <c r="C776" s="23"/>
      <c r="D776" s="24"/>
      <c r="E776" s="23"/>
      <c r="F776" s="23"/>
      <c r="G776" s="23"/>
      <c r="H776" s="23"/>
      <c r="I776" s="23"/>
      <c r="J776" s="23"/>
      <c r="K776" s="21"/>
      <c r="L776" s="23"/>
      <c r="M776" s="23"/>
    </row>
    <row r="777" spans="1:13" ht="15.75" customHeight="1">
      <c r="A777" s="23"/>
      <c r="B777" s="23"/>
      <c r="C777" s="23"/>
      <c r="D777" s="24"/>
      <c r="E777" s="23"/>
      <c r="F777" s="23"/>
      <c r="G777" s="23"/>
      <c r="H777" s="23"/>
      <c r="I777" s="23"/>
      <c r="J777" s="23"/>
      <c r="K777" s="21"/>
      <c r="L777" s="23"/>
      <c r="M777" s="23"/>
    </row>
    <row r="778" spans="1:13" ht="15.75" customHeight="1">
      <c r="A778" s="23"/>
      <c r="B778" s="23"/>
      <c r="C778" s="23"/>
      <c r="D778" s="24"/>
      <c r="E778" s="23"/>
      <c r="F778" s="23"/>
      <c r="G778" s="23"/>
      <c r="H778" s="23"/>
      <c r="I778" s="23"/>
      <c r="J778" s="23"/>
      <c r="K778" s="21"/>
      <c r="L778" s="23"/>
      <c r="M778" s="23"/>
    </row>
    <row r="779" spans="1:13" ht="15.75" customHeight="1">
      <c r="A779" s="23"/>
      <c r="B779" s="23"/>
      <c r="C779" s="23"/>
      <c r="D779" s="24"/>
      <c r="E779" s="23"/>
      <c r="F779" s="23"/>
      <c r="G779" s="23"/>
      <c r="H779" s="23"/>
      <c r="I779" s="23"/>
      <c r="J779" s="23"/>
      <c r="K779" s="21"/>
      <c r="L779" s="23"/>
      <c r="M779" s="23"/>
    </row>
    <row r="780" spans="1:13" ht="15.75" customHeight="1">
      <c r="A780" s="23"/>
      <c r="B780" s="23"/>
      <c r="C780" s="23"/>
      <c r="D780" s="24"/>
      <c r="E780" s="23"/>
      <c r="F780" s="23"/>
      <c r="G780" s="23"/>
      <c r="H780" s="23"/>
      <c r="I780" s="23"/>
      <c r="J780" s="23"/>
      <c r="K780" s="21"/>
      <c r="L780" s="23"/>
      <c r="M780" s="23"/>
    </row>
    <row r="781" spans="1:13" ht="15.75" customHeight="1">
      <c r="A781" s="23"/>
      <c r="B781" s="23"/>
      <c r="C781" s="23"/>
      <c r="D781" s="24"/>
      <c r="E781" s="23"/>
      <c r="F781" s="23"/>
      <c r="G781" s="23"/>
      <c r="H781" s="23"/>
      <c r="I781" s="23"/>
      <c r="J781" s="23"/>
      <c r="K781" s="21"/>
      <c r="L781" s="23"/>
      <c r="M781" s="23"/>
    </row>
    <row r="782" spans="1:13" ht="15.75" customHeight="1">
      <c r="A782" s="23"/>
      <c r="B782" s="23"/>
      <c r="C782" s="23"/>
      <c r="D782" s="24"/>
      <c r="E782" s="23"/>
      <c r="F782" s="23"/>
      <c r="G782" s="23"/>
      <c r="H782" s="23"/>
      <c r="I782" s="23"/>
      <c r="J782" s="23"/>
      <c r="K782" s="21"/>
      <c r="L782" s="23"/>
      <c r="M782" s="23"/>
    </row>
    <row r="783" spans="1:13" ht="15.75" customHeight="1">
      <c r="A783" s="23"/>
      <c r="B783" s="23"/>
      <c r="C783" s="23"/>
      <c r="D783" s="24"/>
      <c r="E783" s="23"/>
      <c r="F783" s="23"/>
      <c r="G783" s="23"/>
      <c r="H783" s="23"/>
      <c r="I783" s="23"/>
      <c r="J783" s="23"/>
      <c r="K783" s="21"/>
      <c r="L783" s="23"/>
      <c r="M783" s="23"/>
    </row>
    <row r="784" spans="1:13" ht="15.75" customHeight="1">
      <c r="A784" s="23"/>
      <c r="B784" s="23"/>
      <c r="C784" s="23"/>
      <c r="D784" s="24"/>
      <c r="E784" s="23"/>
      <c r="F784" s="23"/>
      <c r="G784" s="23"/>
      <c r="H784" s="23"/>
      <c r="I784" s="23"/>
      <c r="J784" s="23"/>
      <c r="K784" s="21"/>
      <c r="L784" s="23"/>
      <c r="M784" s="23"/>
    </row>
    <row r="785" spans="1:13" ht="15.75" customHeight="1">
      <c r="A785" s="23"/>
      <c r="B785" s="23"/>
      <c r="C785" s="23"/>
      <c r="D785" s="24"/>
      <c r="E785" s="23"/>
      <c r="F785" s="23"/>
      <c r="G785" s="23"/>
      <c r="H785" s="23"/>
      <c r="I785" s="23"/>
      <c r="J785" s="23"/>
      <c r="K785" s="21"/>
      <c r="L785" s="23"/>
      <c r="M785" s="23"/>
    </row>
    <row r="786" spans="1:13" ht="15.75" customHeight="1">
      <c r="A786" s="23"/>
      <c r="B786" s="23"/>
      <c r="C786" s="23"/>
      <c r="D786" s="24"/>
      <c r="E786" s="23"/>
      <c r="F786" s="23"/>
      <c r="G786" s="23"/>
      <c r="H786" s="23"/>
      <c r="I786" s="23"/>
      <c r="J786" s="23"/>
      <c r="K786" s="21"/>
      <c r="L786" s="23"/>
      <c r="M786" s="23"/>
    </row>
    <row r="787" spans="1:13" ht="15.75" customHeight="1">
      <c r="A787" s="23"/>
      <c r="B787" s="23"/>
      <c r="C787" s="23"/>
      <c r="D787" s="24"/>
      <c r="E787" s="23"/>
      <c r="F787" s="23"/>
      <c r="G787" s="23"/>
      <c r="H787" s="23"/>
      <c r="I787" s="23"/>
      <c r="J787" s="23"/>
      <c r="K787" s="21"/>
      <c r="L787" s="23"/>
      <c r="M787" s="23"/>
    </row>
    <row r="788" spans="1:13" ht="15.75" customHeight="1">
      <c r="A788" s="23"/>
      <c r="B788" s="23"/>
      <c r="C788" s="23"/>
      <c r="D788" s="24"/>
      <c r="E788" s="23"/>
      <c r="F788" s="23"/>
      <c r="G788" s="23"/>
      <c r="H788" s="23"/>
      <c r="I788" s="23"/>
      <c r="J788" s="23"/>
      <c r="K788" s="21"/>
      <c r="L788" s="23"/>
      <c r="M788" s="23"/>
    </row>
    <row r="789" spans="1:13" ht="15.75" customHeight="1">
      <c r="A789" s="23"/>
      <c r="B789" s="23"/>
      <c r="C789" s="23"/>
      <c r="D789" s="24"/>
      <c r="E789" s="23"/>
      <c r="F789" s="23"/>
      <c r="G789" s="23"/>
      <c r="H789" s="23"/>
      <c r="I789" s="23"/>
      <c r="J789" s="23"/>
      <c r="K789" s="21"/>
      <c r="L789" s="23"/>
      <c r="M789" s="23"/>
    </row>
    <row r="790" spans="1:13" ht="15.75" customHeight="1">
      <c r="A790" s="23"/>
      <c r="B790" s="23"/>
      <c r="C790" s="23"/>
      <c r="D790" s="24"/>
      <c r="E790" s="23"/>
      <c r="F790" s="23"/>
      <c r="G790" s="23"/>
      <c r="H790" s="23"/>
      <c r="I790" s="23"/>
      <c r="J790" s="23"/>
      <c r="K790" s="21"/>
      <c r="L790" s="23"/>
      <c r="M790" s="23"/>
    </row>
    <row r="791" spans="1:13" ht="15.75" customHeight="1">
      <c r="A791" s="23"/>
      <c r="B791" s="23"/>
      <c r="C791" s="23"/>
      <c r="D791" s="24"/>
      <c r="E791" s="23"/>
      <c r="F791" s="23"/>
      <c r="G791" s="23"/>
      <c r="H791" s="23"/>
      <c r="I791" s="23"/>
      <c r="J791" s="23"/>
      <c r="K791" s="21"/>
      <c r="L791" s="23"/>
      <c r="M791" s="23"/>
    </row>
    <row r="792" spans="1:13" ht="15.75" customHeight="1">
      <c r="A792" s="23"/>
      <c r="B792" s="23"/>
      <c r="C792" s="23"/>
      <c r="D792" s="24"/>
      <c r="E792" s="23"/>
      <c r="F792" s="23"/>
      <c r="G792" s="23"/>
      <c r="H792" s="23"/>
      <c r="I792" s="23"/>
      <c r="J792" s="23"/>
      <c r="K792" s="21"/>
      <c r="L792" s="23"/>
      <c r="M792" s="23"/>
    </row>
    <row r="793" spans="1:13" ht="15.75" customHeight="1">
      <c r="A793" s="23"/>
      <c r="B793" s="23"/>
      <c r="C793" s="23"/>
      <c r="D793" s="24"/>
      <c r="E793" s="23"/>
      <c r="F793" s="23"/>
      <c r="G793" s="23"/>
      <c r="H793" s="23"/>
      <c r="I793" s="23"/>
      <c r="J793" s="23"/>
      <c r="K793" s="21"/>
      <c r="L793" s="23"/>
      <c r="M793" s="23"/>
    </row>
    <row r="794" spans="1:13" ht="15.75" customHeight="1">
      <c r="A794" s="23"/>
      <c r="B794" s="23"/>
      <c r="C794" s="23"/>
      <c r="D794" s="24"/>
      <c r="E794" s="23"/>
      <c r="F794" s="23"/>
      <c r="G794" s="23"/>
      <c r="H794" s="23"/>
      <c r="I794" s="23"/>
      <c r="J794" s="23"/>
      <c r="K794" s="21"/>
      <c r="L794" s="23"/>
      <c r="M794" s="23"/>
    </row>
    <row r="795" spans="1:13" ht="15.75" customHeight="1">
      <c r="A795" s="23"/>
      <c r="B795" s="23"/>
      <c r="C795" s="23"/>
      <c r="D795" s="24"/>
      <c r="E795" s="23"/>
      <c r="F795" s="23"/>
      <c r="G795" s="23"/>
      <c r="H795" s="23"/>
      <c r="I795" s="23"/>
      <c r="J795" s="23"/>
      <c r="K795" s="21"/>
      <c r="L795" s="23"/>
      <c r="M795" s="23"/>
    </row>
    <row r="796" spans="1:13" ht="15.75" customHeight="1">
      <c r="A796" s="23"/>
      <c r="B796" s="23"/>
      <c r="C796" s="23"/>
      <c r="D796" s="24"/>
      <c r="E796" s="23"/>
      <c r="F796" s="23"/>
      <c r="G796" s="23"/>
      <c r="H796" s="23"/>
      <c r="I796" s="23"/>
      <c r="J796" s="23"/>
      <c r="K796" s="21"/>
      <c r="L796" s="23"/>
      <c r="M796" s="23"/>
    </row>
    <row r="797" spans="1:13" ht="15.75" customHeight="1">
      <c r="A797" s="23"/>
      <c r="B797" s="23"/>
      <c r="C797" s="23"/>
      <c r="D797" s="24"/>
      <c r="E797" s="23"/>
      <c r="F797" s="23"/>
      <c r="G797" s="23"/>
      <c r="H797" s="23"/>
      <c r="I797" s="23"/>
      <c r="J797" s="23"/>
      <c r="K797" s="21"/>
      <c r="L797" s="23"/>
      <c r="M797" s="23"/>
    </row>
    <row r="798" spans="1:13" ht="15.75" customHeight="1">
      <c r="A798" s="23"/>
      <c r="B798" s="23"/>
      <c r="C798" s="23"/>
      <c r="D798" s="24"/>
      <c r="E798" s="23"/>
      <c r="F798" s="23"/>
      <c r="G798" s="23"/>
      <c r="H798" s="23"/>
      <c r="I798" s="23"/>
      <c r="J798" s="23"/>
      <c r="K798" s="21"/>
      <c r="L798" s="23"/>
      <c r="M798" s="23"/>
    </row>
    <row r="799" spans="1:13" ht="15.75" customHeight="1">
      <c r="A799" s="23"/>
      <c r="B799" s="23"/>
      <c r="C799" s="23"/>
      <c r="D799" s="24"/>
      <c r="E799" s="23"/>
      <c r="F799" s="23"/>
      <c r="G799" s="23"/>
      <c r="H799" s="23"/>
      <c r="I799" s="23"/>
      <c r="J799" s="23"/>
      <c r="K799" s="21"/>
      <c r="L799" s="23"/>
      <c r="M799" s="23"/>
    </row>
    <row r="800" spans="1:13" ht="15.75" customHeight="1">
      <c r="A800" s="23"/>
      <c r="B800" s="23"/>
      <c r="C800" s="23"/>
      <c r="D800" s="24"/>
      <c r="E800" s="23"/>
      <c r="F800" s="23"/>
      <c r="G800" s="23"/>
      <c r="H800" s="23"/>
      <c r="I800" s="23"/>
      <c r="J800" s="23"/>
      <c r="K800" s="21"/>
      <c r="L800" s="23"/>
      <c r="M800" s="23"/>
    </row>
    <row r="801" spans="1:13" ht="15.75" customHeight="1">
      <c r="A801" s="23"/>
      <c r="B801" s="23"/>
      <c r="C801" s="23"/>
      <c r="D801" s="24"/>
      <c r="E801" s="23"/>
      <c r="F801" s="23"/>
      <c r="G801" s="23"/>
      <c r="H801" s="23"/>
      <c r="I801" s="23"/>
      <c r="J801" s="23"/>
      <c r="K801" s="21"/>
      <c r="L801" s="23"/>
      <c r="M801" s="23"/>
    </row>
    <row r="802" spans="1:13" ht="15.75" customHeight="1">
      <c r="A802" s="23"/>
      <c r="B802" s="23"/>
      <c r="C802" s="23"/>
      <c r="D802" s="24"/>
      <c r="E802" s="23"/>
      <c r="F802" s="23"/>
      <c r="G802" s="23"/>
      <c r="H802" s="23"/>
      <c r="I802" s="23"/>
      <c r="J802" s="23"/>
      <c r="K802" s="21"/>
      <c r="L802" s="23"/>
      <c r="M802" s="23"/>
    </row>
    <row r="803" spans="1:13" ht="15.75" customHeight="1">
      <c r="A803" s="23"/>
      <c r="B803" s="23"/>
      <c r="C803" s="23"/>
      <c r="D803" s="24"/>
      <c r="E803" s="23"/>
      <c r="F803" s="23"/>
      <c r="G803" s="23"/>
      <c r="H803" s="23"/>
      <c r="I803" s="23"/>
      <c r="J803" s="23"/>
      <c r="K803" s="21"/>
      <c r="L803" s="23"/>
      <c r="M803" s="23"/>
    </row>
    <row r="804" spans="1:13" ht="15.75" customHeight="1">
      <c r="A804" s="23"/>
      <c r="B804" s="23"/>
      <c r="C804" s="23"/>
      <c r="D804" s="24"/>
      <c r="E804" s="23"/>
      <c r="F804" s="23"/>
      <c r="G804" s="23"/>
      <c r="H804" s="23"/>
      <c r="I804" s="23"/>
      <c r="J804" s="23"/>
      <c r="K804" s="21"/>
      <c r="L804" s="23"/>
      <c r="M804" s="23"/>
    </row>
    <row r="805" spans="1:13" ht="15.75" customHeight="1">
      <c r="A805" s="23"/>
      <c r="B805" s="23"/>
      <c r="C805" s="23"/>
      <c r="D805" s="24"/>
      <c r="E805" s="23"/>
      <c r="F805" s="23"/>
      <c r="G805" s="23"/>
      <c r="H805" s="23"/>
      <c r="I805" s="23"/>
      <c r="J805" s="23"/>
      <c r="K805" s="21"/>
      <c r="L805" s="23"/>
      <c r="M805" s="23"/>
    </row>
    <row r="806" spans="1:13" ht="15.75" customHeight="1">
      <c r="A806" s="23"/>
      <c r="B806" s="23"/>
      <c r="C806" s="23"/>
      <c r="D806" s="24"/>
      <c r="E806" s="23"/>
      <c r="F806" s="23"/>
      <c r="G806" s="23"/>
      <c r="H806" s="23"/>
      <c r="I806" s="23"/>
      <c r="J806" s="23"/>
      <c r="K806" s="21"/>
      <c r="L806" s="23"/>
      <c r="M806" s="23"/>
    </row>
    <row r="807" spans="1:13" ht="15.75" customHeight="1">
      <c r="A807" s="23"/>
      <c r="B807" s="23"/>
      <c r="C807" s="23"/>
      <c r="D807" s="24"/>
      <c r="E807" s="23"/>
      <c r="F807" s="23"/>
      <c r="G807" s="23"/>
      <c r="H807" s="23"/>
      <c r="I807" s="23"/>
      <c r="J807" s="23"/>
      <c r="K807" s="21"/>
      <c r="L807" s="23"/>
      <c r="M807" s="23"/>
    </row>
    <row r="808" spans="1:13" ht="15.75" customHeight="1">
      <c r="A808" s="23"/>
      <c r="B808" s="23"/>
      <c r="C808" s="23"/>
      <c r="D808" s="24"/>
      <c r="E808" s="23"/>
      <c r="F808" s="23"/>
      <c r="G808" s="23"/>
      <c r="H808" s="23"/>
      <c r="I808" s="23"/>
      <c r="J808" s="23"/>
      <c r="K808" s="21"/>
      <c r="L808" s="23"/>
      <c r="M808" s="23"/>
    </row>
    <row r="809" spans="1:13" ht="15.75" customHeight="1">
      <c r="A809" s="23"/>
      <c r="B809" s="23"/>
      <c r="C809" s="23"/>
      <c r="D809" s="24"/>
      <c r="E809" s="23"/>
      <c r="F809" s="23"/>
      <c r="G809" s="23"/>
      <c r="H809" s="23"/>
      <c r="I809" s="23"/>
      <c r="J809" s="23"/>
      <c r="K809" s="21"/>
      <c r="L809" s="23"/>
      <c r="M809" s="23"/>
    </row>
    <row r="810" spans="1:13" ht="15.75" customHeight="1">
      <c r="A810" s="23"/>
      <c r="B810" s="23"/>
      <c r="C810" s="23"/>
      <c r="D810" s="24"/>
      <c r="E810" s="23"/>
      <c r="F810" s="23"/>
      <c r="G810" s="23"/>
      <c r="H810" s="23"/>
      <c r="I810" s="23"/>
      <c r="J810" s="23"/>
      <c r="K810" s="21"/>
      <c r="L810" s="23"/>
      <c r="M810" s="23"/>
    </row>
    <row r="811" spans="1:13" ht="15.75" customHeight="1">
      <c r="A811" s="23"/>
      <c r="B811" s="23"/>
      <c r="C811" s="23"/>
      <c r="D811" s="24"/>
      <c r="E811" s="23"/>
      <c r="F811" s="23"/>
      <c r="G811" s="23"/>
      <c r="H811" s="23"/>
      <c r="I811" s="23"/>
      <c r="J811" s="23"/>
      <c r="K811" s="21"/>
      <c r="L811" s="23"/>
      <c r="M811" s="23"/>
    </row>
    <row r="812" spans="1:13" ht="15.75" customHeight="1">
      <c r="A812" s="23"/>
      <c r="B812" s="23"/>
      <c r="C812" s="23"/>
      <c r="D812" s="24"/>
      <c r="E812" s="23"/>
      <c r="F812" s="23"/>
      <c r="G812" s="23"/>
      <c r="H812" s="23"/>
      <c r="I812" s="23"/>
      <c r="J812" s="23"/>
      <c r="K812" s="21"/>
      <c r="L812" s="23"/>
      <c r="M812" s="23"/>
    </row>
    <row r="813" spans="1:13" ht="15.75" customHeight="1">
      <c r="A813" s="23"/>
      <c r="B813" s="23"/>
      <c r="C813" s="23"/>
      <c r="D813" s="24"/>
      <c r="E813" s="23"/>
      <c r="F813" s="23"/>
      <c r="G813" s="23"/>
      <c r="H813" s="23"/>
      <c r="I813" s="23"/>
      <c r="J813" s="23"/>
      <c r="K813" s="21"/>
      <c r="L813" s="23"/>
      <c r="M813" s="23"/>
    </row>
    <row r="814" spans="1:13" ht="15.75" customHeight="1">
      <c r="A814" s="23"/>
      <c r="B814" s="23"/>
      <c r="C814" s="23"/>
      <c r="D814" s="24"/>
      <c r="E814" s="23"/>
      <c r="F814" s="23"/>
      <c r="G814" s="23"/>
      <c r="H814" s="23"/>
      <c r="I814" s="23"/>
      <c r="J814" s="23"/>
      <c r="K814" s="21"/>
      <c r="L814" s="23"/>
      <c r="M814" s="23"/>
    </row>
    <row r="815" spans="1:13" ht="15.75" customHeight="1">
      <c r="A815" s="23"/>
      <c r="B815" s="23"/>
      <c r="C815" s="23"/>
      <c r="D815" s="24"/>
      <c r="E815" s="23"/>
      <c r="F815" s="23"/>
      <c r="G815" s="23"/>
      <c r="H815" s="23"/>
      <c r="I815" s="23"/>
      <c r="J815" s="23"/>
      <c r="K815" s="21"/>
      <c r="L815" s="23"/>
      <c r="M815" s="23"/>
    </row>
    <row r="816" spans="1:13" ht="15.75" customHeight="1">
      <c r="A816" s="23"/>
      <c r="B816" s="23"/>
      <c r="C816" s="23"/>
      <c r="D816" s="24"/>
      <c r="E816" s="23"/>
      <c r="F816" s="23"/>
      <c r="G816" s="23"/>
      <c r="H816" s="23"/>
      <c r="I816" s="23"/>
      <c r="J816" s="23"/>
      <c r="K816" s="21"/>
      <c r="L816" s="23"/>
      <c r="M816" s="23"/>
    </row>
    <row r="817" spans="1:13" ht="15.75" customHeight="1">
      <c r="A817" s="23"/>
      <c r="B817" s="23"/>
      <c r="C817" s="23"/>
      <c r="D817" s="24"/>
      <c r="E817" s="23"/>
      <c r="F817" s="23"/>
      <c r="G817" s="23"/>
      <c r="H817" s="23"/>
      <c r="I817" s="23"/>
      <c r="J817" s="23"/>
      <c r="K817" s="21"/>
      <c r="L817" s="23"/>
      <c r="M817" s="23"/>
    </row>
    <row r="818" spans="1:13" ht="15.75" customHeight="1">
      <c r="A818" s="23"/>
      <c r="B818" s="23"/>
      <c r="C818" s="23"/>
      <c r="D818" s="24"/>
      <c r="E818" s="23"/>
      <c r="F818" s="23"/>
      <c r="G818" s="23"/>
      <c r="H818" s="23"/>
      <c r="I818" s="23"/>
      <c r="J818" s="23"/>
      <c r="K818" s="21"/>
      <c r="L818" s="23"/>
      <c r="M818" s="23"/>
    </row>
    <row r="819" spans="1:13" ht="15.75" customHeight="1">
      <c r="A819" s="23"/>
      <c r="B819" s="23"/>
      <c r="C819" s="23"/>
      <c r="D819" s="24"/>
      <c r="E819" s="23"/>
      <c r="F819" s="23"/>
      <c r="G819" s="23"/>
      <c r="H819" s="23"/>
      <c r="I819" s="23"/>
      <c r="J819" s="23"/>
      <c r="K819" s="21"/>
      <c r="L819" s="23"/>
      <c r="M819" s="23"/>
    </row>
    <row r="820" spans="1:13" ht="15.75" customHeight="1">
      <c r="A820" s="23"/>
      <c r="B820" s="23"/>
      <c r="C820" s="23"/>
      <c r="D820" s="24"/>
      <c r="E820" s="23"/>
      <c r="F820" s="23"/>
      <c r="G820" s="23"/>
      <c r="H820" s="23"/>
      <c r="I820" s="23"/>
      <c r="J820" s="23"/>
      <c r="K820" s="21"/>
      <c r="L820" s="23"/>
      <c r="M820" s="23"/>
    </row>
    <row r="821" spans="1:13" ht="15.75" customHeight="1">
      <c r="A821" s="23"/>
      <c r="B821" s="23"/>
      <c r="C821" s="23"/>
      <c r="D821" s="24"/>
      <c r="E821" s="23"/>
      <c r="F821" s="23"/>
      <c r="G821" s="23"/>
      <c r="H821" s="23"/>
      <c r="I821" s="23"/>
      <c r="J821" s="23"/>
      <c r="K821" s="21"/>
      <c r="L821" s="23"/>
      <c r="M821" s="23"/>
    </row>
    <row r="822" spans="1:13" ht="15.75" customHeight="1">
      <c r="A822" s="23"/>
      <c r="B822" s="23"/>
      <c r="C822" s="23"/>
      <c r="D822" s="24"/>
      <c r="E822" s="23"/>
      <c r="F822" s="23"/>
      <c r="G822" s="23"/>
      <c r="H822" s="23"/>
      <c r="I822" s="23"/>
      <c r="J822" s="23"/>
      <c r="K822" s="21"/>
      <c r="L822" s="23"/>
      <c r="M822" s="23"/>
    </row>
    <row r="823" spans="1:13" ht="15.75" customHeight="1">
      <c r="A823" s="23"/>
      <c r="B823" s="23"/>
      <c r="C823" s="23"/>
      <c r="D823" s="24"/>
      <c r="E823" s="23"/>
      <c r="F823" s="23"/>
      <c r="G823" s="23"/>
      <c r="H823" s="23"/>
      <c r="I823" s="23"/>
      <c r="J823" s="23"/>
      <c r="K823" s="21"/>
      <c r="L823" s="23"/>
      <c r="M823" s="23"/>
    </row>
    <row r="824" spans="1:13" ht="15.75" customHeight="1">
      <c r="A824" s="23"/>
      <c r="B824" s="23"/>
      <c r="C824" s="23"/>
      <c r="D824" s="24"/>
      <c r="E824" s="23"/>
      <c r="F824" s="23"/>
      <c r="G824" s="23"/>
      <c r="H824" s="23"/>
      <c r="I824" s="23"/>
      <c r="J824" s="23"/>
      <c r="K824" s="21"/>
      <c r="L824" s="23"/>
      <c r="M824" s="23"/>
    </row>
    <row r="825" spans="1:13" ht="15.75" customHeight="1">
      <c r="A825" s="23"/>
      <c r="B825" s="23"/>
      <c r="C825" s="23"/>
      <c r="D825" s="24"/>
      <c r="E825" s="23"/>
      <c r="F825" s="23"/>
      <c r="G825" s="23"/>
      <c r="H825" s="23"/>
      <c r="I825" s="23"/>
      <c r="J825" s="23"/>
      <c r="K825" s="21"/>
      <c r="L825" s="23"/>
      <c r="M825" s="23"/>
    </row>
    <row r="826" spans="1:13" ht="15.75" customHeight="1">
      <c r="A826" s="23"/>
      <c r="B826" s="23"/>
      <c r="C826" s="23"/>
      <c r="D826" s="24"/>
      <c r="E826" s="23"/>
      <c r="F826" s="23"/>
      <c r="G826" s="23"/>
      <c r="H826" s="23"/>
      <c r="I826" s="23"/>
      <c r="J826" s="23"/>
      <c r="K826" s="21"/>
      <c r="L826" s="23"/>
      <c r="M826" s="23"/>
    </row>
    <row r="827" spans="1:13" ht="15.75" customHeight="1">
      <c r="A827" s="23"/>
      <c r="B827" s="23"/>
      <c r="C827" s="23"/>
      <c r="D827" s="24"/>
      <c r="E827" s="23"/>
      <c r="F827" s="23"/>
      <c r="G827" s="23"/>
      <c r="H827" s="23"/>
      <c r="I827" s="23"/>
      <c r="J827" s="23"/>
      <c r="K827" s="21"/>
      <c r="L827" s="23"/>
      <c r="M827" s="23"/>
    </row>
    <row r="828" spans="1:13" ht="15.75" customHeight="1">
      <c r="A828" s="23"/>
      <c r="B828" s="23"/>
      <c r="C828" s="23"/>
      <c r="D828" s="24"/>
      <c r="E828" s="23"/>
      <c r="F828" s="23"/>
      <c r="G828" s="23"/>
      <c r="H828" s="23"/>
      <c r="I828" s="23"/>
      <c r="J828" s="23"/>
      <c r="K828" s="21"/>
      <c r="L828" s="23"/>
      <c r="M828" s="23"/>
    </row>
    <row r="829" spans="1:13" ht="15.75" customHeight="1">
      <c r="A829" s="23"/>
      <c r="B829" s="23"/>
      <c r="C829" s="23"/>
      <c r="D829" s="24"/>
      <c r="E829" s="23"/>
      <c r="F829" s="23"/>
      <c r="G829" s="23"/>
      <c r="H829" s="23"/>
      <c r="I829" s="23"/>
      <c r="J829" s="23"/>
      <c r="K829" s="21"/>
      <c r="L829" s="23"/>
      <c r="M829" s="23"/>
    </row>
    <row r="830" spans="1:13" ht="15.75" customHeight="1">
      <c r="A830" s="23"/>
      <c r="B830" s="23"/>
      <c r="C830" s="23"/>
      <c r="D830" s="24"/>
      <c r="E830" s="23"/>
      <c r="F830" s="23"/>
      <c r="G830" s="23"/>
      <c r="H830" s="23"/>
      <c r="I830" s="23"/>
      <c r="J830" s="23"/>
      <c r="K830" s="21"/>
      <c r="L830" s="23"/>
      <c r="M830" s="23"/>
    </row>
    <row r="831" spans="1:13" ht="15.75" customHeight="1">
      <c r="A831" s="23"/>
      <c r="B831" s="23"/>
      <c r="C831" s="23"/>
      <c r="D831" s="24"/>
      <c r="E831" s="23"/>
      <c r="F831" s="23"/>
      <c r="G831" s="23"/>
      <c r="H831" s="23"/>
      <c r="I831" s="23"/>
      <c r="J831" s="23"/>
      <c r="K831" s="21"/>
      <c r="L831" s="23"/>
      <c r="M831" s="23"/>
    </row>
    <row r="832" spans="1:13" ht="15.75" customHeight="1">
      <c r="A832" s="23"/>
      <c r="B832" s="23"/>
      <c r="C832" s="23"/>
      <c r="D832" s="24"/>
      <c r="E832" s="23"/>
      <c r="F832" s="23"/>
      <c r="G832" s="23"/>
      <c r="H832" s="23"/>
      <c r="I832" s="23"/>
      <c r="J832" s="23"/>
      <c r="K832" s="21"/>
      <c r="L832" s="23"/>
      <c r="M832" s="23"/>
    </row>
    <row r="833" spans="1:13" ht="15.75" customHeight="1">
      <c r="A833" s="23"/>
      <c r="B833" s="23"/>
      <c r="C833" s="23"/>
      <c r="D833" s="24"/>
      <c r="E833" s="23"/>
      <c r="F833" s="23"/>
      <c r="G833" s="23"/>
      <c r="H833" s="23"/>
      <c r="I833" s="23"/>
      <c r="J833" s="23"/>
      <c r="K833" s="21"/>
      <c r="L833" s="23"/>
      <c r="M833" s="23"/>
    </row>
    <row r="834" spans="1:13" ht="15.75" customHeight="1">
      <c r="A834" s="23"/>
      <c r="B834" s="23"/>
      <c r="C834" s="23"/>
      <c r="D834" s="24"/>
      <c r="E834" s="23"/>
      <c r="F834" s="23"/>
      <c r="G834" s="23"/>
      <c r="H834" s="23"/>
      <c r="I834" s="23"/>
      <c r="J834" s="23"/>
      <c r="K834" s="21"/>
      <c r="L834" s="23"/>
      <c r="M834" s="23"/>
    </row>
    <row r="835" spans="1:13" ht="15.75" customHeight="1">
      <c r="A835" s="23"/>
      <c r="B835" s="23"/>
      <c r="C835" s="23"/>
      <c r="D835" s="24"/>
      <c r="E835" s="23"/>
      <c r="F835" s="23"/>
      <c r="G835" s="23"/>
      <c r="H835" s="23"/>
      <c r="I835" s="23"/>
      <c r="J835" s="23"/>
      <c r="K835" s="21"/>
      <c r="L835" s="23"/>
      <c r="M835" s="23"/>
    </row>
    <row r="836" spans="1:13" ht="15.75" customHeight="1">
      <c r="A836" s="23"/>
      <c r="B836" s="23"/>
      <c r="C836" s="23"/>
      <c r="D836" s="24"/>
      <c r="E836" s="23"/>
      <c r="F836" s="23"/>
      <c r="G836" s="23"/>
      <c r="H836" s="23"/>
      <c r="I836" s="23"/>
      <c r="J836" s="23"/>
      <c r="K836" s="21"/>
      <c r="L836" s="23"/>
      <c r="M836" s="23"/>
    </row>
    <row r="837" spans="1:13" ht="15.75" customHeight="1">
      <c r="A837" s="23"/>
      <c r="B837" s="23"/>
      <c r="C837" s="23"/>
      <c r="D837" s="24"/>
      <c r="E837" s="23"/>
      <c r="F837" s="23"/>
      <c r="G837" s="23"/>
      <c r="H837" s="23"/>
      <c r="I837" s="23"/>
      <c r="J837" s="23"/>
      <c r="K837" s="21"/>
      <c r="L837" s="23"/>
      <c r="M837" s="23"/>
    </row>
    <row r="838" spans="1:13" ht="15.75" customHeight="1">
      <c r="A838" s="23"/>
      <c r="B838" s="23"/>
      <c r="C838" s="23"/>
      <c r="D838" s="24"/>
      <c r="E838" s="23"/>
      <c r="F838" s="23"/>
      <c r="G838" s="23"/>
      <c r="H838" s="23"/>
      <c r="I838" s="23"/>
      <c r="J838" s="23"/>
      <c r="K838" s="21"/>
      <c r="L838" s="23"/>
      <c r="M838" s="23"/>
    </row>
    <row r="839" spans="1:13" ht="15.75" customHeight="1">
      <c r="A839" s="23"/>
      <c r="B839" s="23"/>
      <c r="C839" s="23"/>
      <c r="D839" s="24"/>
      <c r="E839" s="23"/>
      <c r="F839" s="23"/>
      <c r="G839" s="23"/>
      <c r="H839" s="23"/>
      <c r="I839" s="23"/>
      <c r="J839" s="23"/>
      <c r="K839" s="21"/>
      <c r="L839" s="23"/>
      <c r="M839" s="23"/>
    </row>
    <row r="840" spans="1:13" ht="15.75" customHeight="1">
      <c r="A840" s="23"/>
      <c r="B840" s="23"/>
      <c r="C840" s="23"/>
      <c r="D840" s="24"/>
      <c r="E840" s="23"/>
      <c r="F840" s="23"/>
      <c r="G840" s="23"/>
      <c r="H840" s="23"/>
      <c r="I840" s="23"/>
      <c r="J840" s="23"/>
      <c r="K840" s="21"/>
      <c r="L840" s="23"/>
      <c r="M840" s="23"/>
    </row>
    <row r="841" spans="1:13" ht="15.75" customHeight="1">
      <c r="A841" s="23"/>
      <c r="B841" s="23"/>
      <c r="C841" s="23"/>
      <c r="D841" s="24"/>
      <c r="E841" s="23"/>
      <c r="F841" s="23"/>
      <c r="G841" s="23"/>
      <c r="H841" s="23"/>
      <c r="I841" s="23"/>
      <c r="J841" s="23"/>
      <c r="K841" s="21"/>
      <c r="L841" s="23"/>
      <c r="M841" s="23"/>
    </row>
    <row r="842" spans="1:13" ht="15.75" customHeight="1">
      <c r="A842" s="23"/>
      <c r="B842" s="23"/>
      <c r="C842" s="23"/>
      <c r="D842" s="24"/>
      <c r="E842" s="23"/>
      <c r="F842" s="23"/>
      <c r="G842" s="23"/>
      <c r="H842" s="23"/>
      <c r="I842" s="23"/>
      <c r="J842" s="23"/>
      <c r="K842" s="21"/>
      <c r="L842" s="23"/>
      <c r="M842" s="23"/>
    </row>
    <row r="843" spans="1:13" ht="15.75" customHeight="1">
      <c r="A843" s="23"/>
      <c r="B843" s="23"/>
      <c r="C843" s="23"/>
      <c r="D843" s="24"/>
      <c r="E843" s="23"/>
      <c r="F843" s="23"/>
      <c r="G843" s="23"/>
      <c r="H843" s="23"/>
      <c r="I843" s="23"/>
      <c r="J843" s="23"/>
      <c r="K843" s="21"/>
      <c r="L843" s="23"/>
      <c r="M843" s="23"/>
    </row>
    <row r="844" spans="1:13" ht="15.75" customHeight="1">
      <c r="A844" s="23"/>
      <c r="B844" s="23"/>
      <c r="C844" s="23"/>
      <c r="D844" s="24"/>
      <c r="E844" s="23"/>
      <c r="F844" s="23"/>
      <c r="G844" s="23"/>
      <c r="H844" s="23"/>
      <c r="I844" s="23"/>
      <c r="J844" s="23"/>
      <c r="K844" s="21"/>
      <c r="L844" s="23"/>
      <c r="M844" s="23"/>
    </row>
    <row r="845" spans="1:13" ht="15.75" customHeight="1">
      <c r="A845" s="23"/>
      <c r="B845" s="23"/>
      <c r="C845" s="23"/>
      <c r="D845" s="24"/>
      <c r="E845" s="23"/>
      <c r="F845" s="23"/>
      <c r="G845" s="23"/>
      <c r="H845" s="23"/>
      <c r="I845" s="23"/>
      <c r="J845" s="23"/>
      <c r="K845" s="21"/>
      <c r="L845" s="23"/>
      <c r="M845" s="23"/>
    </row>
    <row r="846" spans="1:13" ht="15.75" customHeight="1">
      <c r="A846" s="23"/>
      <c r="B846" s="23"/>
      <c r="C846" s="23"/>
      <c r="D846" s="24"/>
      <c r="E846" s="23"/>
      <c r="F846" s="23"/>
      <c r="G846" s="23"/>
      <c r="H846" s="23"/>
      <c r="I846" s="23"/>
      <c r="J846" s="23"/>
      <c r="K846" s="21"/>
      <c r="L846" s="23"/>
      <c r="M846" s="23"/>
    </row>
    <row r="847" spans="1:13" ht="15.75" customHeight="1">
      <c r="A847" s="23"/>
      <c r="B847" s="23"/>
      <c r="C847" s="23"/>
      <c r="D847" s="24"/>
      <c r="E847" s="23"/>
      <c r="F847" s="23"/>
      <c r="G847" s="23"/>
      <c r="H847" s="23"/>
      <c r="I847" s="23"/>
      <c r="J847" s="23"/>
      <c r="K847" s="21"/>
      <c r="L847" s="23"/>
      <c r="M847" s="23"/>
    </row>
    <row r="848" spans="1:13" ht="15.75" customHeight="1">
      <c r="A848" s="23"/>
      <c r="B848" s="23"/>
      <c r="C848" s="23"/>
      <c r="D848" s="24"/>
      <c r="E848" s="23"/>
      <c r="F848" s="23"/>
      <c r="G848" s="23"/>
      <c r="H848" s="23"/>
      <c r="I848" s="23"/>
      <c r="J848" s="23"/>
      <c r="K848" s="21"/>
      <c r="L848" s="23"/>
      <c r="M848" s="23"/>
    </row>
    <row r="849" spans="1:13" ht="15.75" customHeight="1">
      <c r="A849" s="23"/>
      <c r="B849" s="23"/>
      <c r="C849" s="23"/>
      <c r="D849" s="24"/>
      <c r="E849" s="23"/>
      <c r="F849" s="23"/>
      <c r="G849" s="23"/>
      <c r="H849" s="23"/>
      <c r="I849" s="23"/>
      <c r="J849" s="23"/>
      <c r="K849" s="21"/>
      <c r="L849" s="23"/>
      <c r="M849" s="23"/>
    </row>
    <row r="850" spans="1:13" ht="15.75" customHeight="1">
      <c r="A850" s="23"/>
      <c r="B850" s="23"/>
      <c r="C850" s="23"/>
      <c r="D850" s="24"/>
      <c r="E850" s="23"/>
      <c r="F850" s="23"/>
      <c r="G850" s="23"/>
      <c r="H850" s="23"/>
      <c r="I850" s="23"/>
      <c r="J850" s="23"/>
      <c r="K850" s="21"/>
      <c r="L850" s="23"/>
      <c r="M850" s="23"/>
    </row>
    <row r="851" spans="1:13" ht="15.75" customHeight="1">
      <c r="A851" s="23"/>
      <c r="B851" s="23"/>
      <c r="C851" s="23"/>
      <c r="D851" s="24"/>
      <c r="E851" s="23"/>
      <c r="F851" s="23"/>
      <c r="G851" s="23"/>
      <c r="H851" s="23"/>
      <c r="I851" s="23"/>
      <c r="J851" s="23"/>
      <c r="K851" s="21"/>
      <c r="L851" s="23"/>
      <c r="M851" s="23"/>
    </row>
    <row r="852" spans="1:13" ht="15.75" customHeight="1">
      <c r="A852" s="23"/>
      <c r="B852" s="23"/>
      <c r="C852" s="23"/>
      <c r="D852" s="24"/>
      <c r="E852" s="23"/>
      <c r="F852" s="23"/>
      <c r="G852" s="23"/>
      <c r="H852" s="23"/>
      <c r="I852" s="23"/>
      <c r="J852" s="23"/>
      <c r="K852" s="21"/>
      <c r="L852" s="23"/>
      <c r="M852" s="23"/>
    </row>
    <row r="853" spans="1:13" ht="15.75" customHeight="1">
      <c r="A853" s="23"/>
      <c r="B853" s="23"/>
      <c r="C853" s="23"/>
      <c r="D853" s="24"/>
      <c r="E853" s="23"/>
      <c r="F853" s="23"/>
      <c r="G853" s="23"/>
      <c r="H853" s="23"/>
      <c r="I853" s="23"/>
      <c r="J853" s="23"/>
      <c r="K853" s="21"/>
      <c r="L853" s="23"/>
      <c r="M853" s="23"/>
    </row>
    <row r="854" spans="1:13" ht="15.75" customHeight="1">
      <c r="A854" s="23"/>
      <c r="B854" s="23"/>
      <c r="C854" s="23"/>
      <c r="D854" s="24"/>
      <c r="E854" s="23"/>
      <c r="F854" s="23"/>
      <c r="G854" s="23"/>
      <c r="H854" s="23"/>
      <c r="I854" s="23"/>
      <c r="J854" s="23"/>
      <c r="K854" s="21"/>
      <c r="L854" s="23"/>
      <c r="M854" s="23"/>
    </row>
    <row r="855" spans="1:13" ht="15.75" customHeight="1">
      <c r="A855" s="23"/>
      <c r="B855" s="23"/>
      <c r="C855" s="23"/>
      <c r="D855" s="24"/>
      <c r="E855" s="23"/>
      <c r="F855" s="23"/>
      <c r="G855" s="23"/>
      <c r="H855" s="23"/>
      <c r="I855" s="23"/>
      <c r="J855" s="23"/>
      <c r="K855" s="21"/>
      <c r="L855" s="23"/>
      <c r="M855" s="23"/>
    </row>
    <row r="856" spans="1:13" ht="15.75" customHeight="1">
      <c r="A856" s="23"/>
      <c r="B856" s="23"/>
      <c r="C856" s="23"/>
      <c r="D856" s="24"/>
      <c r="E856" s="23"/>
      <c r="F856" s="23"/>
      <c r="G856" s="23"/>
      <c r="H856" s="23"/>
      <c r="I856" s="23"/>
      <c r="J856" s="23"/>
      <c r="K856" s="21"/>
      <c r="L856" s="23"/>
      <c r="M856" s="23"/>
    </row>
    <row r="857" spans="1:13" ht="15.75" customHeight="1">
      <c r="A857" s="23"/>
      <c r="B857" s="23"/>
      <c r="C857" s="23"/>
      <c r="D857" s="24"/>
      <c r="E857" s="23"/>
      <c r="F857" s="23"/>
      <c r="G857" s="23"/>
      <c r="H857" s="23"/>
      <c r="I857" s="23"/>
      <c r="J857" s="23"/>
      <c r="K857" s="21"/>
      <c r="L857" s="23"/>
      <c r="M857" s="23"/>
    </row>
    <row r="858" spans="1:13" ht="15.75" customHeight="1">
      <c r="A858" s="23"/>
      <c r="B858" s="23"/>
      <c r="C858" s="23"/>
      <c r="D858" s="24"/>
      <c r="E858" s="23"/>
      <c r="F858" s="23"/>
      <c r="G858" s="23"/>
      <c r="H858" s="23"/>
      <c r="I858" s="23"/>
      <c r="J858" s="23"/>
      <c r="K858" s="21"/>
      <c r="L858" s="23"/>
      <c r="M858" s="23"/>
    </row>
    <row r="859" spans="1:13" ht="15.75" customHeight="1">
      <c r="A859" s="23"/>
      <c r="B859" s="23"/>
      <c r="C859" s="23"/>
      <c r="D859" s="24"/>
      <c r="E859" s="23"/>
      <c r="F859" s="23"/>
      <c r="G859" s="23"/>
      <c r="H859" s="23"/>
      <c r="I859" s="23"/>
      <c r="J859" s="23"/>
      <c r="K859" s="21"/>
      <c r="L859" s="23"/>
      <c r="M859" s="23"/>
    </row>
    <row r="860" spans="1:13" ht="15.75" customHeight="1">
      <c r="A860" s="23"/>
      <c r="B860" s="23"/>
      <c r="C860" s="23"/>
      <c r="D860" s="24"/>
      <c r="E860" s="23"/>
      <c r="F860" s="23"/>
      <c r="G860" s="23"/>
      <c r="H860" s="23"/>
      <c r="I860" s="23"/>
      <c r="J860" s="23"/>
      <c r="K860" s="21"/>
      <c r="L860" s="23"/>
      <c r="M860" s="23"/>
    </row>
    <row r="861" spans="1:13" ht="15.75" customHeight="1">
      <c r="A861" s="23"/>
      <c r="B861" s="23"/>
      <c r="C861" s="23"/>
      <c r="D861" s="24"/>
      <c r="E861" s="23"/>
      <c r="F861" s="23"/>
      <c r="G861" s="23"/>
      <c r="H861" s="23"/>
      <c r="I861" s="23"/>
      <c r="J861" s="23"/>
      <c r="K861" s="21"/>
      <c r="L861" s="23"/>
      <c r="M861" s="23"/>
    </row>
    <row r="862" spans="1:13" ht="15.75" customHeight="1">
      <c r="A862" s="23"/>
      <c r="B862" s="23"/>
      <c r="C862" s="23"/>
      <c r="D862" s="24"/>
      <c r="E862" s="23"/>
      <c r="F862" s="23"/>
      <c r="G862" s="23"/>
      <c r="H862" s="23"/>
      <c r="I862" s="23"/>
      <c r="J862" s="23"/>
      <c r="K862" s="21"/>
      <c r="L862" s="23"/>
      <c r="M862" s="23"/>
    </row>
    <row r="863" spans="1:13" ht="15.75" customHeight="1">
      <c r="A863" s="23"/>
      <c r="B863" s="23"/>
      <c r="C863" s="23"/>
      <c r="D863" s="24"/>
      <c r="E863" s="23"/>
      <c r="F863" s="23"/>
      <c r="G863" s="23"/>
      <c r="H863" s="23"/>
      <c r="I863" s="23"/>
      <c r="J863" s="23"/>
      <c r="K863" s="21"/>
      <c r="L863" s="23"/>
      <c r="M863" s="23"/>
    </row>
    <row r="864" spans="1:13" ht="15.75" customHeight="1">
      <c r="A864" s="23"/>
      <c r="B864" s="23"/>
      <c r="C864" s="23"/>
      <c r="D864" s="24"/>
      <c r="E864" s="23"/>
      <c r="F864" s="23"/>
      <c r="G864" s="23"/>
      <c r="H864" s="23"/>
      <c r="I864" s="23"/>
      <c r="J864" s="23"/>
      <c r="K864" s="21"/>
      <c r="L864" s="23"/>
      <c r="M864" s="23"/>
    </row>
    <row r="865" spans="1:13" ht="15.75" customHeight="1">
      <c r="A865" s="23"/>
      <c r="B865" s="23"/>
      <c r="C865" s="23"/>
      <c r="D865" s="24"/>
      <c r="E865" s="23"/>
      <c r="F865" s="23"/>
      <c r="G865" s="23"/>
      <c r="H865" s="23"/>
      <c r="I865" s="23"/>
      <c r="J865" s="23"/>
      <c r="K865" s="21"/>
      <c r="L865" s="23"/>
      <c r="M865" s="23"/>
    </row>
    <row r="866" spans="1:13" ht="15.75" customHeight="1">
      <c r="A866" s="23"/>
      <c r="B866" s="23"/>
      <c r="C866" s="23"/>
      <c r="D866" s="24"/>
      <c r="E866" s="23"/>
      <c r="F866" s="23"/>
      <c r="G866" s="23"/>
      <c r="H866" s="23"/>
      <c r="I866" s="23"/>
      <c r="J866" s="23"/>
      <c r="K866" s="21"/>
      <c r="L866" s="23"/>
      <c r="M866" s="23"/>
    </row>
    <row r="867" spans="1:13" ht="15.75" customHeight="1">
      <c r="A867" s="23"/>
      <c r="B867" s="23"/>
      <c r="C867" s="23"/>
      <c r="D867" s="24"/>
      <c r="E867" s="23"/>
      <c r="F867" s="23"/>
      <c r="G867" s="23"/>
      <c r="H867" s="23"/>
      <c r="I867" s="23"/>
      <c r="J867" s="23"/>
      <c r="K867" s="21"/>
      <c r="L867" s="23"/>
      <c r="M867" s="23"/>
    </row>
    <row r="868" spans="1:13" ht="15.75" customHeight="1">
      <c r="A868" s="23"/>
      <c r="B868" s="23"/>
      <c r="C868" s="23"/>
      <c r="D868" s="24"/>
      <c r="E868" s="23"/>
      <c r="F868" s="23"/>
      <c r="G868" s="23"/>
      <c r="H868" s="23"/>
      <c r="I868" s="23"/>
      <c r="J868" s="23"/>
      <c r="K868" s="21"/>
      <c r="L868" s="23"/>
      <c r="M868" s="23"/>
    </row>
    <row r="869" spans="1:13" ht="15.75" customHeight="1">
      <c r="A869" s="23"/>
      <c r="B869" s="23"/>
      <c r="C869" s="23"/>
      <c r="D869" s="24"/>
      <c r="E869" s="23"/>
      <c r="F869" s="23"/>
      <c r="G869" s="23"/>
      <c r="H869" s="23"/>
      <c r="I869" s="23"/>
      <c r="J869" s="23"/>
      <c r="K869" s="21"/>
      <c r="L869" s="23"/>
      <c r="M869" s="23"/>
    </row>
    <row r="870" spans="1:13" ht="15.75" customHeight="1">
      <c r="A870" s="23"/>
      <c r="B870" s="23"/>
      <c r="C870" s="23"/>
      <c r="D870" s="24"/>
      <c r="E870" s="23"/>
      <c r="F870" s="23"/>
      <c r="G870" s="23"/>
      <c r="H870" s="23"/>
      <c r="I870" s="23"/>
      <c r="J870" s="23"/>
      <c r="K870" s="21"/>
      <c r="L870" s="23"/>
      <c r="M870" s="23"/>
    </row>
    <row r="871" spans="1:13" ht="15.75" customHeight="1">
      <c r="A871" s="23"/>
      <c r="B871" s="23"/>
      <c r="C871" s="23"/>
      <c r="D871" s="24"/>
      <c r="E871" s="23"/>
      <c r="F871" s="23"/>
      <c r="G871" s="23"/>
      <c r="H871" s="23"/>
      <c r="I871" s="23"/>
      <c r="J871" s="23"/>
      <c r="K871" s="21"/>
      <c r="L871" s="23"/>
      <c r="M871" s="23"/>
    </row>
    <row r="872" spans="1:13" ht="15.75" customHeight="1">
      <c r="A872" s="23"/>
      <c r="B872" s="23"/>
      <c r="C872" s="23"/>
      <c r="D872" s="24"/>
      <c r="E872" s="23"/>
      <c r="F872" s="23"/>
      <c r="G872" s="23"/>
      <c r="H872" s="23"/>
      <c r="I872" s="23"/>
      <c r="J872" s="23"/>
      <c r="K872" s="21"/>
      <c r="L872" s="23"/>
      <c r="M872" s="23"/>
    </row>
    <row r="873" spans="1:13" ht="15.75" customHeight="1">
      <c r="A873" s="23"/>
      <c r="B873" s="23"/>
      <c r="C873" s="23"/>
      <c r="D873" s="24"/>
      <c r="E873" s="23"/>
      <c r="F873" s="23"/>
      <c r="G873" s="23"/>
      <c r="H873" s="23"/>
      <c r="I873" s="23"/>
      <c r="J873" s="23"/>
      <c r="K873" s="21"/>
      <c r="L873" s="23"/>
      <c r="M873" s="23"/>
    </row>
    <row r="874" spans="1:13" ht="15.75" customHeight="1">
      <c r="A874" s="23"/>
      <c r="B874" s="23"/>
      <c r="C874" s="23"/>
      <c r="D874" s="24"/>
      <c r="E874" s="23"/>
      <c r="F874" s="23"/>
      <c r="G874" s="23"/>
      <c r="H874" s="23"/>
      <c r="I874" s="23"/>
      <c r="J874" s="23"/>
      <c r="K874" s="21"/>
      <c r="L874" s="23"/>
      <c r="M874" s="23"/>
    </row>
    <row r="875" spans="1:13" ht="15.75" customHeight="1">
      <c r="A875" s="23"/>
      <c r="B875" s="23"/>
      <c r="C875" s="23"/>
      <c r="D875" s="24"/>
      <c r="E875" s="23"/>
      <c r="F875" s="23"/>
      <c r="G875" s="23"/>
      <c r="H875" s="23"/>
      <c r="I875" s="23"/>
      <c r="J875" s="23"/>
      <c r="K875" s="21"/>
      <c r="L875" s="23"/>
      <c r="M875" s="23"/>
    </row>
    <row r="876" spans="1:13" ht="15.75" customHeight="1">
      <c r="A876" s="23"/>
      <c r="B876" s="23"/>
      <c r="C876" s="23"/>
      <c r="D876" s="24"/>
      <c r="E876" s="23"/>
      <c r="F876" s="23"/>
      <c r="G876" s="23"/>
      <c r="H876" s="23"/>
      <c r="I876" s="23"/>
      <c r="J876" s="23"/>
      <c r="K876" s="21"/>
      <c r="L876" s="23"/>
      <c r="M876" s="23"/>
    </row>
    <row r="877" spans="1:13" ht="15.75" customHeight="1">
      <c r="A877" s="23"/>
      <c r="B877" s="23"/>
      <c r="C877" s="23"/>
      <c r="D877" s="24"/>
      <c r="E877" s="23"/>
      <c r="F877" s="23"/>
      <c r="G877" s="23"/>
      <c r="H877" s="23"/>
      <c r="I877" s="23"/>
      <c r="J877" s="23"/>
      <c r="K877" s="21"/>
      <c r="L877" s="23"/>
      <c r="M877" s="23"/>
    </row>
    <row r="878" spans="1:13" ht="15.75" customHeight="1">
      <c r="A878" s="23"/>
      <c r="B878" s="23"/>
      <c r="C878" s="23"/>
      <c r="D878" s="24"/>
      <c r="E878" s="23"/>
      <c r="F878" s="23"/>
      <c r="G878" s="23"/>
      <c r="H878" s="23"/>
      <c r="I878" s="23"/>
      <c r="J878" s="23"/>
      <c r="K878" s="21"/>
      <c r="L878" s="23"/>
      <c r="M878" s="23"/>
    </row>
    <row r="879" spans="1:13" ht="15.75" customHeight="1">
      <c r="A879" s="23"/>
      <c r="B879" s="23"/>
      <c r="C879" s="23"/>
      <c r="D879" s="24"/>
      <c r="E879" s="23"/>
      <c r="F879" s="23"/>
      <c r="G879" s="23"/>
      <c r="H879" s="23"/>
      <c r="I879" s="23"/>
      <c r="J879" s="23"/>
      <c r="K879" s="21"/>
      <c r="L879" s="23"/>
      <c r="M879" s="23"/>
    </row>
    <row r="880" spans="1:13" ht="15.75" customHeight="1">
      <c r="A880" s="23"/>
      <c r="B880" s="23"/>
      <c r="C880" s="23"/>
      <c r="D880" s="24"/>
      <c r="E880" s="23"/>
      <c r="F880" s="23"/>
      <c r="G880" s="23"/>
      <c r="H880" s="23"/>
      <c r="I880" s="23"/>
      <c r="J880" s="23"/>
      <c r="K880" s="21"/>
      <c r="L880" s="23"/>
      <c r="M880" s="23"/>
    </row>
    <row r="881" spans="1:13" ht="15.75" customHeight="1">
      <c r="A881" s="23"/>
      <c r="B881" s="23"/>
      <c r="C881" s="23"/>
      <c r="D881" s="24"/>
      <c r="E881" s="23"/>
      <c r="F881" s="23"/>
      <c r="G881" s="23"/>
      <c r="H881" s="23"/>
      <c r="I881" s="23"/>
      <c r="J881" s="23"/>
      <c r="K881" s="21"/>
      <c r="L881" s="23"/>
      <c r="M881" s="23"/>
    </row>
    <row r="882" spans="1:13" ht="15.75" customHeight="1">
      <c r="A882" s="23"/>
      <c r="B882" s="23"/>
      <c r="C882" s="23"/>
      <c r="D882" s="24"/>
      <c r="E882" s="23"/>
      <c r="F882" s="23"/>
      <c r="G882" s="23"/>
      <c r="H882" s="23"/>
      <c r="I882" s="23"/>
      <c r="J882" s="23"/>
      <c r="K882" s="21"/>
      <c r="L882" s="23"/>
      <c r="M882" s="23"/>
    </row>
    <row r="883" spans="1:13" ht="15.75" customHeight="1">
      <c r="A883" s="23"/>
      <c r="B883" s="23"/>
      <c r="C883" s="23"/>
      <c r="D883" s="24"/>
      <c r="E883" s="23"/>
      <c r="F883" s="23"/>
      <c r="G883" s="23"/>
      <c r="H883" s="23"/>
      <c r="I883" s="23"/>
      <c r="J883" s="23"/>
      <c r="K883" s="21"/>
      <c r="L883" s="23"/>
      <c r="M883" s="23"/>
    </row>
    <row r="884" spans="1:13" ht="15.75" customHeight="1">
      <c r="A884" s="23"/>
      <c r="B884" s="23"/>
      <c r="C884" s="23"/>
      <c r="D884" s="24"/>
      <c r="E884" s="23"/>
      <c r="F884" s="23"/>
      <c r="G884" s="23"/>
      <c r="H884" s="23"/>
      <c r="I884" s="23"/>
      <c r="J884" s="23"/>
      <c r="K884" s="21"/>
      <c r="L884" s="23"/>
      <c r="M884" s="23"/>
    </row>
    <row r="885" spans="1:13" ht="15.75" customHeight="1">
      <c r="A885" s="23"/>
      <c r="B885" s="23"/>
      <c r="C885" s="23"/>
      <c r="D885" s="24"/>
      <c r="E885" s="23"/>
      <c r="F885" s="23"/>
      <c r="G885" s="23"/>
      <c r="H885" s="23"/>
      <c r="I885" s="23"/>
      <c r="J885" s="23"/>
      <c r="K885" s="21"/>
      <c r="L885" s="23"/>
      <c r="M885" s="23"/>
    </row>
    <row r="886" spans="1:13" ht="15.75" customHeight="1">
      <c r="A886" s="23"/>
      <c r="B886" s="23"/>
      <c r="C886" s="23"/>
      <c r="D886" s="24"/>
      <c r="E886" s="23"/>
      <c r="F886" s="23"/>
      <c r="G886" s="23"/>
      <c r="H886" s="23"/>
      <c r="I886" s="23"/>
      <c r="J886" s="23"/>
      <c r="K886" s="21"/>
      <c r="L886" s="23"/>
      <c r="M886" s="23"/>
    </row>
    <row r="887" spans="1:13" ht="15.75" customHeight="1">
      <c r="A887" s="23"/>
      <c r="B887" s="23"/>
      <c r="C887" s="23"/>
      <c r="D887" s="24"/>
      <c r="E887" s="23"/>
      <c r="F887" s="23"/>
      <c r="G887" s="23"/>
      <c r="H887" s="23"/>
      <c r="I887" s="23"/>
      <c r="J887" s="23"/>
      <c r="K887" s="21"/>
      <c r="L887" s="23"/>
      <c r="M887" s="23"/>
    </row>
    <row r="888" spans="1:13" ht="15.75" customHeight="1">
      <c r="A888" s="23"/>
      <c r="B888" s="23"/>
      <c r="C888" s="23"/>
      <c r="D888" s="24"/>
      <c r="E888" s="23"/>
      <c r="F888" s="23"/>
      <c r="G888" s="23"/>
      <c r="H888" s="23"/>
      <c r="I888" s="23"/>
      <c r="J888" s="23"/>
      <c r="K888" s="21"/>
      <c r="L888" s="23"/>
      <c r="M888" s="23"/>
    </row>
    <row r="889" spans="1:13" ht="15.75" customHeight="1">
      <c r="A889" s="23"/>
      <c r="B889" s="23"/>
      <c r="C889" s="23"/>
      <c r="D889" s="24"/>
      <c r="E889" s="23"/>
      <c r="F889" s="23"/>
      <c r="G889" s="23"/>
      <c r="H889" s="23"/>
      <c r="I889" s="23"/>
      <c r="J889" s="23"/>
      <c r="K889" s="21"/>
      <c r="L889" s="23"/>
      <c r="M889" s="23"/>
    </row>
    <row r="890" spans="1:13" ht="15.75" customHeight="1">
      <c r="A890" s="23"/>
      <c r="B890" s="23"/>
      <c r="C890" s="23"/>
      <c r="D890" s="24"/>
      <c r="E890" s="23"/>
      <c r="F890" s="23"/>
      <c r="G890" s="23"/>
      <c r="H890" s="23"/>
      <c r="I890" s="23"/>
      <c r="J890" s="23"/>
      <c r="K890" s="21"/>
      <c r="L890" s="23"/>
      <c r="M890" s="23"/>
    </row>
    <row r="891" spans="1:13" ht="15.75" customHeight="1">
      <c r="A891" s="23"/>
      <c r="B891" s="23"/>
      <c r="C891" s="23"/>
      <c r="D891" s="24"/>
      <c r="E891" s="23"/>
      <c r="F891" s="23"/>
      <c r="G891" s="23"/>
      <c r="H891" s="23"/>
      <c r="I891" s="23"/>
      <c r="J891" s="23"/>
      <c r="K891" s="21"/>
      <c r="L891" s="23"/>
      <c r="M891" s="23"/>
    </row>
    <row r="892" spans="1:13" ht="15.75" customHeight="1">
      <c r="A892" s="23"/>
      <c r="B892" s="23"/>
      <c r="C892" s="23"/>
      <c r="D892" s="24"/>
      <c r="E892" s="23"/>
      <c r="F892" s="23"/>
      <c r="G892" s="23"/>
      <c r="H892" s="23"/>
      <c r="I892" s="23"/>
      <c r="J892" s="23"/>
      <c r="K892" s="21"/>
      <c r="L892" s="23"/>
      <c r="M892" s="23"/>
    </row>
    <row r="893" spans="1:13" ht="15.75" customHeight="1">
      <c r="A893" s="23"/>
      <c r="B893" s="23"/>
      <c r="C893" s="23"/>
      <c r="D893" s="24"/>
      <c r="E893" s="23"/>
      <c r="F893" s="23"/>
      <c r="G893" s="23"/>
      <c r="H893" s="23"/>
      <c r="I893" s="23"/>
      <c r="J893" s="23"/>
      <c r="K893" s="21"/>
      <c r="L893" s="23"/>
      <c r="M893" s="23"/>
    </row>
    <row r="894" spans="1:13" ht="15.75" customHeight="1">
      <c r="A894" s="23"/>
      <c r="B894" s="23"/>
      <c r="C894" s="23"/>
      <c r="D894" s="24"/>
      <c r="E894" s="23"/>
      <c r="F894" s="23"/>
      <c r="G894" s="23"/>
      <c r="H894" s="23"/>
      <c r="I894" s="23"/>
      <c r="J894" s="23"/>
      <c r="K894" s="21"/>
      <c r="L894" s="23"/>
      <c r="M894" s="23"/>
    </row>
    <row r="895" spans="1:13" ht="15.75" customHeight="1">
      <c r="A895" s="23"/>
      <c r="B895" s="23"/>
      <c r="C895" s="23"/>
      <c r="D895" s="24"/>
      <c r="E895" s="23"/>
      <c r="F895" s="23"/>
      <c r="G895" s="23"/>
      <c r="H895" s="23"/>
      <c r="I895" s="23"/>
      <c r="J895" s="23"/>
      <c r="K895" s="21"/>
      <c r="L895" s="23"/>
      <c r="M895" s="23"/>
    </row>
    <row r="896" spans="1:13" ht="15.75" customHeight="1">
      <c r="A896" s="23"/>
      <c r="B896" s="23"/>
      <c r="C896" s="23"/>
      <c r="D896" s="24"/>
      <c r="E896" s="23"/>
      <c r="F896" s="23"/>
      <c r="G896" s="23"/>
      <c r="H896" s="23"/>
      <c r="I896" s="23"/>
      <c r="J896" s="23"/>
      <c r="K896" s="21"/>
      <c r="L896" s="23"/>
      <c r="M896" s="23"/>
    </row>
    <row r="897" spans="1:13" ht="15.75" customHeight="1">
      <c r="A897" s="23"/>
      <c r="B897" s="23"/>
      <c r="C897" s="23"/>
      <c r="D897" s="24"/>
      <c r="E897" s="23"/>
      <c r="F897" s="23"/>
      <c r="G897" s="23"/>
      <c r="H897" s="23"/>
      <c r="I897" s="23"/>
      <c r="J897" s="23"/>
      <c r="K897" s="21"/>
      <c r="L897" s="23"/>
      <c r="M897" s="23"/>
    </row>
    <row r="898" spans="1:13" ht="15.75" customHeight="1">
      <c r="A898" s="23"/>
      <c r="B898" s="23"/>
      <c r="C898" s="23"/>
      <c r="D898" s="24"/>
      <c r="E898" s="23"/>
      <c r="F898" s="23"/>
      <c r="G898" s="23"/>
      <c r="H898" s="23"/>
      <c r="I898" s="23"/>
      <c r="J898" s="23"/>
      <c r="K898" s="21"/>
      <c r="L898" s="23"/>
      <c r="M898" s="23"/>
    </row>
    <row r="899" spans="1:13" ht="15.75" customHeight="1">
      <c r="A899" s="23"/>
      <c r="B899" s="23"/>
      <c r="C899" s="23"/>
      <c r="D899" s="24"/>
      <c r="E899" s="23"/>
      <c r="F899" s="23"/>
      <c r="G899" s="23"/>
      <c r="H899" s="23"/>
      <c r="I899" s="23"/>
      <c r="J899" s="23"/>
      <c r="K899" s="21"/>
      <c r="L899" s="23"/>
      <c r="M899" s="23"/>
    </row>
    <row r="900" spans="1:13" ht="15.75" customHeight="1">
      <c r="A900" s="23"/>
      <c r="B900" s="23"/>
      <c r="C900" s="23"/>
      <c r="D900" s="24"/>
      <c r="E900" s="23"/>
      <c r="F900" s="23"/>
      <c r="G900" s="23"/>
      <c r="H900" s="23"/>
      <c r="I900" s="23"/>
      <c r="J900" s="23"/>
      <c r="K900" s="21"/>
      <c r="L900" s="23"/>
      <c r="M900" s="23"/>
    </row>
    <row r="901" spans="1:13" ht="15.75" customHeight="1">
      <c r="A901" s="23"/>
      <c r="B901" s="23"/>
      <c r="C901" s="23"/>
      <c r="D901" s="24"/>
      <c r="E901" s="23"/>
      <c r="F901" s="23"/>
      <c r="G901" s="23"/>
      <c r="H901" s="23"/>
      <c r="I901" s="23"/>
      <c r="J901" s="23"/>
      <c r="K901" s="21"/>
      <c r="L901" s="23"/>
      <c r="M901" s="23"/>
    </row>
    <row r="902" spans="1:13" ht="15.75" customHeight="1">
      <c r="A902" s="23"/>
      <c r="B902" s="23"/>
      <c r="C902" s="23"/>
      <c r="D902" s="24"/>
      <c r="E902" s="23"/>
      <c r="F902" s="23"/>
      <c r="G902" s="23"/>
      <c r="H902" s="23"/>
      <c r="I902" s="23"/>
      <c r="J902" s="23"/>
      <c r="K902" s="21"/>
      <c r="L902" s="23"/>
      <c r="M902" s="23"/>
    </row>
    <row r="903" spans="1:13" ht="15.75" customHeight="1">
      <c r="A903" s="23"/>
      <c r="B903" s="23"/>
      <c r="C903" s="23"/>
      <c r="D903" s="24"/>
      <c r="E903" s="23"/>
      <c r="F903" s="23"/>
      <c r="G903" s="23"/>
      <c r="H903" s="23"/>
      <c r="I903" s="23"/>
      <c r="J903" s="23"/>
      <c r="K903" s="21"/>
      <c r="L903" s="23"/>
      <c r="M903" s="23"/>
    </row>
    <row r="904" spans="1:13" ht="15.75" customHeight="1">
      <c r="A904" s="23"/>
      <c r="B904" s="23"/>
      <c r="C904" s="23"/>
      <c r="D904" s="24"/>
      <c r="E904" s="23"/>
      <c r="F904" s="23"/>
      <c r="G904" s="23"/>
      <c r="H904" s="23"/>
      <c r="I904" s="23"/>
      <c r="J904" s="23"/>
      <c r="K904" s="21"/>
      <c r="L904" s="23"/>
      <c r="M904" s="23"/>
    </row>
    <row r="905" spans="1:13" ht="15.75" customHeight="1">
      <c r="A905" s="23"/>
      <c r="B905" s="23"/>
      <c r="C905" s="23"/>
      <c r="D905" s="24"/>
      <c r="E905" s="23"/>
      <c r="F905" s="23"/>
      <c r="G905" s="23"/>
      <c r="H905" s="23"/>
      <c r="I905" s="23"/>
      <c r="J905" s="23"/>
      <c r="K905" s="21"/>
      <c r="L905" s="23"/>
      <c r="M905" s="23"/>
    </row>
    <row r="906" spans="1:13" ht="15.75" customHeight="1">
      <c r="A906" s="23"/>
      <c r="B906" s="23"/>
      <c r="C906" s="23"/>
      <c r="D906" s="24"/>
      <c r="E906" s="23"/>
      <c r="F906" s="23"/>
      <c r="G906" s="23"/>
      <c r="H906" s="23"/>
      <c r="I906" s="23"/>
      <c r="J906" s="23"/>
      <c r="K906" s="21"/>
      <c r="L906" s="23"/>
      <c r="M906" s="23"/>
    </row>
    <row r="907" spans="1:13" ht="15.75" customHeight="1">
      <c r="A907" s="23"/>
      <c r="B907" s="23"/>
      <c r="C907" s="23"/>
      <c r="D907" s="24"/>
      <c r="E907" s="23"/>
      <c r="F907" s="23"/>
      <c r="G907" s="23"/>
      <c r="H907" s="23"/>
      <c r="I907" s="23"/>
      <c r="J907" s="23"/>
      <c r="K907" s="21"/>
      <c r="L907" s="23"/>
      <c r="M907" s="23"/>
    </row>
    <row r="908" spans="1:13" ht="15.75" customHeight="1">
      <c r="A908" s="23"/>
      <c r="B908" s="23"/>
      <c r="C908" s="23"/>
      <c r="D908" s="24"/>
      <c r="E908" s="23"/>
      <c r="F908" s="23"/>
      <c r="G908" s="23"/>
      <c r="H908" s="23"/>
      <c r="I908" s="23"/>
      <c r="J908" s="23"/>
      <c r="K908" s="21"/>
      <c r="L908" s="23"/>
      <c r="M908" s="23"/>
    </row>
    <row r="909" spans="1:13" ht="15.75" customHeight="1">
      <c r="A909" s="23"/>
      <c r="B909" s="23"/>
      <c r="C909" s="23"/>
      <c r="D909" s="24"/>
      <c r="E909" s="23"/>
      <c r="F909" s="23"/>
      <c r="G909" s="23"/>
      <c r="H909" s="23"/>
      <c r="I909" s="23"/>
      <c r="J909" s="23"/>
      <c r="K909" s="21"/>
      <c r="L909" s="23"/>
      <c r="M909" s="23"/>
    </row>
    <row r="910" spans="1:13" ht="15.75" customHeight="1">
      <c r="A910" s="23"/>
      <c r="B910" s="23"/>
      <c r="C910" s="23"/>
      <c r="D910" s="24"/>
      <c r="E910" s="23"/>
      <c r="F910" s="23"/>
      <c r="G910" s="23"/>
      <c r="H910" s="23"/>
      <c r="I910" s="23"/>
      <c r="J910" s="23"/>
      <c r="K910" s="21"/>
      <c r="L910" s="23"/>
      <c r="M910" s="23"/>
    </row>
    <row r="911" spans="1:13" ht="15.75" customHeight="1">
      <c r="A911" s="23"/>
      <c r="B911" s="23"/>
      <c r="C911" s="23"/>
      <c r="D911" s="24"/>
      <c r="E911" s="23"/>
      <c r="F911" s="23"/>
      <c r="G911" s="23"/>
      <c r="H911" s="23"/>
      <c r="I911" s="23"/>
      <c r="J911" s="23"/>
      <c r="K911" s="21"/>
      <c r="L911" s="23"/>
      <c r="M911" s="23"/>
    </row>
    <row r="912" spans="1:13" ht="15.75" customHeight="1">
      <c r="A912" s="23"/>
      <c r="B912" s="23"/>
      <c r="C912" s="23"/>
      <c r="D912" s="24"/>
      <c r="E912" s="23"/>
      <c r="F912" s="23"/>
      <c r="G912" s="23"/>
      <c r="H912" s="23"/>
      <c r="I912" s="23"/>
      <c r="J912" s="23"/>
      <c r="K912" s="21"/>
      <c r="L912" s="23"/>
      <c r="M912" s="23"/>
    </row>
    <row r="913" spans="1:13" ht="15.75" customHeight="1">
      <c r="A913" s="23"/>
      <c r="B913" s="23"/>
      <c r="C913" s="23"/>
      <c r="D913" s="24"/>
      <c r="E913" s="23"/>
      <c r="F913" s="23"/>
      <c r="G913" s="23"/>
      <c r="H913" s="23"/>
      <c r="I913" s="23"/>
      <c r="J913" s="23"/>
      <c r="K913" s="21"/>
      <c r="L913" s="23"/>
      <c r="M913" s="23"/>
    </row>
    <row r="914" spans="1:13" ht="15.75" customHeight="1">
      <c r="A914" s="23"/>
      <c r="B914" s="23"/>
      <c r="C914" s="23"/>
      <c r="D914" s="24"/>
      <c r="E914" s="23"/>
      <c r="F914" s="23"/>
      <c r="G914" s="23"/>
      <c r="H914" s="23"/>
      <c r="I914" s="23"/>
      <c r="J914" s="23"/>
      <c r="K914" s="21"/>
      <c r="L914" s="23"/>
      <c r="M914" s="23"/>
    </row>
    <row r="915" spans="1:13" ht="15.75" customHeight="1">
      <c r="A915" s="23"/>
      <c r="B915" s="23"/>
      <c r="C915" s="23"/>
      <c r="D915" s="24"/>
      <c r="E915" s="23"/>
      <c r="F915" s="23"/>
      <c r="G915" s="23"/>
      <c r="H915" s="23"/>
      <c r="I915" s="23"/>
      <c r="J915" s="23"/>
      <c r="K915" s="21"/>
      <c r="L915" s="23"/>
      <c r="M915" s="23"/>
    </row>
    <row r="916" spans="1:13" ht="15.75" customHeight="1">
      <c r="A916" s="23"/>
      <c r="B916" s="23"/>
      <c r="C916" s="23"/>
      <c r="D916" s="24"/>
      <c r="E916" s="23"/>
      <c r="F916" s="23"/>
      <c r="G916" s="23"/>
      <c r="H916" s="23"/>
      <c r="I916" s="23"/>
      <c r="J916" s="23"/>
      <c r="K916" s="21"/>
      <c r="L916" s="23"/>
      <c r="M916" s="23"/>
    </row>
    <row r="917" spans="1:13" ht="15.75" customHeight="1">
      <c r="A917" s="23"/>
      <c r="B917" s="23"/>
      <c r="C917" s="23"/>
      <c r="D917" s="24"/>
      <c r="E917" s="23"/>
      <c r="F917" s="23"/>
      <c r="G917" s="23"/>
      <c r="H917" s="23"/>
      <c r="I917" s="23"/>
      <c r="J917" s="23"/>
      <c r="K917" s="21"/>
      <c r="L917" s="23"/>
      <c r="M917" s="23"/>
    </row>
    <row r="918" spans="1:13" ht="15.75" customHeight="1">
      <c r="A918" s="23"/>
      <c r="B918" s="23"/>
      <c r="C918" s="23"/>
      <c r="D918" s="24"/>
      <c r="E918" s="23"/>
      <c r="F918" s="23"/>
      <c r="G918" s="23"/>
      <c r="H918" s="23"/>
      <c r="I918" s="23"/>
      <c r="J918" s="23"/>
      <c r="K918" s="21"/>
      <c r="L918" s="23"/>
      <c r="M918" s="23"/>
    </row>
    <row r="919" spans="1:13" ht="15.75" customHeight="1">
      <c r="A919" s="23"/>
      <c r="B919" s="23"/>
      <c r="C919" s="23"/>
      <c r="D919" s="24"/>
      <c r="E919" s="23"/>
      <c r="F919" s="23"/>
      <c r="G919" s="23"/>
      <c r="H919" s="23"/>
      <c r="I919" s="23"/>
      <c r="J919" s="23"/>
      <c r="K919" s="21"/>
      <c r="L919" s="23"/>
      <c r="M919" s="23"/>
    </row>
    <row r="920" spans="1:13" ht="15.75" customHeight="1">
      <c r="A920" s="23"/>
      <c r="B920" s="23"/>
      <c r="C920" s="23"/>
      <c r="D920" s="24"/>
      <c r="E920" s="23"/>
      <c r="F920" s="23"/>
      <c r="G920" s="23"/>
      <c r="H920" s="23"/>
      <c r="I920" s="23"/>
      <c r="J920" s="23"/>
      <c r="K920" s="21"/>
      <c r="L920" s="23"/>
      <c r="M920" s="23"/>
    </row>
    <row r="921" spans="1:13" ht="15.75" customHeight="1">
      <c r="A921" s="23"/>
      <c r="B921" s="23"/>
      <c r="C921" s="23"/>
      <c r="D921" s="24"/>
      <c r="E921" s="23"/>
      <c r="F921" s="23"/>
      <c r="G921" s="23"/>
      <c r="H921" s="23"/>
      <c r="I921" s="23"/>
      <c r="J921" s="23"/>
      <c r="K921" s="21"/>
      <c r="L921" s="23"/>
      <c r="M921" s="23"/>
    </row>
    <row r="922" spans="1:13" ht="15.75" customHeight="1">
      <c r="A922" s="23"/>
      <c r="B922" s="23"/>
      <c r="C922" s="23"/>
      <c r="D922" s="24"/>
      <c r="E922" s="23"/>
      <c r="F922" s="23"/>
      <c r="G922" s="23"/>
      <c r="H922" s="23"/>
      <c r="I922" s="23"/>
      <c r="J922" s="23"/>
      <c r="K922" s="21"/>
      <c r="L922" s="23"/>
      <c r="M922" s="23"/>
    </row>
    <row r="923" spans="1:13" ht="15.75" customHeight="1">
      <c r="A923" s="23"/>
      <c r="B923" s="23"/>
      <c r="C923" s="23"/>
      <c r="D923" s="24"/>
      <c r="E923" s="23"/>
      <c r="F923" s="23"/>
      <c r="G923" s="23"/>
      <c r="H923" s="23"/>
      <c r="I923" s="23"/>
      <c r="J923" s="23"/>
      <c r="K923" s="21"/>
      <c r="L923" s="23"/>
      <c r="M923" s="23"/>
    </row>
    <row r="924" spans="1:13" ht="15.75" customHeight="1">
      <c r="A924" s="23"/>
      <c r="B924" s="23"/>
      <c r="C924" s="23"/>
      <c r="D924" s="24"/>
      <c r="E924" s="23"/>
      <c r="F924" s="23"/>
      <c r="G924" s="23"/>
      <c r="H924" s="23"/>
      <c r="I924" s="23"/>
      <c r="J924" s="23"/>
      <c r="K924" s="21"/>
      <c r="L924" s="23"/>
      <c r="M924" s="23"/>
    </row>
    <row r="925" spans="1:13" ht="15.75" customHeight="1">
      <c r="A925" s="23"/>
      <c r="B925" s="23"/>
      <c r="C925" s="23"/>
      <c r="D925" s="24"/>
      <c r="E925" s="23"/>
      <c r="F925" s="23"/>
      <c r="G925" s="23"/>
      <c r="H925" s="23"/>
      <c r="I925" s="23"/>
      <c r="J925" s="23"/>
      <c r="K925" s="21"/>
      <c r="L925" s="23"/>
      <c r="M925" s="23"/>
    </row>
    <row r="926" spans="1:13" ht="15.75" customHeight="1">
      <c r="A926" s="23"/>
      <c r="B926" s="23"/>
      <c r="C926" s="23"/>
      <c r="D926" s="24"/>
      <c r="E926" s="23"/>
      <c r="F926" s="23"/>
      <c r="G926" s="23"/>
      <c r="H926" s="23"/>
      <c r="I926" s="23"/>
      <c r="J926" s="23"/>
      <c r="K926" s="21"/>
      <c r="L926" s="23"/>
      <c r="M926" s="23"/>
    </row>
    <row r="927" spans="1:13" ht="15.75" customHeight="1">
      <c r="A927" s="23"/>
      <c r="B927" s="23"/>
      <c r="C927" s="23"/>
      <c r="D927" s="24"/>
      <c r="E927" s="23"/>
      <c r="F927" s="23"/>
      <c r="G927" s="23"/>
      <c r="H927" s="23"/>
      <c r="I927" s="23"/>
      <c r="J927" s="23"/>
      <c r="K927" s="21"/>
      <c r="L927" s="23"/>
      <c r="M927" s="23"/>
    </row>
    <row r="928" spans="1:13" ht="15.75" customHeight="1">
      <c r="A928" s="23"/>
      <c r="B928" s="23"/>
      <c r="C928" s="23"/>
      <c r="D928" s="24"/>
      <c r="E928" s="23"/>
      <c r="F928" s="23"/>
      <c r="G928" s="23"/>
      <c r="H928" s="23"/>
      <c r="I928" s="23"/>
      <c r="J928" s="23"/>
      <c r="K928" s="21"/>
      <c r="L928" s="23"/>
      <c r="M928" s="23"/>
    </row>
    <row r="929" spans="1:13" ht="15.75" customHeight="1">
      <c r="A929" s="23"/>
      <c r="B929" s="23"/>
      <c r="C929" s="23"/>
      <c r="D929" s="24"/>
      <c r="E929" s="23"/>
      <c r="F929" s="23"/>
      <c r="G929" s="23"/>
      <c r="H929" s="23"/>
      <c r="I929" s="23"/>
      <c r="J929" s="23"/>
      <c r="K929" s="21"/>
      <c r="L929" s="23"/>
      <c r="M929" s="23"/>
    </row>
    <row r="930" spans="1:13" ht="15.75" customHeight="1">
      <c r="A930" s="23"/>
      <c r="B930" s="23"/>
      <c r="C930" s="23"/>
      <c r="D930" s="24"/>
      <c r="E930" s="23"/>
      <c r="F930" s="23"/>
      <c r="G930" s="23"/>
      <c r="H930" s="23"/>
      <c r="I930" s="23"/>
      <c r="J930" s="23"/>
      <c r="K930" s="21"/>
      <c r="L930" s="23"/>
      <c r="M930" s="23"/>
    </row>
    <row r="931" spans="1:13" ht="15.75" customHeight="1">
      <c r="A931" s="23"/>
      <c r="B931" s="23"/>
      <c r="C931" s="23"/>
      <c r="D931" s="24"/>
      <c r="E931" s="23"/>
      <c r="F931" s="23"/>
      <c r="G931" s="23"/>
      <c r="H931" s="23"/>
      <c r="I931" s="23"/>
      <c r="J931" s="23"/>
      <c r="K931" s="21"/>
      <c r="L931" s="23"/>
      <c r="M931" s="23"/>
    </row>
    <row r="932" spans="1:13" ht="15.75" customHeight="1">
      <c r="A932" s="23"/>
      <c r="B932" s="23"/>
      <c r="C932" s="23"/>
      <c r="D932" s="24"/>
      <c r="E932" s="23"/>
      <c r="F932" s="23"/>
      <c r="G932" s="23"/>
      <c r="H932" s="23"/>
      <c r="I932" s="23"/>
      <c r="J932" s="23"/>
      <c r="K932" s="21"/>
      <c r="L932" s="23"/>
      <c r="M932" s="23"/>
    </row>
    <row r="933" spans="1:13" ht="15.75" customHeight="1">
      <c r="A933" s="23"/>
      <c r="B933" s="23"/>
      <c r="C933" s="23"/>
      <c r="D933" s="24"/>
      <c r="E933" s="23"/>
      <c r="F933" s="23"/>
      <c r="G933" s="23"/>
      <c r="H933" s="23"/>
      <c r="I933" s="23"/>
      <c r="J933" s="23"/>
      <c r="K933" s="21"/>
      <c r="L933" s="23"/>
      <c r="M933" s="23"/>
    </row>
    <row r="934" spans="1:13" ht="15.75" customHeight="1">
      <c r="A934" s="23"/>
      <c r="B934" s="23"/>
      <c r="C934" s="23"/>
      <c r="D934" s="24"/>
      <c r="E934" s="23"/>
      <c r="F934" s="23"/>
      <c r="G934" s="23"/>
      <c r="H934" s="23"/>
      <c r="I934" s="23"/>
      <c r="J934" s="23"/>
      <c r="K934" s="21"/>
      <c r="L934" s="23"/>
      <c r="M934" s="23"/>
    </row>
    <row r="935" spans="1:13" ht="15.75" customHeight="1">
      <c r="A935" s="23"/>
      <c r="B935" s="23"/>
      <c r="C935" s="23"/>
      <c r="D935" s="24"/>
      <c r="E935" s="23"/>
      <c r="F935" s="23"/>
      <c r="G935" s="23"/>
      <c r="H935" s="23"/>
      <c r="I935" s="23"/>
      <c r="J935" s="23"/>
      <c r="K935" s="21"/>
      <c r="L935" s="23"/>
      <c r="M935" s="23"/>
    </row>
    <row r="936" spans="1:13" ht="15.75" customHeight="1">
      <c r="A936" s="23"/>
      <c r="B936" s="23"/>
      <c r="C936" s="23"/>
      <c r="D936" s="24"/>
      <c r="E936" s="23"/>
      <c r="F936" s="23"/>
      <c r="G936" s="23"/>
      <c r="H936" s="23"/>
      <c r="I936" s="23"/>
      <c r="J936" s="23"/>
      <c r="K936" s="21"/>
      <c r="L936" s="23"/>
      <c r="M936" s="23"/>
    </row>
    <row r="937" spans="1:13" ht="15.75" customHeight="1">
      <c r="A937" s="23"/>
      <c r="B937" s="23"/>
      <c r="C937" s="23"/>
      <c r="D937" s="24"/>
      <c r="E937" s="23"/>
      <c r="F937" s="23"/>
      <c r="G937" s="23"/>
      <c r="H937" s="23"/>
      <c r="I937" s="23"/>
      <c r="J937" s="23"/>
      <c r="K937" s="21"/>
      <c r="L937" s="23"/>
      <c r="M937" s="23"/>
    </row>
    <row r="938" spans="1:13" ht="15.75" customHeight="1">
      <c r="A938" s="23"/>
      <c r="B938" s="23"/>
      <c r="C938" s="23"/>
      <c r="D938" s="24"/>
      <c r="E938" s="23"/>
      <c r="F938" s="23"/>
      <c r="G938" s="23"/>
      <c r="H938" s="23"/>
      <c r="I938" s="23"/>
      <c r="J938" s="23"/>
      <c r="K938" s="21"/>
      <c r="L938" s="23"/>
      <c r="M938" s="23"/>
    </row>
    <row r="939" spans="1:13" ht="15.75" customHeight="1">
      <c r="A939" s="23"/>
      <c r="B939" s="23"/>
      <c r="C939" s="23"/>
      <c r="D939" s="24"/>
      <c r="E939" s="23"/>
      <c r="F939" s="23"/>
      <c r="G939" s="23"/>
      <c r="H939" s="23"/>
      <c r="I939" s="23"/>
      <c r="J939" s="23"/>
      <c r="K939" s="21"/>
      <c r="L939" s="23"/>
      <c r="M939" s="23"/>
    </row>
    <row r="940" spans="1:13" ht="15.75" customHeight="1">
      <c r="A940" s="23"/>
      <c r="B940" s="23"/>
      <c r="C940" s="23"/>
      <c r="D940" s="24"/>
      <c r="E940" s="23"/>
      <c r="F940" s="23"/>
      <c r="G940" s="23"/>
      <c r="H940" s="23"/>
      <c r="I940" s="23"/>
      <c r="J940" s="23"/>
      <c r="K940" s="21"/>
      <c r="L940" s="23"/>
      <c r="M940" s="23"/>
    </row>
    <row r="941" spans="1:13" ht="15.75" customHeight="1">
      <c r="A941" s="23"/>
      <c r="B941" s="23"/>
      <c r="C941" s="23"/>
      <c r="D941" s="24"/>
      <c r="E941" s="23"/>
      <c r="F941" s="23"/>
      <c r="G941" s="23"/>
      <c r="H941" s="23"/>
      <c r="I941" s="23"/>
      <c r="J941" s="23"/>
      <c r="K941" s="21"/>
      <c r="L941" s="23"/>
      <c r="M941" s="23"/>
    </row>
    <row r="942" spans="1:13" ht="15.75" customHeight="1">
      <c r="A942" s="23"/>
      <c r="B942" s="23"/>
      <c r="C942" s="23"/>
      <c r="D942" s="24"/>
      <c r="E942" s="23"/>
      <c r="F942" s="23"/>
      <c r="G942" s="23"/>
      <c r="H942" s="23"/>
      <c r="I942" s="23"/>
      <c r="J942" s="23"/>
      <c r="K942" s="21"/>
      <c r="L942" s="23"/>
      <c r="M942" s="23"/>
    </row>
    <row r="943" spans="1:13" ht="15.75" customHeight="1">
      <c r="A943" s="23"/>
      <c r="B943" s="23"/>
      <c r="C943" s="23"/>
      <c r="D943" s="24"/>
      <c r="E943" s="23"/>
      <c r="F943" s="23"/>
      <c r="G943" s="23"/>
      <c r="H943" s="23"/>
      <c r="I943" s="23"/>
      <c r="J943" s="23"/>
      <c r="K943" s="21"/>
      <c r="L943" s="23"/>
      <c r="M943" s="23"/>
    </row>
    <row r="944" spans="1:13" ht="15.75" customHeight="1">
      <c r="A944" s="23"/>
      <c r="B944" s="23"/>
      <c r="C944" s="23"/>
      <c r="D944" s="24"/>
      <c r="E944" s="23"/>
      <c r="F944" s="23"/>
      <c r="G944" s="23"/>
      <c r="H944" s="23"/>
      <c r="I944" s="23"/>
      <c r="J944" s="23"/>
      <c r="K944" s="21"/>
      <c r="L944" s="23"/>
      <c r="M944" s="23"/>
    </row>
    <row r="945" spans="1:13" ht="15.75" customHeight="1">
      <c r="A945" s="23"/>
      <c r="B945" s="23"/>
      <c r="C945" s="23"/>
      <c r="D945" s="24"/>
      <c r="E945" s="23"/>
      <c r="F945" s="23"/>
      <c r="G945" s="23"/>
      <c r="H945" s="23"/>
      <c r="I945" s="23"/>
      <c r="J945" s="23"/>
      <c r="K945" s="21"/>
      <c r="L945" s="23"/>
      <c r="M945" s="23"/>
    </row>
    <row r="946" spans="1:13" ht="15.75" customHeight="1">
      <c r="A946" s="23"/>
      <c r="B946" s="23"/>
      <c r="C946" s="23"/>
      <c r="D946" s="24"/>
      <c r="E946" s="23"/>
      <c r="F946" s="23"/>
      <c r="G946" s="23"/>
      <c r="H946" s="23"/>
      <c r="I946" s="23"/>
      <c r="J946" s="23"/>
      <c r="K946" s="21"/>
      <c r="L946" s="23"/>
      <c r="M946" s="23"/>
    </row>
    <row r="947" spans="1:13" ht="15.75" customHeight="1">
      <c r="A947" s="23"/>
      <c r="B947" s="23"/>
      <c r="C947" s="23"/>
      <c r="D947" s="24"/>
      <c r="E947" s="23"/>
      <c r="F947" s="23"/>
      <c r="G947" s="23"/>
      <c r="H947" s="23"/>
      <c r="I947" s="23"/>
      <c r="J947" s="23"/>
      <c r="K947" s="21"/>
      <c r="L947" s="23"/>
      <c r="M947" s="23"/>
    </row>
    <row r="948" spans="1:13" ht="15.75" customHeight="1">
      <c r="A948" s="23"/>
      <c r="B948" s="23"/>
      <c r="C948" s="23"/>
      <c r="D948" s="24"/>
      <c r="E948" s="23"/>
      <c r="F948" s="23"/>
      <c r="G948" s="23"/>
      <c r="H948" s="23"/>
      <c r="I948" s="23"/>
      <c r="J948" s="23"/>
      <c r="K948" s="21"/>
      <c r="L948" s="23"/>
      <c r="M948" s="23"/>
    </row>
    <row r="949" spans="1:13" ht="15.75" customHeight="1">
      <c r="A949" s="23"/>
      <c r="B949" s="23"/>
      <c r="C949" s="23"/>
      <c r="D949" s="24"/>
      <c r="E949" s="23"/>
      <c r="F949" s="23"/>
      <c r="G949" s="23"/>
      <c r="H949" s="23"/>
      <c r="I949" s="23"/>
      <c r="J949" s="23"/>
      <c r="K949" s="21"/>
      <c r="L949" s="23"/>
      <c r="M949" s="23"/>
    </row>
    <row r="950" spans="1:13" ht="15.75" customHeight="1">
      <c r="A950" s="23"/>
      <c r="B950" s="23"/>
      <c r="C950" s="23"/>
      <c r="D950" s="24"/>
      <c r="E950" s="23"/>
      <c r="F950" s="23"/>
      <c r="G950" s="23"/>
      <c r="H950" s="23"/>
      <c r="I950" s="23"/>
      <c r="J950" s="23"/>
      <c r="K950" s="21"/>
      <c r="L950" s="23"/>
      <c r="M950" s="23"/>
    </row>
    <row r="951" spans="1:13" ht="15.75" customHeight="1">
      <c r="A951" s="23"/>
      <c r="B951" s="23"/>
      <c r="C951" s="23"/>
      <c r="D951" s="24"/>
      <c r="E951" s="23"/>
      <c r="F951" s="23"/>
      <c r="G951" s="23"/>
      <c r="H951" s="23"/>
      <c r="I951" s="23"/>
      <c r="J951" s="23"/>
      <c r="K951" s="21"/>
      <c r="L951" s="23"/>
      <c r="M951" s="23"/>
    </row>
    <row r="952" spans="1:13" ht="15.75" customHeight="1">
      <c r="A952" s="23"/>
      <c r="B952" s="23"/>
      <c r="C952" s="23"/>
      <c r="D952" s="24"/>
      <c r="E952" s="23"/>
      <c r="F952" s="23"/>
      <c r="G952" s="23"/>
      <c r="H952" s="23"/>
      <c r="I952" s="23"/>
      <c r="J952" s="23"/>
      <c r="K952" s="21"/>
      <c r="L952" s="23"/>
      <c r="M952" s="23"/>
    </row>
    <row r="953" spans="1:13" ht="15.75" customHeight="1">
      <c r="A953" s="23"/>
      <c r="B953" s="23"/>
      <c r="C953" s="23"/>
      <c r="D953" s="24"/>
      <c r="E953" s="23"/>
      <c r="F953" s="23"/>
      <c r="G953" s="23"/>
      <c r="H953" s="23"/>
      <c r="I953" s="23"/>
      <c r="J953" s="23"/>
      <c r="K953" s="21"/>
      <c r="L953" s="23"/>
      <c r="M953" s="23"/>
    </row>
    <row r="954" spans="1:13" ht="15.75" customHeight="1">
      <c r="A954" s="23"/>
      <c r="B954" s="23"/>
      <c r="C954" s="23"/>
      <c r="D954" s="24"/>
      <c r="E954" s="23"/>
      <c r="F954" s="23"/>
      <c r="G954" s="23"/>
      <c r="H954" s="23"/>
      <c r="I954" s="23"/>
      <c r="J954" s="23"/>
      <c r="K954" s="21"/>
      <c r="L954" s="23"/>
      <c r="M954" s="23"/>
    </row>
    <row r="955" spans="1:13" ht="15.75" customHeight="1">
      <c r="A955" s="23"/>
      <c r="B955" s="23"/>
      <c r="C955" s="23"/>
      <c r="D955" s="24"/>
      <c r="E955" s="23"/>
      <c r="F955" s="23"/>
      <c r="G955" s="23"/>
      <c r="H955" s="23"/>
      <c r="I955" s="23"/>
      <c r="J955" s="23"/>
      <c r="K955" s="21"/>
      <c r="L955" s="23"/>
      <c r="M955" s="23"/>
    </row>
    <row r="956" spans="1:13" ht="15.75" customHeight="1">
      <c r="A956" s="23"/>
      <c r="B956" s="23"/>
      <c r="C956" s="23"/>
      <c r="D956" s="24"/>
      <c r="E956" s="23"/>
      <c r="F956" s="23"/>
      <c r="G956" s="23"/>
      <c r="H956" s="23"/>
      <c r="I956" s="23"/>
      <c r="J956" s="23"/>
      <c r="K956" s="21"/>
      <c r="L956" s="23"/>
      <c r="M956" s="23"/>
    </row>
    <row r="957" spans="1:13" ht="15.75" customHeight="1">
      <c r="A957" s="23"/>
      <c r="B957" s="23"/>
      <c r="C957" s="23"/>
      <c r="D957" s="24"/>
      <c r="E957" s="23"/>
      <c r="F957" s="23"/>
      <c r="G957" s="23"/>
      <c r="H957" s="23"/>
      <c r="I957" s="23"/>
      <c r="J957" s="23"/>
      <c r="K957" s="21"/>
      <c r="L957" s="23"/>
      <c r="M957" s="23"/>
    </row>
    <row r="958" spans="1:13" ht="15.75" customHeight="1">
      <c r="A958" s="23"/>
      <c r="B958" s="23"/>
      <c r="C958" s="23"/>
      <c r="D958" s="24"/>
      <c r="E958" s="23"/>
      <c r="F958" s="23"/>
      <c r="G958" s="23"/>
      <c r="H958" s="23"/>
      <c r="I958" s="23"/>
      <c r="J958" s="23"/>
      <c r="K958" s="21"/>
      <c r="L958" s="23"/>
      <c r="M958" s="23"/>
    </row>
    <row r="959" spans="1:13" ht="15.75" customHeight="1">
      <c r="A959" s="23"/>
      <c r="B959" s="23"/>
      <c r="C959" s="23"/>
      <c r="D959" s="24"/>
      <c r="E959" s="23"/>
      <c r="F959" s="23"/>
      <c r="G959" s="23"/>
      <c r="H959" s="23"/>
      <c r="I959" s="23"/>
      <c r="J959" s="23"/>
      <c r="K959" s="21"/>
      <c r="L959" s="23"/>
      <c r="M959" s="23"/>
    </row>
    <row r="960" spans="1:13" ht="15.75" customHeight="1">
      <c r="A960" s="23"/>
      <c r="B960" s="23"/>
      <c r="C960" s="23"/>
      <c r="D960" s="24"/>
      <c r="E960" s="23"/>
      <c r="F960" s="23"/>
      <c r="G960" s="23"/>
      <c r="H960" s="23"/>
      <c r="I960" s="23"/>
      <c r="J960" s="23"/>
      <c r="K960" s="21"/>
      <c r="L960" s="23"/>
      <c r="M960" s="23"/>
    </row>
  </sheetData>
  <autoFilter ref="A1:R32" xr:uid="{CAD87A17-5EE5-4B05-99B2-33B041C083B6}"/>
  <conditionalFormatting sqref="D2:D1048576 J15:J32">
    <cfRule type="expression" dxfId="41" priority="81">
      <formula>AND($D2&lt;&gt;"",$F2&lt;&gt;"",$D2&lt;$F2)</formula>
    </cfRule>
    <cfRule type="expression" dxfId="40" priority="82">
      <formula>AND($D2&lt;&gt;"",$K2&lt;&gt;"",$D2&lt;=$K2)</formula>
    </cfRule>
    <cfRule type="expression" dxfId="39" priority="83">
      <formula>AND($D2&lt;&gt;"",$K2&lt;&gt;"",$D2&gt;$K2)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CB25A6E0-BC05-4D75-A4CB-E4BE82516270}">
          <x14:formula1>
            <xm:f>' CARGOS Y ESTADOS'!$B$5:$B$42</xm:f>
          </x14:formula1>
          <xm:sqref>B2:B146 B165:B1048576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1B8E-F456-43A8-AC70-376022A19BCD}">
  <dimension ref="A1:Q914"/>
  <sheetViews>
    <sheetView workbookViewId="0">
      <selection activeCell="G12" sqref="G12"/>
    </sheetView>
  </sheetViews>
  <sheetFormatPr baseColWidth="10" defaultColWidth="11.42578125" defaultRowHeight="12.75"/>
  <cols>
    <col min="1" max="1" width="37" style="73" bestFit="1" customWidth="1"/>
    <col min="2" max="2" width="32.42578125" style="13" customWidth="1"/>
    <col min="3" max="3" width="13.5703125" style="74" bestFit="1" customWidth="1"/>
    <col min="4" max="4" width="21.85546875" style="70" customWidth="1"/>
    <col min="5" max="5" width="11.85546875" style="74" customWidth="1"/>
    <col min="6" max="6" width="23.42578125" style="25" customWidth="1"/>
    <col min="7" max="7" width="18.42578125" style="74" bestFit="1" customWidth="1"/>
    <col min="8" max="8" width="39.140625" style="74" bestFit="1" customWidth="1"/>
    <col min="9" max="9" width="23.140625" style="13" customWidth="1"/>
    <col min="10" max="10" width="12.28515625" style="13" customWidth="1"/>
    <col min="11" max="11" width="17.42578125" style="25" customWidth="1"/>
    <col min="12" max="12" width="21.7109375" style="77" bestFit="1" customWidth="1"/>
    <col min="13" max="13" width="22.85546875" style="25" bestFit="1" customWidth="1"/>
    <col min="14" max="14" width="12.85546875" style="13" bestFit="1" customWidth="1"/>
    <col min="15" max="15" width="25.7109375" style="77" bestFit="1" customWidth="1"/>
    <col min="16" max="16" width="25.28515625" style="13" bestFit="1" customWidth="1"/>
    <col min="17" max="19" width="12.7109375" style="13" bestFit="1" customWidth="1"/>
    <col min="20" max="16384" width="11.42578125" style="13"/>
  </cols>
  <sheetData>
    <row r="1" spans="1:17" customFormat="1">
      <c r="A1" s="109" t="s">
        <v>24</v>
      </c>
      <c r="B1" s="110" t="s">
        <v>25</v>
      </c>
      <c r="C1" s="111" t="s">
        <v>26</v>
      </c>
      <c r="D1" s="112" t="s">
        <v>27</v>
      </c>
      <c r="E1" s="109" t="s">
        <v>28</v>
      </c>
      <c r="F1" s="113" t="s">
        <v>29</v>
      </c>
      <c r="G1" s="114" t="s">
        <v>30</v>
      </c>
      <c r="H1" s="109" t="s">
        <v>31</v>
      </c>
      <c r="I1" s="115" t="s">
        <v>32</v>
      </c>
      <c r="J1" s="115" t="s">
        <v>33</v>
      </c>
      <c r="K1" s="116" t="s">
        <v>34</v>
      </c>
      <c r="L1" s="117" t="s">
        <v>35</v>
      </c>
      <c r="M1" s="118" t="s">
        <v>36</v>
      </c>
      <c r="O1" s="76"/>
    </row>
    <row r="2" spans="1:17" customFormat="1" ht="15">
      <c r="A2" s="92" t="s">
        <v>851</v>
      </c>
      <c r="B2" s="93" t="s">
        <v>539</v>
      </c>
      <c r="C2" s="94" t="s">
        <v>39</v>
      </c>
      <c r="D2" s="89">
        <v>46015</v>
      </c>
      <c r="E2" s="93" t="s">
        <v>240</v>
      </c>
      <c r="F2" s="95">
        <v>46010</v>
      </c>
      <c r="G2" s="96" t="s">
        <v>852</v>
      </c>
      <c r="H2" s="97" t="s">
        <v>853</v>
      </c>
      <c r="I2" s="93"/>
      <c r="J2" s="98"/>
      <c r="K2" s="99" cm="1">
        <f t="array" ref="K2">IF(OR($B2="",$F2=""),"",WORKDAY.INTL(IF(ISNUMBER($F2),$F2,FECHA.VALOR($F2)),IF(UPPER(TRIM($B2))="AUXILIAR DE COCINA",10,15),1,FESTIVOS!$A$3:$A$1000))</f>
        <v>46036</v>
      </c>
      <c r="L2" s="76">
        <f t="shared" ref="L2:L3" si="0">IF($F2="","",DATE(YEAR(EDATE($F2,IF(DAY($F2)&gt;=17,1,0))),MONTH(EDATE($F2,IF(DAY($F2)&gt;=17,1,0))),1))</f>
        <v>46023</v>
      </c>
      <c r="M2" s="91" t="str">
        <f t="shared" ref="M2:M3" si="1">IF($K2="","",IF(OR($D2="",$D2&lt;$F2),"PENDIENTE",IF($D2&lt;=$K2,"A TIEMPO","FUERA DE TIEMPO")))</f>
        <v>A TIEMPO</v>
      </c>
      <c r="O2" s="78" t="s">
        <v>43</v>
      </c>
      <c r="P2" s="75" t="s">
        <v>36</v>
      </c>
    </row>
    <row r="3" spans="1:17" customFormat="1" ht="15.75">
      <c r="A3" s="100" t="s">
        <v>854</v>
      </c>
      <c r="B3" s="101" t="s">
        <v>539</v>
      </c>
      <c r="C3" s="94" t="s">
        <v>39</v>
      </c>
      <c r="D3" s="102">
        <v>46039</v>
      </c>
      <c r="E3" s="101" t="s">
        <v>40</v>
      </c>
      <c r="F3" s="103">
        <v>46020</v>
      </c>
      <c r="G3" s="104" t="s">
        <v>852</v>
      </c>
      <c r="H3" s="105" t="s">
        <v>855</v>
      </c>
      <c r="I3" s="101"/>
      <c r="J3" s="106"/>
      <c r="K3" s="99" cm="1">
        <f t="array" ref="K3">IF(OR($B3="",$F3=""),"",WORKDAY.INTL(IF(ISNUMBER($F3),$F3,FECHA.VALOR($F3)),IF(UPPER(TRIM($B3))="AUXILIAR DE COCINA",10,15),1,FESTIVOS!$A$3:$A$1000))</f>
        <v>46043</v>
      </c>
      <c r="L3" s="107">
        <f t="shared" si="0"/>
        <v>46023</v>
      </c>
      <c r="M3" s="108" t="str">
        <f t="shared" si="1"/>
        <v>A TIEMPO</v>
      </c>
      <c r="O3" s="78" t="s">
        <v>35</v>
      </c>
      <c r="P3" t="s">
        <v>47</v>
      </c>
      <c r="Q3" t="s">
        <v>51</v>
      </c>
    </row>
    <row r="4" spans="1:17" customFormat="1">
      <c r="A4" s="159" t="s">
        <v>856</v>
      </c>
      <c r="B4" s="148" t="s">
        <v>827</v>
      </c>
      <c r="C4" s="148" t="s">
        <v>39</v>
      </c>
      <c r="D4" s="151">
        <v>46147</v>
      </c>
      <c r="E4" s="148" t="s">
        <v>40</v>
      </c>
      <c r="F4" s="234">
        <v>46132</v>
      </c>
      <c r="G4" s="240" t="s">
        <v>852</v>
      </c>
      <c r="H4" s="148" t="s">
        <v>857</v>
      </c>
      <c r="I4" s="13"/>
      <c r="J4" s="13"/>
      <c r="K4" s="28" cm="1">
        <f t="array" ref="K4">IF(OR($B4="",$F4=""),"",WORKDAY.INTL(IF(ISNUMBER($F4),$F4,FECHA.VALOR($F4)),IF(UPPER(TRIM($B4))="AUXILIAR DE COCINA",10,15),1,FESTIVOS!$A$3:$A$1000))</f>
        <v>46154</v>
      </c>
      <c r="L4" s="77">
        <f t="shared" ref="L4:L9" si="2">IF($F4="","",DATE(YEAR(EDATE($F4,IF(DAY($F4)&gt;=17,1,0))),MONTH(EDATE($F4,IF(DAY($F4)&gt;=17,1,0))),1))</f>
        <v>46143</v>
      </c>
      <c r="M4" s="25" t="str">
        <f t="shared" ref="M4:M9" si="3">IF($K4="","",IF(OR($D4="",$D4&lt;$F4),"PENDIENTE",IF($D4&lt;=$K4,"A TIEMPO","FUERA DE TIEMPO")))</f>
        <v>A TIEMPO</v>
      </c>
      <c r="O4" s="76">
        <v>46023</v>
      </c>
      <c r="P4">
        <v>2</v>
      </c>
      <c r="Q4">
        <v>2</v>
      </c>
    </row>
    <row r="5" spans="1:17" customFormat="1">
      <c r="A5" s="159" t="s">
        <v>858</v>
      </c>
      <c r="B5" s="148" t="s">
        <v>38</v>
      </c>
      <c r="C5" s="148" t="s">
        <v>39</v>
      </c>
      <c r="D5" s="151">
        <v>46189</v>
      </c>
      <c r="E5" s="148" t="s">
        <v>40</v>
      </c>
      <c r="F5" s="234">
        <v>46177</v>
      </c>
      <c r="G5" s="240"/>
      <c r="H5" s="148" t="s">
        <v>859</v>
      </c>
      <c r="I5" s="13"/>
      <c r="J5" s="13"/>
      <c r="K5" s="28" cm="1">
        <f t="array" ref="K5">IF(OR($B5="",$F5=""),"",WORKDAY.INTL(IF(ISNUMBER($F5),$F5,FECHA.VALOR($F5)),IF(UPPER(TRIM($B5))="AUXILIAR DE COCINA",10,15),1,FESTIVOS!$A$3:$A$1000))</f>
        <v>46203</v>
      </c>
      <c r="L5" s="77">
        <f t="shared" si="2"/>
        <v>46174</v>
      </c>
      <c r="M5" s="25" t="str">
        <f t="shared" si="3"/>
        <v>A TIEMPO</v>
      </c>
      <c r="O5" s="76" t="s">
        <v>51</v>
      </c>
      <c r="P5">
        <v>2</v>
      </c>
      <c r="Q5">
        <v>2</v>
      </c>
    </row>
    <row r="6" spans="1:17" customFormat="1">
      <c r="A6" s="159" t="s">
        <v>860</v>
      </c>
      <c r="B6" s="148" t="s">
        <v>38</v>
      </c>
      <c r="C6" s="148" t="s">
        <v>39</v>
      </c>
      <c r="D6" s="151">
        <v>46192</v>
      </c>
      <c r="E6" s="148" t="s">
        <v>40</v>
      </c>
      <c r="F6" s="234">
        <v>46189</v>
      </c>
      <c r="G6" s="163"/>
      <c r="H6" s="148" t="s">
        <v>861</v>
      </c>
      <c r="I6" s="13"/>
      <c r="J6" s="13"/>
      <c r="K6" s="28" cm="1">
        <f t="array" ref="K6">IF(OR($B6="",$F6=""),"",WORKDAY.INTL(IF(ISNUMBER($F6),$F6,FECHA.VALOR($F6)),IF(UPPER(TRIM($B6))="AUXILIAR DE COCINA",10,15),1,FESTIVOS!$A$3:$A$1000))</f>
        <v>46211</v>
      </c>
      <c r="L6" s="77">
        <f t="shared" si="2"/>
        <v>46174</v>
      </c>
      <c r="M6" s="25" t="str">
        <f t="shared" si="3"/>
        <v>A TIEMPO</v>
      </c>
    </row>
    <row r="7" spans="1:17" customFormat="1">
      <c r="A7" s="355" t="str">
        <f>UPPER("Joan José steel rosales")</f>
        <v>JOAN JOSÉ STEEL ROSALES</v>
      </c>
      <c r="B7" s="148" t="s">
        <v>53</v>
      </c>
      <c r="C7" s="148" t="s">
        <v>39</v>
      </c>
      <c r="D7" s="151">
        <v>46226</v>
      </c>
      <c r="E7" s="148" t="s">
        <v>40</v>
      </c>
      <c r="F7" s="234">
        <v>46203</v>
      </c>
      <c r="G7" s="240" t="s">
        <v>862</v>
      </c>
      <c r="H7" s="148" t="s">
        <v>863</v>
      </c>
      <c r="I7" s="13"/>
      <c r="J7" s="13"/>
      <c r="K7" s="28" cm="1">
        <f t="array" ref="K7">IF(OR($B7="",$F7=""),"",WORKDAY.INTL(IF(ISNUMBER($F7),$F7,FECHA.VALOR($F7)),IF(UPPER(TRIM($B7))="AUXILIAR DE COCINA",10,15),1,FESTIVOS!$A$3:$A$1000))</f>
        <v>46217</v>
      </c>
      <c r="L7" s="77">
        <f t="shared" si="2"/>
        <v>46204</v>
      </c>
      <c r="M7" s="25" t="str">
        <f t="shared" si="3"/>
        <v>FUERA DE TIEMPO</v>
      </c>
      <c r="O7" s="76"/>
    </row>
    <row r="8" spans="1:17" customFormat="1">
      <c r="A8" s="159" t="s">
        <v>864</v>
      </c>
      <c r="B8" s="148" t="s">
        <v>53</v>
      </c>
      <c r="C8" s="148" t="s">
        <v>39</v>
      </c>
      <c r="D8" s="151">
        <v>46228</v>
      </c>
      <c r="E8" s="148" t="s">
        <v>40</v>
      </c>
      <c r="F8" s="234">
        <v>46224</v>
      </c>
      <c r="G8" s="240" t="s">
        <v>862</v>
      </c>
      <c r="H8" s="148" t="s">
        <v>865</v>
      </c>
      <c r="I8" s="13"/>
      <c r="J8" s="13"/>
      <c r="K8" s="28" cm="1">
        <f t="array" ref="K8">IF(OR($B8="",$F8=""),"",WORKDAY.INTL(IF(ISNUMBER($F8),$F8,FECHA.VALOR($F8)),IF(UPPER(TRIM($B8))="AUXILIAR DE COCINA",10,15),1,FESTIVOS!$A$3:$A$1000))</f>
        <v>46238</v>
      </c>
      <c r="L8" s="77">
        <f t="shared" si="2"/>
        <v>46235</v>
      </c>
      <c r="M8" s="25" t="str">
        <f t="shared" si="3"/>
        <v>A TIEMPO</v>
      </c>
      <c r="O8" s="76"/>
    </row>
    <row r="9" spans="1:17" customFormat="1">
      <c r="A9" s="159" t="s">
        <v>866</v>
      </c>
      <c r="B9" s="148" t="s">
        <v>53</v>
      </c>
      <c r="C9" s="148" t="s">
        <v>39</v>
      </c>
      <c r="D9" s="151">
        <v>46234</v>
      </c>
      <c r="E9" s="148" t="s">
        <v>40</v>
      </c>
      <c r="F9" s="234">
        <v>46224</v>
      </c>
      <c r="G9" s="240" t="s">
        <v>867</v>
      </c>
      <c r="H9" s="148" t="s">
        <v>868</v>
      </c>
      <c r="I9" s="13"/>
      <c r="J9" s="13"/>
      <c r="K9" s="28" cm="1">
        <f t="array" ref="K9">IF(OR($B9="",$F9=""),"",WORKDAY.INTL(IF(ISNUMBER($F9),$F9,FECHA.VALOR($F9)),IF(UPPER(TRIM($B9))="AUXILIAR DE COCINA",10,15),1,FESTIVOS!$A$3:$A$1000))</f>
        <v>46238</v>
      </c>
      <c r="L9" s="77">
        <f t="shared" si="2"/>
        <v>46235</v>
      </c>
      <c r="M9" s="25" t="str">
        <f t="shared" si="3"/>
        <v>A TIEMPO</v>
      </c>
      <c r="O9" s="76"/>
    </row>
    <row r="10" spans="1:17" customFormat="1">
      <c r="A10" s="68"/>
      <c r="B10" s="46"/>
      <c r="C10" s="46"/>
      <c r="D10" s="66"/>
      <c r="E10" s="46"/>
      <c r="F10" s="69"/>
      <c r="G10" s="47"/>
      <c r="H10" s="46"/>
      <c r="I10" s="13"/>
      <c r="J10" s="13"/>
      <c r="K10" s="25"/>
      <c r="L10" s="77"/>
      <c r="M10" s="25"/>
      <c r="O10" s="76"/>
    </row>
    <row r="11" spans="1:17" customFormat="1">
      <c r="A11" s="68"/>
      <c r="B11" s="46"/>
      <c r="C11" s="46"/>
      <c r="D11" s="66"/>
      <c r="E11" s="46"/>
      <c r="F11" s="69"/>
      <c r="G11" s="47"/>
      <c r="H11" s="46"/>
      <c r="I11" s="13"/>
      <c r="J11" s="13"/>
      <c r="K11" s="25"/>
      <c r="L11" s="77"/>
      <c r="M11" s="25"/>
      <c r="O11" s="76"/>
    </row>
    <row r="12" spans="1:17" customFormat="1">
      <c r="A12" s="68"/>
      <c r="B12" s="46"/>
      <c r="C12" s="46"/>
      <c r="D12" s="66"/>
      <c r="E12" s="46"/>
      <c r="F12" s="69"/>
      <c r="G12" s="47"/>
      <c r="H12" s="46"/>
      <c r="I12" s="13"/>
      <c r="J12" s="13"/>
      <c r="K12" s="25"/>
      <c r="L12" s="77"/>
      <c r="M12" s="25"/>
      <c r="O12" s="76"/>
    </row>
    <row r="13" spans="1:17" customFormat="1">
      <c r="A13" s="68"/>
      <c r="B13" s="46"/>
      <c r="C13" s="46"/>
      <c r="D13" s="66"/>
      <c r="E13" s="46"/>
      <c r="F13" s="69"/>
      <c r="G13" s="47"/>
      <c r="H13" s="46"/>
      <c r="I13" s="13"/>
      <c r="J13" s="13"/>
      <c r="K13" s="25"/>
      <c r="L13" s="77"/>
      <c r="M13" s="25"/>
      <c r="O13" s="76"/>
    </row>
    <row r="14" spans="1:17" customFormat="1">
      <c r="A14" s="68"/>
      <c r="B14" s="46"/>
      <c r="C14" s="46"/>
      <c r="D14" s="66"/>
      <c r="E14" s="46"/>
      <c r="F14" s="69"/>
      <c r="G14" s="47"/>
      <c r="H14" s="46"/>
      <c r="I14" s="13"/>
      <c r="J14" s="13"/>
      <c r="K14" s="25"/>
      <c r="L14" s="77"/>
      <c r="M14" s="25"/>
      <c r="O14" s="76"/>
    </row>
    <row r="15" spans="1:17" customFormat="1">
      <c r="A15" s="68"/>
      <c r="B15" s="46"/>
      <c r="C15" s="46"/>
      <c r="D15" s="66"/>
      <c r="E15" s="46"/>
      <c r="F15" s="69"/>
      <c r="G15" s="47"/>
      <c r="H15" s="46"/>
      <c r="I15" s="13"/>
      <c r="J15" s="13"/>
      <c r="K15" s="25"/>
      <c r="L15" s="77"/>
      <c r="M15" s="25"/>
      <c r="O15" s="76"/>
    </row>
    <row r="16" spans="1:17" customFormat="1">
      <c r="A16" s="68"/>
      <c r="B16" s="46"/>
      <c r="C16" s="46"/>
      <c r="D16" s="66"/>
      <c r="E16" s="46"/>
      <c r="F16" s="69"/>
      <c r="G16" s="47"/>
      <c r="H16" s="46"/>
      <c r="I16" s="13"/>
      <c r="J16" s="13"/>
      <c r="K16" s="25"/>
      <c r="L16" s="77"/>
      <c r="M16" s="25"/>
      <c r="O16" s="76"/>
    </row>
    <row r="17" spans="1:15" customFormat="1">
      <c r="A17" s="68"/>
      <c r="B17" s="46"/>
      <c r="C17" s="46"/>
      <c r="D17" s="66"/>
      <c r="E17" s="46"/>
      <c r="F17" s="69"/>
      <c r="G17" s="47"/>
      <c r="H17" s="46"/>
      <c r="I17" s="13"/>
      <c r="J17" s="13"/>
      <c r="K17" s="25"/>
      <c r="L17" s="77"/>
      <c r="M17" s="25"/>
      <c r="O17" s="76"/>
    </row>
    <row r="18" spans="1:15" customFormat="1">
      <c r="A18" s="68"/>
      <c r="B18" s="46"/>
      <c r="C18" s="46"/>
      <c r="D18" s="66"/>
      <c r="E18" s="46"/>
      <c r="F18" s="69"/>
      <c r="G18" s="47"/>
      <c r="H18" s="46"/>
      <c r="I18" s="13"/>
      <c r="J18" s="13"/>
      <c r="K18" s="25"/>
      <c r="L18" s="77"/>
      <c r="M18" s="25"/>
      <c r="O18" s="76"/>
    </row>
    <row r="19" spans="1:15" customFormat="1">
      <c r="A19" s="68"/>
      <c r="B19" s="46"/>
      <c r="C19" s="46"/>
      <c r="D19" s="66"/>
      <c r="E19" s="46"/>
      <c r="F19" s="69"/>
      <c r="G19" s="47"/>
      <c r="H19" s="46"/>
      <c r="I19" s="13"/>
      <c r="J19" s="13"/>
      <c r="K19" s="25"/>
      <c r="L19" s="77"/>
      <c r="M19" s="25"/>
      <c r="O19" s="76"/>
    </row>
    <row r="20" spans="1:15" customFormat="1">
      <c r="A20" s="68"/>
      <c r="B20" s="46"/>
      <c r="C20" s="46"/>
      <c r="D20" s="66"/>
      <c r="E20" s="46"/>
      <c r="F20" s="69"/>
      <c r="G20" s="47"/>
      <c r="H20" s="46"/>
      <c r="I20" s="13"/>
      <c r="J20" s="13"/>
      <c r="K20" s="25"/>
      <c r="L20" s="77"/>
      <c r="M20" s="25"/>
      <c r="O20" s="76"/>
    </row>
    <row r="21" spans="1:15" customFormat="1">
      <c r="A21" s="68"/>
      <c r="B21" s="46"/>
      <c r="C21" s="46"/>
      <c r="D21" s="66"/>
      <c r="E21" s="46"/>
      <c r="F21" s="69"/>
      <c r="G21" s="47"/>
      <c r="H21" s="46"/>
      <c r="I21" s="13"/>
      <c r="J21" s="13"/>
      <c r="K21" s="25"/>
      <c r="L21" s="77"/>
      <c r="M21" s="25"/>
      <c r="O21" s="76"/>
    </row>
    <row r="22" spans="1:15" customFormat="1">
      <c r="A22" s="68"/>
      <c r="B22" s="46"/>
      <c r="C22" s="46"/>
      <c r="D22" s="66"/>
      <c r="E22" s="46"/>
      <c r="F22" s="69"/>
      <c r="G22" s="47"/>
      <c r="H22" s="46"/>
      <c r="I22" s="13"/>
      <c r="J22" s="13"/>
      <c r="K22" s="25"/>
      <c r="L22" s="77"/>
      <c r="M22" s="25"/>
      <c r="O22" s="76"/>
    </row>
    <row r="23" spans="1:15" customFormat="1">
      <c r="A23" s="68"/>
      <c r="B23" s="46"/>
      <c r="C23" s="46"/>
      <c r="D23" s="66"/>
      <c r="E23" s="46"/>
      <c r="F23" s="69"/>
      <c r="G23" s="47"/>
      <c r="H23" s="46"/>
      <c r="I23" s="13"/>
      <c r="J23" s="13"/>
      <c r="K23" s="25"/>
      <c r="L23" s="77"/>
      <c r="M23" s="25"/>
      <c r="O23" s="76"/>
    </row>
    <row r="24" spans="1:15" customFormat="1">
      <c r="A24" s="68"/>
      <c r="B24" s="46"/>
      <c r="C24" s="46"/>
      <c r="D24" s="66"/>
      <c r="E24" s="46"/>
      <c r="F24" s="69"/>
      <c r="G24" s="47"/>
      <c r="H24" s="46"/>
      <c r="I24" s="13"/>
      <c r="J24" s="13"/>
      <c r="K24" s="25"/>
      <c r="L24" s="77"/>
      <c r="M24" s="25"/>
      <c r="O24" s="76"/>
    </row>
    <row r="25" spans="1:15" customFormat="1">
      <c r="A25" s="68"/>
      <c r="B25" s="46"/>
      <c r="C25" s="46"/>
      <c r="D25" s="66"/>
      <c r="E25" s="46"/>
      <c r="F25" s="69"/>
      <c r="G25" s="47"/>
      <c r="H25" s="46"/>
      <c r="I25" s="13"/>
      <c r="J25" s="13"/>
      <c r="K25" s="25"/>
      <c r="L25" s="77"/>
      <c r="M25" s="25"/>
      <c r="O25" s="76"/>
    </row>
    <row r="26" spans="1:15" customFormat="1">
      <c r="A26" s="68"/>
      <c r="B26" s="46"/>
      <c r="C26" s="46"/>
      <c r="D26" s="66"/>
      <c r="E26" s="46"/>
      <c r="F26" s="69"/>
      <c r="G26" s="47"/>
      <c r="H26" s="46"/>
      <c r="I26" s="13"/>
      <c r="J26" s="13"/>
      <c r="K26" s="25"/>
      <c r="L26" s="77"/>
      <c r="M26" s="25"/>
      <c r="O26" s="76"/>
    </row>
    <row r="27" spans="1:15" customFormat="1">
      <c r="A27" s="68"/>
      <c r="B27" s="46"/>
      <c r="C27" s="46"/>
      <c r="D27" s="66"/>
      <c r="E27" s="46"/>
      <c r="F27" s="69"/>
      <c r="G27" s="47"/>
      <c r="H27" s="46"/>
      <c r="I27" s="13"/>
      <c r="J27" s="13"/>
      <c r="K27" s="25"/>
      <c r="L27" s="77"/>
      <c r="M27" s="25"/>
      <c r="O27" s="76"/>
    </row>
    <row r="28" spans="1:15" customFormat="1">
      <c r="A28" s="68"/>
      <c r="B28" s="46"/>
      <c r="C28" s="46"/>
      <c r="D28" s="66"/>
      <c r="E28" s="46"/>
      <c r="F28" s="69"/>
      <c r="G28" s="47"/>
      <c r="H28" s="46"/>
      <c r="I28" s="13"/>
      <c r="J28" s="13"/>
      <c r="K28" s="25"/>
      <c r="L28" s="77"/>
      <c r="M28" s="25"/>
      <c r="O28" s="76"/>
    </row>
    <row r="29" spans="1:15" customFormat="1">
      <c r="A29" s="68"/>
      <c r="B29" s="46"/>
      <c r="C29" s="46"/>
      <c r="D29" s="66"/>
      <c r="E29" s="46"/>
      <c r="F29" s="69"/>
      <c r="G29" s="47"/>
      <c r="H29" s="46"/>
      <c r="I29" s="13"/>
      <c r="J29" s="13"/>
      <c r="K29" s="25"/>
      <c r="L29" s="77"/>
      <c r="M29" s="25"/>
      <c r="O29" s="76"/>
    </row>
    <row r="30" spans="1:15" customFormat="1">
      <c r="A30" s="68"/>
      <c r="B30" s="46"/>
      <c r="C30" s="46"/>
      <c r="D30" s="66"/>
      <c r="E30" s="46"/>
      <c r="F30" s="69"/>
      <c r="G30" s="47"/>
      <c r="H30" s="46"/>
      <c r="I30" s="13"/>
      <c r="J30" s="13"/>
      <c r="K30" s="25"/>
      <c r="L30" s="77"/>
      <c r="M30" s="25"/>
      <c r="O30" s="76"/>
    </row>
    <row r="31" spans="1:15" customFormat="1">
      <c r="A31" s="68"/>
      <c r="B31" s="46"/>
      <c r="C31" s="46"/>
      <c r="D31" s="66"/>
      <c r="E31" s="46"/>
      <c r="F31" s="69"/>
      <c r="G31" s="47"/>
      <c r="H31" s="46"/>
      <c r="I31" s="13"/>
      <c r="J31" s="13"/>
      <c r="K31" s="25"/>
      <c r="L31" s="77"/>
      <c r="M31" s="25"/>
      <c r="O31" s="76"/>
    </row>
    <row r="32" spans="1:15" customFormat="1">
      <c r="A32" s="68"/>
      <c r="B32" s="46"/>
      <c r="C32" s="46"/>
      <c r="D32" s="66"/>
      <c r="E32" s="46"/>
      <c r="F32" s="69"/>
      <c r="G32" s="47"/>
      <c r="H32" s="46"/>
      <c r="I32" s="13"/>
      <c r="J32" s="13"/>
      <c r="K32" s="25"/>
      <c r="L32" s="77"/>
      <c r="M32" s="25"/>
      <c r="O32" s="76"/>
    </row>
    <row r="33" spans="1:15" customFormat="1">
      <c r="A33" s="68"/>
      <c r="B33" s="46"/>
      <c r="C33" s="46"/>
      <c r="D33" s="66"/>
      <c r="E33" s="46"/>
      <c r="F33" s="69"/>
      <c r="G33" s="47"/>
      <c r="H33" s="46"/>
      <c r="I33" s="13"/>
      <c r="J33" s="13"/>
      <c r="K33" s="25"/>
      <c r="L33" s="77"/>
      <c r="M33" s="25"/>
      <c r="O33" s="76"/>
    </row>
    <row r="34" spans="1:15" customFormat="1">
      <c r="A34" s="68"/>
      <c r="B34" s="46"/>
      <c r="C34" s="46"/>
      <c r="D34" s="66"/>
      <c r="E34" s="46"/>
      <c r="F34" s="69"/>
      <c r="G34" s="47"/>
      <c r="H34" s="46"/>
      <c r="I34" s="13"/>
      <c r="J34" s="13"/>
      <c r="K34" s="25"/>
      <c r="L34" s="77"/>
      <c r="M34" s="25"/>
      <c r="O34" s="76"/>
    </row>
    <row r="35" spans="1:15" customFormat="1">
      <c r="A35" s="68"/>
      <c r="B35" s="46"/>
      <c r="C35" s="46"/>
      <c r="D35" s="66"/>
      <c r="E35" s="46"/>
      <c r="F35" s="69"/>
      <c r="G35" s="47"/>
      <c r="H35" s="46"/>
      <c r="I35" s="13"/>
      <c r="J35" s="13"/>
      <c r="K35" s="25"/>
      <c r="L35" s="77"/>
      <c r="M35" s="25"/>
      <c r="O35" s="76"/>
    </row>
    <row r="36" spans="1:15" customFormat="1">
      <c r="A36" s="68"/>
      <c r="B36" s="46"/>
      <c r="C36" s="46"/>
      <c r="D36" s="66"/>
      <c r="E36" s="46"/>
      <c r="F36" s="69"/>
      <c r="G36" s="47"/>
      <c r="H36" s="46"/>
      <c r="I36" s="13"/>
      <c r="J36" s="13"/>
      <c r="K36" s="25"/>
      <c r="L36" s="77"/>
      <c r="M36" s="25"/>
      <c r="O36" s="76"/>
    </row>
    <row r="37" spans="1:15" customFormat="1">
      <c r="A37" s="68"/>
      <c r="B37" s="46"/>
      <c r="C37" s="46"/>
      <c r="D37" s="66"/>
      <c r="E37" s="46"/>
      <c r="F37" s="69"/>
      <c r="G37" s="47"/>
      <c r="H37" s="46"/>
      <c r="I37" s="13"/>
      <c r="J37" s="13"/>
      <c r="K37" s="25"/>
      <c r="L37" s="77"/>
      <c r="M37" s="25"/>
      <c r="O37" s="76"/>
    </row>
    <row r="38" spans="1:15" customFormat="1">
      <c r="A38" s="68"/>
      <c r="B38" s="46"/>
      <c r="C38" s="46"/>
      <c r="D38" s="66"/>
      <c r="E38" s="46"/>
      <c r="F38" s="69"/>
      <c r="G38" s="47"/>
      <c r="H38" s="46"/>
      <c r="I38" s="13"/>
      <c r="J38" s="13"/>
      <c r="K38" s="25"/>
      <c r="L38" s="77"/>
      <c r="M38" s="25"/>
      <c r="O38" s="76"/>
    </row>
    <row r="39" spans="1:15">
      <c r="A39" s="68"/>
      <c r="B39" s="46"/>
      <c r="C39" s="46"/>
      <c r="D39" s="66"/>
      <c r="E39" s="46"/>
      <c r="F39" s="69"/>
      <c r="G39" s="47"/>
      <c r="H39" s="46"/>
    </row>
    <row r="40" spans="1:15">
      <c r="A40" s="68"/>
      <c r="B40" s="46"/>
      <c r="C40" s="46"/>
      <c r="D40" s="66"/>
      <c r="E40" s="46"/>
      <c r="F40" s="69"/>
      <c r="G40" s="47"/>
      <c r="H40" s="46"/>
    </row>
    <row r="41" spans="1:15">
      <c r="A41" s="44"/>
      <c r="B41" s="45"/>
      <c r="C41" s="46"/>
      <c r="D41" s="66"/>
      <c r="E41" s="46"/>
      <c r="F41" s="63"/>
      <c r="G41" s="47"/>
      <c r="H41" s="46"/>
    </row>
    <row r="42" spans="1:15">
      <c r="A42" s="44"/>
      <c r="B42" s="45"/>
      <c r="C42" s="46"/>
      <c r="D42" s="66"/>
      <c r="E42" s="46"/>
      <c r="F42" s="63"/>
      <c r="G42" s="47"/>
      <c r="H42" s="46"/>
    </row>
    <row r="43" spans="1:15">
      <c r="A43" s="44"/>
      <c r="B43" s="45"/>
      <c r="C43" s="46"/>
      <c r="D43" s="66"/>
      <c r="E43" s="46"/>
      <c r="F43" s="63"/>
      <c r="G43" s="47"/>
      <c r="H43" s="46"/>
    </row>
    <row r="44" spans="1:15">
      <c r="A44" s="44"/>
      <c r="B44" s="45"/>
      <c r="C44" s="46"/>
      <c r="D44" s="66"/>
      <c r="E44" s="46"/>
      <c r="F44" s="63"/>
      <c r="G44" s="47"/>
      <c r="H44" s="46"/>
    </row>
    <row r="45" spans="1:15">
      <c r="A45" s="44"/>
      <c r="B45" s="45"/>
      <c r="C45" s="46"/>
      <c r="D45" s="66"/>
      <c r="E45" s="46"/>
      <c r="F45" s="63"/>
      <c r="G45" s="47"/>
      <c r="H45" s="46"/>
    </row>
    <row r="46" spans="1:15">
      <c r="A46" s="44"/>
      <c r="B46" s="45"/>
      <c r="C46" s="46"/>
      <c r="D46" s="66"/>
      <c r="E46" s="46"/>
      <c r="F46" s="63"/>
      <c r="G46" s="47"/>
      <c r="H46" s="46"/>
    </row>
    <row r="47" spans="1:15">
      <c r="A47" s="44"/>
      <c r="B47" s="45"/>
      <c r="C47" s="46"/>
      <c r="D47" s="66"/>
      <c r="E47" s="46"/>
      <c r="F47" s="63"/>
      <c r="G47" s="47"/>
      <c r="H47" s="46"/>
    </row>
    <row r="48" spans="1:15">
      <c r="A48" s="44"/>
      <c r="B48" s="45"/>
      <c r="C48" s="46"/>
      <c r="D48" s="66"/>
      <c r="E48" s="46"/>
      <c r="F48" s="63"/>
      <c r="G48" s="47"/>
      <c r="H48" s="46"/>
    </row>
    <row r="49" spans="1:8">
      <c r="A49" s="44"/>
      <c r="B49" s="45"/>
      <c r="C49" s="46"/>
      <c r="D49" s="66"/>
      <c r="E49" s="46"/>
      <c r="F49" s="63"/>
      <c r="G49" s="47"/>
      <c r="H49" s="46"/>
    </row>
    <row r="50" spans="1:8">
      <c r="A50" s="44"/>
      <c r="B50" s="45"/>
      <c r="C50" s="46"/>
      <c r="D50" s="66"/>
      <c r="E50" s="46"/>
      <c r="F50" s="63"/>
      <c r="G50" s="47"/>
      <c r="H50" s="46"/>
    </row>
    <row r="51" spans="1:8">
      <c r="A51" s="44"/>
      <c r="B51" s="45"/>
      <c r="C51" s="46"/>
      <c r="D51" s="66"/>
      <c r="E51" s="46"/>
      <c r="F51" s="63"/>
      <c r="G51" s="47"/>
      <c r="H51" s="46"/>
    </row>
    <row r="52" spans="1:8">
      <c r="A52" s="44"/>
      <c r="B52" s="45"/>
      <c r="C52" s="46"/>
      <c r="D52" s="66"/>
      <c r="E52" s="46"/>
      <c r="F52" s="63"/>
      <c r="G52" s="47"/>
      <c r="H52" s="46"/>
    </row>
    <row r="53" spans="1:8">
      <c r="A53" s="44"/>
      <c r="B53" s="45"/>
      <c r="C53" s="46"/>
      <c r="D53" s="66"/>
      <c r="E53" s="46"/>
      <c r="F53" s="63"/>
      <c r="G53" s="47"/>
      <c r="H53" s="46"/>
    </row>
    <row r="54" spans="1:8">
      <c r="A54" s="44"/>
      <c r="B54" s="45"/>
      <c r="C54" s="46"/>
      <c r="D54" s="66"/>
      <c r="E54" s="46"/>
      <c r="F54" s="63"/>
      <c r="G54" s="47"/>
      <c r="H54" s="46"/>
    </row>
    <row r="55" spans="1:8">
      <c r="A55" s="44"/>
      <c r="B55" s="45"/>
      <c r="C55" s="46"/>
      <c r="D55" s="66"/>
      <c r="E55" s="46"/>
      <c r="F55" s="63"/>
      <c r="G55" s="47"/>
      <c r="H55" s="46"/>
    </row>
    <row r="56" spans="1:8">
      <c r="A56" s="44"/>
      <c r="B56" s="45"/>
      <c r="C56" s="46"/>
      <c r="D56" s="66"/>
      <c r="E56" s="46"/>
      <c r="F56" s="63"/>
      <c r="G56" s="47"/>
      <c r="H56" s="46"/>
    </row>
    <row r="57" spans="1:8">
      <c r="A57" s="44"/>
      <c r="B57" s="45"/>
      <c r="C57" s="46"/>
      <c r="D57" s="66"/>
      <c r="E57" s="46"/>
      <c r="F57" s="63"/>
      <c r="G57" s="47"/>
      <c r="H57" s="46"/>
    </row>
    <row r="58" spans="1:8">
      <c r="A58" s="44"/>
      <c r="B58" s="45"/>
      <c r="C58" s="46"/>
      <c r="D58" s="66"/>
      <c r="E58" s="46"/>
      <c r="F58" s="63"/>
      <c r="G58" s="47"/>
      <c r="H58" s="46"/>
    </row>
    <row r="59" spans="1:8">
      <c r="A59" s="44"/>
      <c r="B59" s="45"/>
      <c r="C59" s="46"/>
      <c r="D59" s="66"/>
      <c r="E59" s="46"/>
      <c r="F59" s="63"/>
      <c r="G59" s="47"/>
      <c r="H59" s="46"/>
    </row>
    <row r="60" spans="1:8">
      <c r="A60" s="44"/>
      <c r="B60" s="45"/>
      <c r="C60" s="46"/>
      <c r="D60" s="66"/>
      <c r="E60" s="46"/>
      <c r="F60" s="63"/>
      <c r="G60" s="47"/>
      <c r="H60" s="46"/>
    </row>
    <row r="61" spans="1:8">
      <c r="A61" s="44"/>
      <c r="B61" s="45"/>
      <c r="C61" s="46"/>
      <c r="D61" s="66"/>
      <c r="E61" s="46"/>
      <c r="F61" s="63"/>
      <c r="G61" s="47"/>
      <c r="H61" s="46"/>
    </row>
    <row r="62" spans="1:8">
      <c r="A62" s="44"/>
      <c r="B62" s="45"/>
      <c r="C62" s="46"/>
      <c r="D62" s="66"/>
      <c r="E62" s="46"/>
      <c r="F62" s="63"/>
      <c r="G62" s="47"/>
      <c r="H62" s="46"/>
    </row>
    <row r="63" spans="1:8">
      <c r="A63" s="44"/>
      <c r="B63" s="45"/>
      <c r="C63" s="46"/>
      <c r="D63" s="66"/>
      <c r="E63" s="46"/>
      <c r="F63" s="63"/>
      <c r="G63" s="47"/>
      <c r="H63" s="46"/>
    </row>
    <row r="64" spans="1:8">
      <c r="A64" s="44"/>
      <c r="B64" s="45"/>
      <c r="C64" s="46"/>
      <c r="D64" s="66"/>
      <c r="E64" s="46"/>
      <c r="F64" s="63"/>
      <c r="G64" s="47"/>
      <c r="H64" s="46"/>
    </row>
    <row r="65" spans="1:8">
      <c r="A65" s="44"/>
      <c r="B65" s="45"/>
      <c r="C65" s="46"/>
      <c r="D65" s="66"/>
      <c r="E65" s="46"/>
      <c r="F65" s="63"/>
      <c r="G65" s="47"/>
      <c r="H65" s="46"/>
    </row>
    <row r="66" spans="1:8">
      <c r="A66" s="44"/>
      <c r="B66" s="45"/>
      <c r="C66" s="46"/>
      <c r="D66" s="66"/>
      <c r="E66" s="46"/>
      <c r="F66" s="63"/>
      <c r="G66" s="47"/>
      <c r="H66" s="46"/>
    </row>
    <row r="67" spans="1:8">
      <c r="A67" s="44"/>
      <c r="B67" s="45"/>
      <c r="C67" s="46"/>
      <c r="D67" s="66"/>
      <c r="E67" s="46"/>
      <c r="F67" s="63"/>
      <c r="G67" s="47"/>
      <c r="H67" s="46"/>
    </row>
    <row r="68" spans="1:8">
      <c r="A68" s="44"/>
      <c r="B68" s="45"/>
      <c r="C68" s="46"/>
      <c r="D68" s="66"/>
      <c r="E68" s="46"/>
      <c r="F68" s="63"/>
      <c r="G68" s="47"/>
      <c r="H68" s="46"/>
    </row>
    <row r="69" spans="1:8">
      <c r="A69" s="44"/>
      <c r="B69" s="45"/>
      <c r="C69" s="46"/>
      <c r="D69" s="66"/>
      <c r="E69" s="46"/>
      <c r="F69" s="63"/>
      <c r="G69" s="47"/>
      <c r="H69" s="46"/>
    </row>
    <row r="70" spans="1:8">
      <c r="A70" s="48"/>
      <c r="B70" s="49"/>
      <c r="C70" s="46"/>
      <c r="D70" s="66"/>
      <c r="E70" s="46"/>
      <c r="F70" s="64"/>
      <c r="G70" s="47"/>
      <c r="H70" s="46"/>
    </row>
    <row r="71" spans="1:8">
      <c r="A71" s="48"/>
      <c r="B71" s="49"/>
      <c r="C71" s="46"/>
      <c r="D71" s="66"/>
      <c r="E71" s="46"/>
      <c r="F71" s="64"/>
      <c r="G71" s="47"/>
      <c r="H71" s="46"/>
    </row>
    <row r="72" spans="1:8">
      <c r="A72" s="48"/>
      <c r="B72" s="49"/>
      <c r="C72" s="46"/>
      <c r="D72" s="66"/>
      <c r="E72" s="46"/>
      <c r="F72" s="64"/>
      <c r="G72" s="47"/>
      <c r="H72" s="46"/>
    </row>
    <row r="73" spans="1:8">
      <c r="A73" s="48"/>
      <c r="B73" s="49"/>
      <c r="C73" s="46"/>
      <c r="D73" s="66"/>
      <c r="E73" s="46"/>
      <c r="F73" s="64"/>
      <c r="G73" s="47"/>
      <c r="H73" s="46"/>
    </row>
    <row r="74" spans="1:8">
      <c r="A74" s="48"/>
      <c r="B74" s="49"/>
      <c r="C74" s="46"/>
      <c r="D74" s="66"/>
      <c r="E74" s="46"/>
      <c r="F74" s="64"/>
      <c r="G74" s="47"/>
      <c r="H74" s="46"/>
    </row>
    <row r="75" spans="1:8">
      <c r="A75" s="48"/>
      <c r="B75" s="49"/>
      <c r="C75" s="46"/>
      <c r="D75" s="66"/>
      <c r="E75" s="46"/>
      <c r="F75" s="64"/>
      <c r="G75" s="47"/>
      <c r="H75" s="46"/>
    </row>
    <row r="76" spans="1:8">
      <c r="A76" s="48"/>
      <c r="B76" s="49"/>
      <c r="C76" s="46"/>
      <c r="D76" s="66"/>
      <c r="E76" s="46"/>
      <c r="F76" s="64"/>
      <c r="G76" s="47"/>
      <c r="H76" s="46"/>
    </row>
    <row r="77" spans="1:8">
      <c r="A77" s="48"/>
      <c r="B77" s="49"/>
      <c r="C77" s="46"/>
      <c r="D77" s="66"/>
      <c r="E77" s="46"/>
      <c r="F77" s="64"/>
      <c r="G77" s="47"/>
      <c r="H77" s="46"/>
    </row>
    <row r="78" spans="1:8">
      <c r="A78" s="48"/>
      <c r="B78" s="49"/>
      <c r="C78" s="46"/>
      <c r="D78" s="66"/>
      <c r="E78" s="46"/>
      <c r="F78" s="64"/>
      <c r="G78" s="47"/>
      <c r="H78" s="46"/>
    </row>
    <row r="79" spans="1:8" ht="15">
      <c r="A79" s="71"/>
      <c r="B79" s="46"/>
      <c r="C79" s="72"/>
      <c r="D79" s="66"/>
      <c r="E79" s="46"/>
      <c r="F79" s="69"/>
      <c r="G79" s="47"/>
      <c r="H79" s="72"/>
    </row>
    <row r="80" spans="1:8">
      <c r="A80" s="48"/>
      <c r="B80" s="49"/>
      <c r="C80" s="46"/>
      <c r="D80" s="66"/>
      <c r="E80" s="46"/>
      <c r="F80" s="64"/>
      <c r="G80" s="47"/>
      <c r="H80" s="46"/>
    </row>
    <row r="81" spans="1:8">
      <c r="A81" s="48"/>
      <c r="B81" s="49"/>
      <c r="C81" s="46"/>
      <c r="D81" s="66"/>
      <c r="E81" s="46"/>
      <c r="F81" s="64"/>
      <c r="G81" s="47"/>
      <c r="H81" s="46"/>
    </row>
    <row r="82" spans="1:8">
      <c r="A82" s="48"/>
      <c r="B82" s="49"/>
      <c r="C82" s="46"/>
      <c r="D82" s="66"/>
      <c r="E82" s="46"/>
      <c r="F82" s="64"/>
      <c r="G82" s="47"/>
      <c r="H82" s="46"/>
    </row>
    <row r="83" spans="1:8">
      <c r="A83" s="48"/>
      <c r="B83" s="49"/>
      <c r="C83" s="46"/>
      <c r="D83" s="66"/>
      <c r="E83" s="46"/>
      <c r="F83" s="64"/>
      <c r="G83" s="47"/>
      <c r="H83" s="46"/>
    </row>
    <row r="84" spans="1:8">
      <c r="A84" s="48"/>
      <c r="B84" s="49"/>
      <c r="C84" s="46"/>
      <c r="D84" s="66"/>
      <c r="E84" s="46"/>
      <c r="F84" s="64"/>
      <c r="G84" s="47"/>
      <c r="H84" s="46"/>
    </row>
    <row r="85" spans="1:8">
      <c r="A85" s="48"/>
      <c r="B85" s="49"/>
      <c r="C85" s="46"/>
      <c r="D85" s="66"/>
      <c r="E85" s="46"/>
      <c r="F85" s="64"/>
      <c r="G85" s="47"/>
      <c r="H85" s="46"/>
    </row>
    <row r="86" spans="1:8">
      <c r="A86" s="48"/>
      <c r="B86" s="49"/>
      <c r="C86" s="46"/>
      <c r="D86" s="66"/>
      <c r="E86" s="46"/>
      <c r="F86" s="64"/>
      <c r="G86" s="47"/>
      <c r="H86" s="46"/>
    </row>
    <row r="87" spans="1:8">
      <c r="A87" s="48"/>
      <c r="B87" s="49"/>
      <c r="C87" s="46"/>
      <c r="D87" s="66"/>
      <c r="E87" s="46"/>
      <c r="F87" s="64"/>
      <c r="G87" s="47"/>
      <c r="H87" s="46"/>
    </row>
    <row r="88" spans="1:8">
      <c r="A88" s="48"/>
      <c r="B88" s="49"/>
      <c r="C88" s="46"/>
      <c r="D88" s="66"/>
      <c r="E88" s="46"/>
      <c r="F88" s="64"/>
      <c r="G88" s="47"/>
      <c r="H88" s="46"/>
    </row>
    <row r="89" spans="1:8">
      <c r="A89" s="48"/>
      <c r="B89" s="49"/>
      <c r="C89" s="46"/>
      <c r="D89" s="66"/>
      <c r="E89" s="46"/>
      <c r="F89" s="64"/>
      <c r="G89" s="47"/>
      <c r="H89" s="46"/>
    </row>
    <row r="90" spans="1:8">
      <c r="A90" s="48"/>
      <c r="B90" s="49"/>
      <c r="C90" s="46"/>
      <c r="D90" s="66"/>
      <c r="E90" s="46"/>
      <c r="F90" s="64"/>
      <c r="G90" s="47"/>
      <c r="H90" s="46"/>
    </row>
    <row r="91" spans="1:8">
      <c r="A91" s="48"/>
      <c r="B91" s="49"/>
      <c r="C91" s="46"/>
      <c r="D91" s="66"/>
      <c r="E91" s="46"/>
      <c r="F91" s="64"/>
      <c r="G91" s="47"/>
      <c r="H91" s="46"/>
    </row>
    <row r="92" spans="1:8">
      <c r="A92" s="48"/>
      <c r="B92" s="49"/>
      <c r="C92" s="46"/>
      <c r="D92" s="66"/>
      <c r="E92" s="46"/>
      <c r="F92" s="64"/>
      <c r="G92" s="47"/>
      <c r="H92" s="46"/>
    </row>
    <row r="93" spans="1:8">
      <c r="A93" s="48"/>
      <c r="B93" s="49"/>
      <c r="C93" s="46"/>
      <c r="D93" s="66"/>
      <c r="E93" s="46"/>
      <c r="F93" s="64"/>
      <c r="G93" s="47"/>
      <c r="H93" s="46"/>
    </row>
    <row r="94" spans="1:8">
      <c r="A94" s="48"/>
      <c r="B94" s="49"/>
      <c r="C94" s="46"/>
      <c r="D94" s="66"/>
      <c r="E94" s="46"/>
      <c r="F94" s="64"/>
      <c r="G94" s="47"/>
      <c r="H94" s="46"/>
    </row>
    <row r="95" spans="1:8">
      <c r="A95" s="48"/>
      <c r="B95" s="49"/>
      <c r="C95" s="46"/>
      <c r="D95" s="66"/>
      <c r="E95" s="46"/>
      <c r="F95" s="64"/>
      <c r="G95" s="47"/>
      <c r="H95" s="46"/>
    </row>
    <row r="96" spans="1:8">
      <c r="A96" s="48"/>
      <c r="B96" s="49"/>
      <c r="C96" s="46"/>
      <c r="D96" s="66"/>
      <c r="E96" s="46"/>
      <c r="F96" s="64"/>
      <c r="G96" s="47"/>
      <c r="H96" s="46"/>
    </row>
    <row r="97" spans="1:8">
      <c r="A97" s="48"/>
      <c r="B97" s="49"/>
      <c r="C97" s="46"/>
      <c r="D97" s="66"/>
      <c r="E97" s="46"/>
      <c r="F97" s="64"/>
      <c r="G97" s="47"/>
      <c r="H97" s="46"/>
    </row>
    <row r="98" spans="1:8">
      <c r="A98" s="48"/>
      <c r="B98" s="49"/>
      <c r="C98" s="46"/>
      <c r="D98" s="66"/>
      <c r="E98" s="46"/>
      <c r="F98" s="64"/>
      <c r="G98" s="47"/>
      <c r="H98" s="46"/>
    </row>
    <row r="99" spans="1:8">
      <c r="A99" s="48"/>
      <c r="B99" s="49"/>
      <c r="C99" s="46"/>
      <c r="D99" s="66"/>
      <c r="E99" s="46"/>
      <c r="F99" s="64"/>
      <c r="G99" s="47"/>
      <c r="H99" s="46"/>
    </row>
    <row r="100" spans="1:8">
      <c r="A100" s="48"/>
      <c r="B100" s="49"/>
      <c r="C100" s="46"/>
      <c r="D100" s="66"/>
      <c r="E100" s="46"/>
      <c r="F100" s="64"/>
      <c r="G100" s="47"/>
      <c r="H100" s="46"/>
    </row>
    <row r="101" spans="1:8">
      <c r="A101" s="48"/>
      <c r="B101" s="49"/>
      <c r="C101" s="46"/>
      <c r="D101" s="66"/>
      <c r="E101" s="46"/>
      <c r="F101" s="64"/>
      <c r="G101" s="47"/>
      <c r="H101" s="46"/>
    </row>
    <row r="102" spans="1:8">
      <c r="A102" s="48"/>
      <c r="B102" s="49"/>
      <c r="C102" s="46"/>
      <c r="D102" s="66"/>
      <c r="E102" s="46"/>
      <c r="F102" s="64"/>
      <c r="G102" s="47"/>
      <c r="H102" s="46"/>
    </row>
    <row r="103" spans="1:8">
      <c r="A103" s="48"/>
      <c r="B103" s="49"/>
      <c r="C103" s="46"/>
      <c r="D103" s="66"/>
      <c r="E103" s="46"/>
      <c r="F103" s="64"/>
      <c r="G103" s="47"/>
      <c r="H103" s="46"/>
    </row>
    <row r="104" spans="1:8">
      <c r="A104" s="48"/>
      <c r="B104" s="49"/>
      <c r="C104" s="46"/>
      <c r="D104" s="66"/>
      <c r="E104" s="46"/>
      <c r="F104" s="64"/>
      <c r="G104" s="47"/>
      <c r="H104" s="46"/>
    </row>
    <row r="105" spans="1:8">
      <c r="A105" s="48"/>
      <c r="B105" s="49"/>
      <c r="C105" s="46"/>
      <c r="D105" s="66"/>
      <c r="E105" s="46"/>
      <c r="F105" s="64"/>
      <c r="G105" s="47"/>
      <c r="H105" s="46"/>
    </row>
    <row r="106" spans="1:8">
      <c r="A106" s="48"/>
      <c r="B106" s="49"/>
      <c r="C106" s="46"/>
      <c r="D106" s="66"/>
      <c r="E106" s="46"/>
      <c r="F106" s="64"/>
      <c r="G106" s="47"/>
      <c r="H106" s="46"/>
    </row>
    <row r="107" spans="1:8">
      <c r="A107" s="48"/>
      <c r="B107" s="49"/>
      <c r="C107" s="46"/>
      <c r="D107" s="66"/>
      <c r="E107" s="46"/>
      <c r="F107" s="64"/>
      <c r="G107" s="47"/>
      <c r="H107" s="46"/>
    </row>
    <row r="108" spans="1:8">
      <c r="A108" s="48"/>
      <c r="B108" s="49"/>
      <c r="C108" s="46"/>
      <c r="D108" s="66"/>
      <c r="E108" s="46"/>
      <c r="F108" s="64"/>
      <c r="G108" s="47"/>
      <c r="H108" s="46"/>
    </row>
    <row r="109" spans="1:8">
      <c r="A109" s="48"/>
      <c r="B109" s="49"/>
      <c r="C109" s="46"/>
      <c r="D109" s="66"/>
      <c r="E109" s="46"/>
      <c r="F109" s="64"/>
      <c r="G109" s="47"/>
      <c r="H109" s="46"/>
    </row>
    <row r="110" spans="1:8">
      <c r="A110" s="48"/>
      <c r="B110" s="49"/>
      <c r="C110" s="46"/>
      <c r="D110" s="66"/>
      <c r="E110" s="46"/>
      <c r="F110" s="64"/>
      <c r="G110" s="47"/>
      <c r="H110" s="46"/>
    </row>
    <row r="111" spans="1:8">
      <c r="A111" s="48"/>
      <c r="B111" s="49"/>
      <c r="C111" s="46"/>
      <c r="D111" s="66"/>
      <c r="E111" s="46"/>
      <c r="F111" s="64"/>
      <c r="G111" s="47"/>
      <c r="H111" s="46"/>
    </row>
    <row r="112" spans="1:8">
      <c r="A112" s="48"/>
      <c r="B112" s="49"/>
      <c r="C112" s="46"/>
      <c r="D112" s="66"/>
      <c r="E112" s="46"/>
      <c r="F112" s="64"/>
      <c r="G112" s="47"/>
      <c r="H112" s="46"/>
    </row>
    <row r="113" spans="1:8">
      <c r="A113" s="48"/>
      <c r="B113" s="49"/>
      <c r="C113" s="46"/>
      <c r="D113" s="66"/>
      <c r="E113" s="46"/>
      <c r="F113" s="64"/>
      <c r="G113" s="47"/>
      <c r="H113" s="46"/>
    </row>
    <row r="114" spans="1:8">
      <c r="A114" s="48"/>
      <c r="B114" s="49"/>
      <c r="C114" s="46"/>
      <c r="D114" s="66"/>
      <c r="E114" s="46"/>
      <c r="F114" s="64"/>
      <c r="G114" s="47"/>
      <c r="H114" s="46"/>
    </row>
    <row r="115" spans="1:8">
      <c r="A115" s="48"/>
      <c r="B115" s="49"/>
      <c r="C115" s="46"/>
      <c r="D115" s="66"/>
      <c r="E115" s="46"/>
      <c r="F115" s="64"/>
      <c r="G115" s="47"/>
      <c r="H115" s="46"/>
    </row>
    <row r="116" spans="1:8">
      <c r="A116" s="48"/>
      <c r="B116" s="49"/>
      <c r="C116" s="46"/>
      <c r="D116" s="66"/>
      <c r="E116" s="46"/>
      <c r="F116" s="64"/>
      <c r="G116" s="47"/>
      <c r="H116" s="46"/>
    </row>
    <row r="117" spans="1:8">
      <c r="A117" s="48"/>
      <c r="B117" s="49"/>
      <c r="C117" s="46"/>
      <c r="D117" s="66"/>
      <c r="E117" s="46"/>
      <c r="F117" s="64"/>
      <c r="G117" s="47"/>
      <c r="H117" s="46"/>
    </row>
    <row r="118" spans="1:8">
      <c r="A118" s="48"/>
      <c r="B118" s="49"/>
      <c r="C118" s="46"/>
      <c r="D118" s="66"/>
      <c r="E118" s="46"/>
      <c r="F118" s="64"/>
      <c r="G118" s="47"/>
      <c r="H118" s="46"/>
    </row>
    <row r="119" spans="1:8">
      <c r="A119" s="48"/>
      <c r="B119" s="49"/>
      <c r="C119" s="46"/>
      <c r="D119" s="66"/>
      <c r="E119" s="46"/>
      <c r="F119" s="64"/>
      <c r="G119" s="47"/>
      <c r="H119" s="46"/>
    </row>
    <row r="120" spans="1:8">
      <c r="A120" s="48"/>
      <c r="B120" s="49"/>
      <c r="C120" s="46"/>
      <c r="D120" s="66"/>
      <c r="E120" s="46"/>
      <c r="F120" s="64"/>
      <c r="G120" s="47"/>
      <c r="H120" s="46"/>
    </row>
    <row r="121" spans="1:8">
      <c r="A121" s="48"/>
      <c r="B121" s="49"/>
      <c r="C121" s="46"/>
      <c r="D121" s="66"/>
      <c r="E121" s="46"/>
      <c r="F121" s="64"/>
      <c r="G121" s="47"/>
      <c r="H121" s="46"/>
    </row>
    <row r="122" spans="1:8">
      <c r="A122" s="48"/>
      <c r="B122" s="49"/>
      <c r="C122" s="46"/>
      <c r="D122" s="66"/>
      <c r="E122" s="46"/>
      <c r="F122" s="64"/>
      <c r="G122" s="47"/>
      <c r="H122" s="46"/>
    </row>
    <row r="123" spans="1:8">
      <c r="A123" s="48"/>
      <c r="B123" s="49"/>
      <c r="C123" s="46"/>
      <c r="D123" s="66"/>
      <c r="E123" s="46"/>
      <c r="F123" s="64"/>
      <c r="G123" s="47"/>
      <c r="H123" s="46"/>
    </row>
    <row r="124" spans="1:8">
      <c r="A124" s="48"/>
      <c r="B124" s="49"/>
      <c r="C124" s="46"/>
      <c r="D124" s="66"/>
      <c r="E124" s="46"/>
      <c r="F124" s="64"/>
      <c r="G124" s="47"/>
      <c r="H124" s="46"/>
    </row>
    <row r="125" spans="1:8">
      <c r="A125" s="48"/>
      <c r="B125" s="49"/>
      <c r="C125" s="46"/>
      <c r="D125" s="66"/>
      <c r="E125" s="46"/>
      <c r="F125" s="64"/>
      <c r="G125" s="47"/>
      <c r="H125" s="46"/>
    </row>
    <row r="126" spans="1:8">
      <c r="A126" s="48"/>
      <c r="B126" s="49"/>
      <c r="C126" s="46"/>
      <c r="D126" s="66"/>
      <c r="E126" s="46"/>
      <c r="F126" s="64"/>
      <c r="G126" s="47"/>
      <c r="H126" s="46"/>
    </row>
    <row r="127" spans="1:8">
      <c r="A127" s="48"/>
      <c r="B127" s="49"/>
      <c r="C127" s="46"/>
      <c r="D127" s="66"/>
      <c r="E127" s="46"/>
      <c r="F127" s="64"/>
      <c r="G127" s="47"/>
      <c r="H127" s="46"/>
    </row>
    <row r="128" spans="1:8">
      <c r="A128" s="48"/>
      <c r="B128" s="49"/>
      <c r="C128" s="46"/>
      <c r="D128" s="66"/>
      <c r="E128" s="46"/>
      <c r="F128" s="64"/>
      <c r="G128" s="47"/>
      <c r="H128" s="46"/>
    </row>
    <row r="129" spans="1:8">
      <c r="A129" s="48"/>
      <c r="B129" s="49"/>
      <c r="C129" s="46"/>
      <c r="D129" s="66"/>
      <c r="E129" s="46"/>
      <c r="F129" s="64"/>
      <c r="G129" s="47"/>
      <c r="H129" s="46"/>
    </row>
    <row r="130" spans="1:8">
      <c r="A130" s="48"/>
      <c r="B130" s="49"/>
      <c r="C130" s="46"/>
      <c r="D130" s="66"/>
      <c r="E130" s="46"/>
      <c r="F130" s="64"/>
      <c r="G130" s="47"/>
      <c r="H130" s="46"/>
    </row>
    <row r="131" spans="1:8">
      <c r="A131" s="48"/>
      <c r="B131" s="49"/>
      <c r="C131" s="46"/>
      <c r="D131" s="66"/>
      <c r="E131" s="46"/>
      <c r="F131" s="64"/>
      <c r="G131" s="47"/>
      <c r="H131" s="46"/>
    </row>
    <row r="132" spans="1:8">
      <c r="A132" s="48"/>
      <c r="B132" s="49"/>
      <c r="C132" s="46"/>
      <c r="D132" s="66"/>
      <c r="E132" s="46"/>
      <c r="F132" s="64"/>
      <c r="G132" s="47"/>
      <c r="H132" s="46"/>
    </row>
    <row r="133" spans="1:8">
      <c r="A133" s="48"/>
      <c r="B133" s="49"/>
      <c r="C133" s="46"/>
      <c r="D133" s="66"/>
      <c r="E133" s="46"/>
      <c r="F133" s="64"/>
      <c r="G133" s="47"/>
      <c r="H133" s="46"/>
    </row>
    <row r="134" spans="1:8">
      <c r="A134" s="48"/>
      <c r="B134" s="49"/>
      <c r="C134" s="46"/>
      <c r="D134" s="66"/>
      <c r="E134" s="46"/>
      <c r="F134" s="64"/>
      <c r="G134" s="47"/>
      <c r="H134" s="46"/>
    </row>
    <row r="135" spans="1:8">
      <c r="A135" s="48"/>
      <c r="B135" s="49"/>
      <c r="C135" s="46"/>
      <c r="D135" s="66"/>
      <c r="E135" s="46"/>
      <c r="F135" s="64"/>
      <c r="G135" s="47"/>
      <c r="H135" s="46"/>
    </row>
    <row r="136" spans="1:8">
      <c r="A136" s="48"/>
      <c r="B136" s="49"/>
      <c r="C136" s="46"/>
      <c r="D136" s="66"/>
      <c r="E136" s="46"/>
      <c r="F136" s="64"/>
      <c r="G136" s="47"/>
      <c r="H136" s="46"/>
    </row>
    <row r="137" spans="1:8">
      <c r="A137" s="48"/>
      <c r="B137" s="49"/>
      <c r="C137" s="46"/>
      <c r="D137" s="66"/>
      <c r="E137" s="46"/>
      <c r="F137" s="64"/>
      <c r="G137" s="47"/>
      <c r="H137" s="46"/>
    </row>
    <row r="138" spans="1:8">
      <c r="A138" s="48"/>
      <c r="B138" s="49"/>
      <c r="C138" s="46"/>
      <c r="D138" s="66"/>
      <c r="E138" s="46"/>
      <c r="F138" s="64"/>
      <c r="G138" s="47"/>
      <c r="H138" s="46"/>
    </row>
    <row r="139" spans="1:8">
      <c r="A139" s="48"/>
      <c r="B139" s="49"/>
      <c r="C139" s="46"/>
      <c r="D139" s="66"/>
      <c r="E139" s="46"/>
      <c r="F139" s="64"/>
      <c r="G139" s="47"/>
      <c r="H139" s="46"/>
    </row>
    <row r="140" spans="1:8">
      <c r="A140" s="48"/>
      <c r="B140" s="49"/>
      <c r="C140" s="46"/>
      <c r="D140" s="66"/>
      <c r="E140" s="46"/>
      <c r="F140" s="64"/>
      <c r="G140" s="47"/>
      <c r="H140" s="46"/>
    </row>
    <row r="141" spans="1:8">
      <c r="A141" s="48"/>
      <c r="B141" s="49"/>
      <c r="C141" s="50"/>
      <c r="D141" s="67"/>
      <c r="E141" s="50"/>
      <c r="F141" s="64"/>
      <c r="G141" s="50"/>
      <c r="H141" s="50"/>
    </row>
    <row r="142" spans="1:8">
      <c r="A142" s="48"/>
      <c r="B142" s="49"/>
      <c r="C142" s="50"/>
      <c r="D142" s="67"/>
      <c r="E142" s="50"/>
      <c r="F142" s="64"/>
      <c r="G142" s="50"/>
      <c r="H142" s="50"/>
    </row>
    <row r="143" spans="1:8">
      <c r="A143" s="48"/>
      <c r="B143" s="49"/>
      <c r="C143" s="50"/>
      <c r="D143" s="67"/>
      <c r="E143" s="50"/>
      <c r="F143" s="64"/>
      <c r="G143" s="50"/>
      <c r="H143" s="50"/>
    </row>
    <row r="144" spans="1:8">
      <c r="A144" s="48"/>
      <c r="B144" s="49"/>
      <c r="C144" s="50"/>
      <c r="D144" s="67"/>
      <c r="E144" s="50"/>
      <c r="F144" s="64"/>
      <c r="G144" s="50"/>
      <c r="H144" s="50"/>
    </row>
    <row r="145" spans="1:8">
      <c r="A145" s="48"/>
      <c r="B145" s="49"/>
      <c r="C145" s="50"/>
      <c r="D145" s="67"/>
      <c r="E145" s="50"/>
      <c r="F145" s="64"/>
      <c r="G145" s="50"/>
      <c r="H145" s="50"/>
    </row>
    <row r="146" spans="1:8">
      <c r="A146" s="48"/>
      <c r="B146" s="49"/>
      <c r="C146" s="50"/>
      <c r="D146" s="67"/>
      <c r="E146" s="50"/>
      <c r="F146" s="64"/>
      <c r="G146" s="50"/>
      <c r="H146" s="50"/>
    </row>
    <row r="147" spans="1:8">
      <c r="A147" s="48"/>
      <c r="B147" s="49"/>
      <c r="C147" s="50"/>
      <c r="D147" s="67"/>
      <c r="E147" s="50"/>
      <c r="F147" s="64"/>
      <c r="G147" s="50"/>
      <c r="H147" s="50"/>
    </row>
    <row r="148" spans="1:8">
      <c r="A148" s="48"/>
      <c r="B148" s="49"/>
      <c r="C148" s="50"/>
      <c r="D148" s="67"/>
      <c r="E148" s="50"/>
      <c r="F148" s="64"/>
      <c r="G148" s="50"/>
      <c r="H148" s="50"/>
    </row>
    <row r="149" spans="1:8">
      <c r="A149" s="48"/>
      <c r="B149" s="49"/>
      <c r="C149" s="50"/>
      <c r="D149" s="67"/>
      <c r="E149" s="50"/>
      <c r="F149" s="64"/>
      <c r="G149" s="50"/>
      <c r="H149" s="50"/>
    </row>
    <row r="150" spans="1:8">
      <c r="A150" s="48"/>
      <c r="B150" s="49"/>
      <c r="C150" s="50"/>
      <c r="D150" s="67"/>
      <c r="E150" s="50"/>
      <c r="F150" s="64"/>
      <c r="G150" s="50"/>
      <c r="H150" s="50"/>
    </row>
    <row r="151" spans="1:8">
      <c r="A151" s="48"/>
      <c r="B151" s="49"/>
      <c r="C151" s="50"/>
      <c r="D151" s="67"/>
      <c r="E151" s="50"/>
      <c r="F151" s="64"/>
      <c r="G151" s="50"/>
      <c r="H151" s="50"/>
    </row>
    <row r="152" spans="1:8">
      <c r="A152" s="48"/>
      <c r="B152" s="49"/>
      <c r="C152" s="50"/>
      <c r="D152" s="67"/>
      <c r="E152" s="50"/>
      <c r="F152" s="64"/>
      <c r="G152" s="50"/>
      <c r="H152" s="50"/>
    </row>
    <row r="153" spans="1:8">
      <c r="A153" s="48"/>
      <c r="B153" s="49"/>
      <c r="C153" s="50"/>
      <c r="D153" s="67"/>
      <c r="E153" s="50"/>
      <c r="F153" s="64"/>
      <c r="G153" s="50"/>
      <c r="H153" s="50"/>
    </row>
    <row r="154" spans="1:8">
      <c r="A154" s="48"/>
      <c r="B154" s="49"/>
      <c r="C154" s="50"/>
      <c r="D154" s="67"/>
      <c r="E154" s="50"/>
      <c r="F154" s="64"/>
      <c r="G154" s="50"/>
      <c r="H154" s="50"/>
    </row>
    <row r="155" spans="1:8">
      <c r="A155" s="48"/>
      <c r="B155" s="49"/>
      <c r="C155" s="50"/>
      <c r="D155" s="67"/>
      <c r="E155" s="50"/>
      <c r="F155" s="64"/>
      <c r="G155" s="50"/>
      <c r="H155" s="50"/>
    </row>
    <row r="156" spans="1:8">
      <c r="A156" s="48"/>
      <c r="B156" s="49"/>
      <c r="C156" s="50"/>
      <c r="D156" s="67"/>
      <c r="E156" s="50"/>
      <c r="F156" s="64"/>
      <c r="G156" s="50"/>
      <c r="H156" s="50"/>
    </row>
    <row r="157" spans="1:8">
      <c r="A157" s="48"/>
      <c r="B157" s="49"/>
      <c r="C157" s="50"/>
      <c r="D157" s="67"/>
      <c r="E157" s="50"/>
      <c r="F157" s="64"/>
      <c r="G157" s="50"/>
      <c r="H157" s="50"/>
    </row>
    <row r="158" spans="1:8">
      <c r="A158" s="48"/>
      <c r="B158" s="49"/>
      <c r="C158" s="50"/>
      <c r="D158" s="67"/>
      <c r="E158" s="50"/>
      <c r="F158" s="64"/>
      <c r="G158" s="50"/>
      <c r="H158" s="50"/>
    </row>
    <row r="159" spans="1:8">
      <c r="A159" s="48"/>
      <c r="B159" s="49"/>
      <c r="C159" s="50"/>
      <c r="D159" s="67"/>
      <c r="E159" s="50"/>
      <c r="F159" s="64"/>
      <c r="G159" s="50"/>
      <c r="H159" s="50"/>
    </row>
    <row r="160" spans="1:8">
      <c r="A160" s="48"/>
      <c r="B160" s="49"/>
      <c r="C160" s="50"/>
      <c r="D160" s="67"/>
      <c r="E160" s="50"/>
      <c r="F160" s="64"/>
      <c r="G160" s="50"/>
      <c r="H160" s="50"/>
    </row>
    <row r="161" spans="1:8">
      <c r="A161" s="48"/>
      <c r="B161" s="49"/>
      <c r="C161" s="50"/>
      <c r="D161" s="67"/>
      <c r="E161" s="50"/>
      <c r="F161" s="64"/>
      <c r="G161" s="50"/>
      <c r="H161" s="50"/>
    </row>
    <row r="162" spans="1:8">
      <c r="A162" s="48"/>
      <c r="B162" s="49"/>
      <c r="C162" s="50"/>
      <c r="D162" s="67"/>
      <c r="E162" s="50"/>
      <c r="F162" s="64"/>
      <c r="G162" s="50"/>
      <c r="H162" s="50"/>
    </row>
    <row r="163" spans="1:8">
      <c r="A163" s="48"/>
      <c r="B163" s="49"/>
      <c r="C163" s="50"/>
      <c r="D163" s="67"/>
      <c r="E163" s="50"/>
      <c r="F163" s="64"/>
      <c r="G163" s="50"/>
      <c r="H163" s="50"/>
    </row>
    <row r="164" spans="1:8">
      <c r="A164" s="48"/>
      <c r="B164" s="49"/>
      <c r="C164" s="50"/>
      <c r="D164" s="67"/>
      <c r="E164" s="50"/>
      <c r="F164" s="64"/>
      <c r="G164" s="50"/>
      <c r="H164" s="50"/>
    </row>
    <row r="165" spans="1:8">
      <c r="A165" s="48"/>
      <c r="B165" s="49"/>
      <c r="C165" s="50"/>
      <c r="D165" s="67"/>
      <c r="E165" s="50"/>
      <c r="F165" s="64"/>
      <c r="G165" s="50"/>
      <c r="H165" s="50"/>
    </row>
    <row r="166" spans="1:8">
      <c r="A166" s="48"/>
      <c r="B166" s="49"/>
      <c r="C166" s="50"/>
      <c r="D166" s="67"/>
      <c r="E166" s="50"/>
      <c r="F166" s="64"/>
      <c r="G166" s="50"/>
      <c r="H166" s="50"/>
    </row>
    <row r="167" spans="1:8">
      <c r="A167" s="48"/>
      <c r="B167" s="49"/>
      <c r="C167" s="50"/>
      <c r="D167" s="67"/>
      <c r="E167" s="50"/>
      <c r="F167" s="64"/>
      <c r="G167" s="50"/>
      <c r="H167" s="50"/>
    </row>
    <row r="168" spans="1:8">
      <c r="A168" s="48"/>
      <c r="B168" s="49"/>
      <c r="C168" s="50"/>
      <c r="D168" s="67"/>
      <c r="E168" s="50"/>
      <c r="F168" s="64"/>
      <c r="G168" s="50"/>
      <c r="H168" s="50"/>
    </row>
    <row r="169" spans="1:8">
      <c r="A169" s="48"/>
      <c r="B169" s="49"/>
      <c r="C169" s="50"/>
      <c r="D169" s="67"/>
      <c r="E169" s="50"/>
      <c r="F169" s="64"/>
      <c r="G169" s="50"/>
      <c r="H169" s="50"/>
    </row>
    <row r="170" spans="1:8">
      <c r="A170" s="48"/>
      <c r="B170" s="49"/>
      <c r="C170" s="50"/>
      <c r="D170" s="67"/>
      <c r="E170" s="50"/>
      <c r="F170" s="64"/>
      <c r="G170" s="50"/>
      <c r="H170" s="50"/>
    </row>
    <row r="171" spans="1:8">
      <c r="A171" s="48"/>
      <c r="B171" s="49"/>
      <c r="C171" s="50"/>
      <c r="D171" s="67"/>
      <c r="E171" s="50"/>
      <c r="F171" s="64"/>
      <c r="G171" s="50"/>
      <c r="H171" s="50"/>
    </row>
    <row r="172" spans="1:8">
      <c r="A172" s="48"/>
      <c r="B172" s="49"/>
      <c r="C172" s="50"/>
      <c r="D172" s="67"/>
      <c r="E172" s="50"/>
      <c r="F172" s="64"/>
      <c r="G172" s="50"/>
      <c r="H172" s="50"/>
    </row>
    <row r="173" spans="1:8">
      <c r="A173" s="48"/>
      <c r="B173" s="49"/>
      <c r="C173" s="50"/>
      <c r="D173" s="67"/>
      <c r="E173" s="50"/>
      <c r="F173" s="64"/>
      <c r="G173" s="50"/>
      <c r="H173" s="50"/>
    </row>
    <row r="174" spans="1:8">
      <c r="A174" s="48"/>
      <c r="B174" s="49"/>
      <c r="C174" s="50"/>
      <c r="D174" s="67"/>
      <c r="E174" s="50"/>
      <c r="F174" s="64"/>
      <c r="G174" s="50"/>
      <c r="H174" s="50"/>
    </row>
    <row r="175" spans="1:8">
      <c r="A175" s="48"/>
      <c r="B175" s="49"/>
      <c r="C175" s="50"/>
      <c r="D175" s="67"/>
      <c r="E175" s="50"/>
      <c r="F175" s="64"/>
      <c r="G175" s="50"/>
      <c r="H175" s="50"/>
    </row>
    <row r="176" spans="1:8">
      <c r="A176" s="48"/>
      <c r="B176" s="49"/>
      <c r="C176" s="50"/>
      <c r="D176" s="67"/>
      <c r="E176" s="50"/>
      <c r="F176" s="64"/>
      <c r="G176" s="50"/>
      <c r="H176" s="50"/>
    </row>
    <row r="177" spans="1:8">
      <c r="A177" s="48"/>
      <c r="B177" s="49"/>
      <c r="C177" s="50"/>
      <c r="D177" s="67"/>
      <c r="E177" s="50"/>
      <c r="F177" s="64"/>
      <c r="G177" s="50"/>
      <c r="H177" s="50"/>
    </row>
    <row r="178" spans="1:8">
      <c r="A178" s="48"/>
      <c r="B178" s="49"/>
      <c r="C178" s="50"/>
      <c r="D178" s="67"/>
      <c r="E178" s="50"/>
      <c r="F178" s="64"/>
      <c r="G178" s="50"/>
      <c r="H178" s="50"/>
    </row>
    <row r="179" spans="1:8">
      <c r="A179" s="48"/>
      <c r="B179" s="49"/>
      <c r="C179" s="50"/>
      <c r="D179" s="67"/>
      <c r="E179" s="50"/>
      <c r="F179" s="64"/>
      <c r="G179" s="50"/>
      <c r="H179" s="50"/>
    </row>
    <row r="180" spans="1:8">
      <c r="A180" s="48"/>
      <c r="B180" s="49"/>
      <c r="C180" s="50"/>
      <c r="D180" s="67"/>
      <c r="E180" s="50"/>
      <c r="F180" s="64"/>
      <c r="G180" s="50"/>
      <c r="H180" s="50"/>
    </row>
    <row r="181" spans="1:8">
      <c r="A181" s="48"/>
      <c r="B181" s="49"/>
      <c r="C181" s="50"/>
      <c r="D181" s="67"/>
      <c r="E181" s="50"/>
      <c r="F181" s="64"/>
      <c r="G181" s="50"/>
      <c r="H181" s="50"/>
    </row>
    <row r="182" spans="1:8">
      <c r="A182" s="48"/>
      <c r="B182" s="49"/>
      <c r="C182" s="50"/>
      <c r="D182" s="67"/>
      <c r="E182" s="50"/>
      <c r="F182" s="64"/>
      <c r="G182" s="50"/>
      <c r="H182" s="50"/>
    </row>
    <row r="183" spans="1:8">
      <c r="A183" s="48"/>
      <c r="B183" s="49"/>
      <c r="C183" s="50"/>
      <c r="D183" s="67"/>
      <c r="E183" s="50"/>
      <c r="F183" s="64"/>
      <c r="G183" s="50"/>
      <c r="H183" s="50"/>
    </row>
    <row r="184" spans="1:8">
      <c r="A184" s="48"/>
      <c r="B184" s="49"/>
      <c r="C184" s="50"/>
      <c r="D184" s="67"/>
      <c r="E184" s="50"/>
      <c r="F184" s="64"/>
      <c r="G184" s="50"/>
      <c r="H184" s="50"/>
    </row>
    <row r="185" spans="1:8">
      <c r="A185" s="48"/>
      <c r="B185" s="49"/>
      <c r="C185" s="50"/>
      <c r="D185" s="67"/>
      <c r="E185" s="50"/>
      <c r="F185" s="64"/>
      <c r="G185" s="50"/>
      <c r="H185" s="50"/>
    </row>
    <row r="186" spans="1:8">
      <c r="A186" s="48"/>
      <c r="B186" s="49"/>
      <c r="C186" s="50"/>
      <c r="D186" s="67"/>
      <c r="E186" s="50"/>
      <c r="F186" s="64"/>
      <c r="G186" s="50"/>
      <c r="H186" s="50"/>
    </row>
    <row r="187" spans="1:8">
      <c r="A187" s="48"/>
      <c r="B187" s="49"/>
      <c r="C187" s="50"/>
      <c r="D187" s="67"/>
      <c r="E187" s="50"/>
      <c r="F187" s="64"/>
      <c r="G187" s="50"/>
      <c r="H187" s="50"/>
    </row>
    <row r="188" spans="1:8">
      <c r="A188" s="48"/>
      <c r="B188" s="49"/>
      <c r="C188" s="50"/>
      <c r="D188" s="67"/>
      <c r="E188" s="50"/>
      <c r="F188" s="64"/>
      <c r="G188" s="50"/>
      <c r="H188" s="50"/>
    </row>
    <row r="189" spans="1:8">
      <c r="A189" s="48"/>
      <c r="B189" s="49"/>
      <c r="C189" s="50"/>
      <c r="D189" s="67"/>
      <c r="E189" s="50"/>
      <c r="F189" s="64"/>
      <c r="G189" s="50"/>
      <c r="H189" s="50"/>
    </row>
    <row r="190" spans="1:8">
      <c r="A190" s="48"/>
      <c r="B190" s="49"/>
      <c r="C190" s="50"/>
      <c r="D190" s="67"/>
      <c r="E190" s="50"/>
      <c r="F190" s="64"/>
      <c r="G190" s="50"/>
      <c r="H190" s="50"/>
    </row>
    <row r="191" spans="1:8">
      <c r="A191" s="48"/>
      <c r="B191" s="49"/>
      <c r="C191" s="50"/>
      <c r="D191" s="67"/>
      <c r="E191" s="50"/>
      <c r="F191" s="64"/>
      <c r="G191" s="50"/>
      <c r="H191" s="50"/>
    </row>
    <row r="192" spans="1:8">
      <c r="A192" s="48"/>
      <c r="B192" s="49"/>
      <c r="C192" s="50"/>
      <c r="D192" s="67"/>
      <c r="E192" s="50"/>
      <c r="F192" s="64"/>
      <c r="G192" s="50"/>
      <c r="H192" s="50"/>
    </row>
    <row r="193" spans="1:8">
      <c r="A193" s="48"/>
      <c r="B193" s="49"/>
      <c r="C193" s="50"/>
      <c r="D193" s="67"/>
      <c r="E193" s="50"/>
      <c r="F193" s="64"/>
      <c r="G193" s="50"/>
      <c r="H193" s="50"/>
    </row>
    <row r="194" spans="1:8">
      <c r="A194" s="48"/>
      <c r="B194" s="49"/>
      <c r="C194" s="50"/>
      <c r="D194" s="67"/>
      <c r="E194" s="50"/>
      <c r="F194" s="64"/>
      <c r="G194" s="50"/>
      <c r="H194" s="50"/>
    </row>
    <row r="195" spans="1:8">
      <c r="A195" s="48"/>
      <c r="B195" s="49"/>
      <c r="C195" s="50"/>
      <c r="D195" s="67"/>
      <c r="E195" s="50"/>
      <c r="F195" s="64"/>
      <c r="G195" s="50"/>
      <c r="H195" s="50"/>
    </row>
    <row r="196" spans="1:8">
      <c r="A196" s="48"/>
      <c r="B196" s="49"/>
      <c r="C196" s="50"/>
      <c r="D196" s="67"/>
      <c r="E196" s="50"/>
      <c r="F196" s="64"/>
      <c r="G196" s="50"/>
      <c r="H196" s="50"/>
    </row>
    <row r="197" spans="1:8">
      <c r="A197" s="48"/>
      <c r="B197" s="49"/>
      <c r="C197" s="50"/>
      <c r="D197" s="67"/>
      <c r="E197" s="50"/>
      <c r="F197" s="64"/>
      <c r="G197" s="50"/>
      <c r="H197" s="50"/>
    </row>
    <row r="198" spans="1:8">
      <c r="A198" s="48"/>
      <c r="B198" s="49"/>
      <c r="C198" s="50"/>
      <c r="D198" s="67"/>
      <c r="E198" s="50"/>
      <c r="F198" s="64"/>
      <c r="G198" s="50"/>
      <c r="H198" s="50"/>
    </row>
    <row r="199" spans="1:8">
      <c r="A199" s="48"/>
      <c r="B199" s="49"/>
      <c r="C199" s="50"/>
      <c r="D199" s="67"/>
      <c r="E199" s="50"/>
      <c r="F199" s="64"/>
      <c r="G199" s="50"/>
      <c r="H199" s="50"/>
    </row>
    <row r="200" spans="1:8">
      <c r="A200" s="48"/>
      <c r="B200" s="49"/>
      <c r="C200" s="50"/>
      <c r="D200" s="67"/>
      <c r="E200" s="50"/>
      <c r="F200" s="64"/>
      <c r="G200" s="50"/>
      <c r="H200" s="50"/>
    </row>
    <row r="201" spans="1:8">
      <c r="A201" s="48"/>
      <c r="B201" s="49"/>
      <c r="C201" s="50"/>
      <c r="D201" s="67"/>
      <c r="E201" s="50"/>
      <c r="F201" s="64"/>
      <c r="G201" s="50"/>
      <c r="H201" s="50"/>
    </row>
    <row r="202" spans="1:8">
      <c r="A202" s="48"/>
      <c r="B202" s="49"/>
      <c r="C202" s="50"/>
      <c r="D202" s="67"/>
      <c r="E202" s="50"/>
      <c r="F202" s="64"/>
      <c r="G202" s="50"/>
      <c r="H202" s="50"/>
    </row>
    <row r="203" spans="1:8">
      <c r="A203" s="48"/>
      <c r="B203" s="49"/>
      <c r="C203" s="50"/>
      <c r="D203" s="67"/>
      <c r="E203" s="50"/>
      <c r="F203" s="64"/>
      <c r="G203" s="50"/>
      <c r="H203" s="50"/>
    </row>
    <row r="204" spans="1:8">
      <c r="A204" s="48"/>
      <c r="B204" s="49"/>
      <c r="C204" s="50"/>
      <c r="D204" s="67"/>
      <c r="E204" s="50"/>
      <c r="F204" s="64"/>
      <c r="G204" s="50"/>
      <c r="H204" s="50"/>
    </row>
    <row r="205" spans="1:8">
      <c r="A205" s="48"/>
      <c r="B205" s="49"/>
      <c r="C205" s="50"/>
      <c r="D205" s="67"/>
      <c r="E205" s="50"/>
      <c r="F205" s="64"/>
      <c r="G205" s="50"/>
      <c r="H205" s="50"/>
    </row>
    <row r="206" spans="1:8">
      <c r="A206" s="48"/>
      <c r="B206" s="49"/>
      <c r="C206" s="50"/>
      <c r="D206" s="67"/>
      <c r="E206" s="50"/>
      <c r="F206" s="64"/>
      <c r="G206" s="50"/>
      <c r="H206" s="50"/>
    </row>
    <row r="207" spans="1:8">
      <c r="A207" s="48"/>
      <c r="B207" s="49"/>
      <c r="C207" s="50"/>
      <c r="D207" s="67"/>
      <c r="E207" s="50"/>
      <c r="F207" s="64"/>
      <c r="G207" s="50"/>
      <c r="H207" s="50"/>
    </row>
    <row r="208" spans="1:8">
      <c r="A208" s="48"/>
      <c r="B208" s="49"/>
      <c r="C208" s="50"/>
      <c r="D208" s="67"/>
      <c r="E208" s="50"/>
      <c r="F208" s="64"/>
      <c r="G208" s="50"/>
      <c r="H208" s="50"/>
    </row>
    <row r="209" spans="1:8">
      <c r="A209" s="48"/>
      <c r="B209" s="49"/>
      <c r="C209" s="50"/>
      <c r="D209" s="67"/>
      <c r="E209" s="50"/>
      <c r="F209" s="64"/>
      <c r="G209" s="50"/>
      <c r="H209" s="50"/>
    </row>
    <row r="210" spans="1:8">
      <c r="A210" s="48"/>
      <c r="B210" s="49"/>
      <c r="C210" s="50"/>
      <c r="D210" s="67"/>
      <c r="E210" s="50"/>
      <c r="F210" s="64"/>
      <c r="G210" s="50"/>
      <c r="H210" s="50"/>
    </row>
    <row r="211" spans="1:8">
      <c r="A211" s="48"/>
      <c r="B211" s="49"/>
      <c r="C211" s="50"/>
      <c r="D211" s="67"/>
      <c r="E211" s="50"/>
      <c r="F211" s="64"/>
      <c r="G211" s="50"/>
      <c r="H211" s="50"/>
    </row>
    <row r="212" spans="1:8">
      <c r="A212" s="48"/>
      <c r="B212" s="49"/>
      <c r="C212" s="50"/>
      <c r="D212" s="67"/>
      <c r="E212" s="50"/>
      <c r="F212" s="64"/>
      <c r="G212" s="50"/>
      <c r="H212" s="50"/>
    </row>
    <row r="213" spans="1:8">
      <c r="A213" s="48"/>
      <c r="B213" s="49"/>
      <c r="C213" s="50"/>
      <c r="D213" s="67"/>
      <c r="E213" s="50"/>
      <c r="F213" s="64"/>
      <c r="G213" s="50"/>
      <c r="H213" s="50"/>
    </row>
    <row r="214" spans="1:8">
      <c r="A214" s="48"/>
      <c r="B214" s="49"/>
      <c r="C214" s="50"/>
      <c r="D214" s="67"/>
      <c r="E214" s="50"/>
      <c r="F214" s="64"/>
      <c r="G214" s="50"/>
      <c r="H214" s="50"/>
    </row>
    <row r="215" spans="1:8">
      <c r="A215" s="48"/>
      <c r="B215" s="49"/>
      <c r="C215" s="50"/>
      <c r="D215" s="67"/>
      <c r="E215" s="50"/>
      <c r="F215" s="64"/>
      <c r="G215" s="50"/>
      <c r="H215" s="50"/>
    </row>
    <row r="216" spans="1:8">
      <c r="A216" s="48"/>
      <c r="B216" s="49"/>
      <c r="C216" s="50"/>
      <c r="D216" s="67"/>
      <c r="E216" s="50"/>
      <c r="F216" s="64"/>
      <c r="G216" s="50"/>
      <c r="H216" s="50"/>
    </row>
    <row r="217" spans="1:8">
      <c r="A217" s="48"/>
      <c r="B217" s="49"/>
      <c r="C217" s="50"/>
      <c r="D217" s="67"/>
      <c r="E217" s="50"/>
      <c r="F217" s="64"/>
      <c r="G217" s="50"/>
      <c r="H217" s="50"/>
    </row>
    <row r="218" spans="1:8">
      <c r="A218" s="48"/>
      <c r="B218" s="49"/>
      <c r="C218" s="50"/>
      <c r="D218" s="67"/>
      <c r="E218" s="50"/>
      <c r="F218" s="64"/>
      <c r="G218" s="50"/>
      <c r="H218" s="50"/>
    </row>
    <row r="219" spans="1:8">
      <c r="A219" s="48"/>
      <c r="B219" s="49"/>
      <c r="C219" s="50"/>
      <c r="D219" s="67"/>
      <c r="E219" s="50"/>
      <c r="F219" s="64"/>
      <c r="G219" s="50"/>
      <c r="H219" s="50"/>
    </row>
    <row r="220" spans="1:8">
      <c r="A220" s="48"/>
      <c r="B220" s="49"/>
      <c r="C220" s="50"/>
      <c r="D220" s="67"/>
      <c r="E220" s="50"/>
      <c r="F220" s="64"/>
      <c r="G220" s="50"/>
      <c r="H220" s="50"/>
    </row>
    <row r="221" spans="1:8">
      <c r="A221" s="48"/>
      <c r="B221" s="49"/>
      <c r="C221" s="50"/>
      <c r="D221" s="67"/>
      <c r="E221" s="50"/>
      <c r="F221" s="64"/>
      <c r="G221" s="50"/>
      <c r="H221" s="50"/>
    </row>
    <row r="222" spans="1:8">
      <c r="A222" s="48"/>
      <c r="B222" s="49"/>
      <c r="C222" s="50"/>
      <c r="D222" s="67"/>
      <c r="E222" s="50"/>
      <c r="F222" s="64"/>
      <c r="G222" s="50"/>
      <c r="H222" s="50"/>
    </row>
    <row r="223" spans="1:8">
      <c r="A223" s="48"/>
      <c r="B223" s="49"/>
      <c r="C223" s="50"/>
      <c r="D223" s="67"/>
      <c r="E223" s="50"/>
      <c r="F223" s="64"/>
      <c r="G223" s="50"/>
      <c r="H223" s="50"/>
    </row>
    <row r="224" spans="1:8">
      <c r="A224" s="48"/>
      <c r="B224" s="49"/>
      <c r="C224" s="50"/>
      <c r="D224" s="67"/>
      <c r="E224" s="50"/>
      <c r="F224" s="64"/>
      <c r="G224" s="50"/>
      <c r="H224" s="50"/>
    </row>
    <row r="225" spans="1:8">
      <c r="A225" s="48"/>
      <c r="B225" s="49"/>
      <c r="C225" s="50"/>
      <c r="D225" s="67"/>
      <c r="E225" s="50"/>
      <c r="F225" s="64"/>
      <c r="G225" s="50"/>
      <c r="H225" s="50"/>
    </row>
    <row r="226" spans="1:8">
      <c r="A226" s="48"/>
      <c r="B226" s="49"/>
      <c r="C226" s="50"/>
      <c r="D226" s="67"/>
      <c r="E226" s="50"/>
      <c r="F226" s="64"/>
      <c r="G226" s="50"/>
      <c r="H226" s="50"/>
    </row>
    <row r="227" spans="1:8">
      <c r="A227" s="48"/>
      <c r="B227" s="49"/>
      <c r="C227" s="50"/>
      <c r="D227" s="67"/>
      <c r="E227" s="50"/>
      <c r="F227" s="64"/>
      <c r="G227" s="50"/>
      <c r="H227" s="50"/>
    </row>
    <row r="228" spans="1:8">
      <c r="A228" s="48"/>
      <c r="B228" s="49"/>
      <c r="C228" s="50"/>
      <c r="D228" s="67"/>
      <c r="E228" s="50"/>
      <c r="F228" s="64"/>
      <c r="G228" s="50"/>
      <c r="H228" s="50"/>
    </row>
    <row r="229" spans="1:8">
      <c r="A229" s="48"/>
      <c r="B229" s="49"/>
      <c r="C229" s="50"/>
      <c r="D229" s="67"/>
      <c r="E229" s="50"/>
      <c r="F229" s="64"/>
      <c r="G229" s="50"/>
      <c r="H229" s="50"/>
    </row>
    <row r="230" spans="1:8">
      <c r="A230" s="48"/>
      <c r="B230" s="49"/>
      <c r="C230" s="50"/>
      <c r="D230" s="67"/>
      <c r="E230" s="50"/>
      <c r="F230" s="64"/>
      <c r="G230" s="50"/>
      <c r="H230" s="50"/>
    </row>
    <row r="231" spans="1:8">
      <c r="A231" s="48"/>
      <c r="B231" s="49"/>
      <c r="C231" s="50"/>
      <c r="D231" s="67"/>
      <c r="E231" s="50"/>
      <c r="F231" s="64"/>
      <c r="G231" s="50"/>
      <c r="H231" s="50"/>
    </row>
    <row r="232" spans="1:8">
      <c r="A232" s="48"/>
      <c r="B232" s="49"/>
      <c r="C232" s="50"/>
      <c r="D232" s="67"/>
      <c r="E232" s="50"/>
      <c r="F232" s="64"/>
      <c r="G232" s="50"/>
      <c r="H232" s="50"/>
    </row>
    <row r="233" spans="1:8">
      <c r="A233" s="48"/>
      <c r="B233" s="49"/>
      <c r="C233" s="50"/>
      <c r="D233" s="67"/>
      <c r="E233" s="50"/>
      <c r="F233" s="64"/>
      <c r="G233" s="50"/>
      <c r="H233" s="50"/>
    </row>
    <row r="234" spans="1:8">
      <c r="A234" s="48"/>
      <c r="B234" s="49"/>
      <c r="C234" s="50"/>
      <c r="D234" s="67"/>
      <c r="E234" s="50"/>
      <c r="F234" s="64"/>
      <c r="G234" s="50"/>
      <c r="H234" s="50"/>
    </row>
    <row r="235" spans="1:8">
      <c r="A235" s="48"/>
      <c r="B235" s="49"/>
      <c r="C235" s="50"/>
      <c r="D235" s="67"/>
      <c r="E235" s="50"/>
      <c r="F235" s="64"/>
      <c r="G235" s="50"/>
      <c r="H235" s="50"/>
    </row>
    <row r="236" spans="1:8">
      <c r="A236" s="48"/>
      <c r="B236" s="49"/>
      <c r="C236" s="50"/>
      <c r="D236" s="67"/>
      <c r="E236" s="50"/>
      <c r="F236" s="64"/>
      <c r="G236" s="50"/>
      <c r="H236" s="50"/>
    </row>
    <row r="237" spans="1:8">
      <c r="A237" s="48"/>
      <c r="B237" s="49"/>
      <c r="C237" s="50"/>
      <c r="D237" s="67"/>
      <c r="E237" s="50"/>
      <c r="F237" s="64"/>
      <c r="G237" s="50"/>
      <c r="H237" s="50"/>
    </row>
    <row r="238" spans="1:8">
      <c r="A238" s="48"/>
      <c r="B238" s="49"/>
      <c r="C238" s="50"/>
      <c r="D238" s="67"/>
      <c r="E238" s="50"/>
      <c r="F238" s="64"/>
      <c r="G238" s="50"/>
      <c r="H238" s="50"/>
    </row>
    <row r="239" spans="1:8">
      <c r="A239" s="48"/>
      <c r="B239" s="49"/>
      <c r="C239" s="50"/>
      <c r="D239" s="67"/>
      <c r="E239" s="50"/>
      <c r="F239" s="64"/>
      <c r="G239" s="50"/>
      <c r="H239" s="50"/>
    </row>
    <row r="240" spans="1:8">
      <c r="A240" s="48"/>
      <c r="B240" s="49"/>
      <c r="C240" s="50"/>
      <c r="D240" s="67"/>
      <c r="E240" s="50"/>
      <c r="F240" s="64"/>
      <c r="G240" s="50"/>
      <c r="H240" s="50"/>
    </row>
    <row r="241" spans="1:8">
      <c r="A241" s="48"/>
      <c r="B241" s="49"/>
      <c r="C241" s="50"/>
      <c r="D241" s="67"/>
      <c r="E241" s="50"/>
      <c r="F241" s="64"/>
      <c r="G241" s="50"/>
      <c r="H241" s="50"/>
    </row>
    <row r="242" spans="1:8">
      <c r="A242" s="48"/>
      <c r="B242" s="49"/>
      <c r="C242" s="50"/>
      <c r="D242" s="67"/>
      <c r="E242" s="50"/>
      <c r="F242" s="64"/>
      <c r="G242" s="50"/>
      <c r="H242" s="50"/>
    </row>
    <row r="243" spans="1:8">
      <c r="A243" s="48"/>
      <c r="B243" s="49"/>
      <c r="C243" s="50"/>
      <c r="D243" s="67"/>
      <c r="E243" s="50"/>
      <c r="F243" s="64"/>
      <c r="G243" s="50"/>
      <c r="H243" s="50"/>
    </row>
    <row r="244" spans="1:8">
      <c r="A244" s="48"/>
      <c r="B244" s="49"/>
      <c r="C244" s="50"/>
      <c r="D244" s="67"/>
      <c r="E244" s="50"/>
      <c r="F244" s="64"/>
      <c r="G244" s="50"/>
      <c r="H244" s="50"/>
    </row>
    <row r="245" spans="1:8">
      <c r="A245" s="48"/>
      <c r="B245" s="49"/>
      <c r="C245" s="50"/>
      <c r="D245" s="67"/>
      <c r="E245" s="50"/>
      <c r="F245" s="64"/>
      <c r="G245" s="50"/>
      <c r="H245" s="50"/>
    </row>
    <row r="246" spans="1:8">
      <c r="A246" s="48"/>
      <c r="B246" s="49"/>
      <c r="C246" s="50"/>
      <c r="D246" s="67"/>
      <c r="E246" s="50"/>
      <c r="F246" s="64"/>
      <c r="G246" s="50"/>
      <c r="H246" s="50"/>
    </row>
    <row r="247" spans="1:8">
      <c r="A247" s="48"/>
      <c r="B247" s="49"/>
      <c r="C247" s="50"/>
      <c r="D247" s="67"/>
      <c r="E247" s="50"/>
      <c r="F247" s="64"/>
      <c r="G247" s="50"/>
      <c r="H247" s="50"/>
    </row>
    <row r="248" spans="1:8">
      <c r="A248" s="48"/>
      <c r="B248" s="49"/>
      <c r="C248" s="50"/>
      <c r="D248" s="67"/>
      <c r="E248" s="50"/>
      <c r="F248" s="64"/>
      <c r="G248" s="50"/>
      <c r="H248" s="50"/>
    </row>
    <row r="249" spans="1:8">
      <c r="A249" s="48"/>
      <c r="B249" s="49"/>
      <c r="C249" s="50"/>
      <c r="D249" s="67"/>
      <c r="E249" s="50"/>
      <c r="F249" s="64"/>
      <c r="G249" s="50"/>
      <c r="H249" s="50"/>
    </row>
    <row r="250" spans="1:8">
      <c r="A250" s="48"/>
      <c r="B250" s="49"/>
      <c r="C250" s="50"/>
      <c r="D250" s="67"/>
      <c r="E250" s="50"/>
      <c r="F250" s="64"/>
      <c r="G250" s="50"/>
      <c r="H250" s="50"/>
    </row>
    <row r="251" spans="1:8">
      <c r="A251" s="48"/>
      <c r="B251" s="49"/>
      <c r="C251" s="50"/>
      <c r="D251" s="67"/>
      <c r="E251" s="50"/>
      <c r="F251" s="64"/>
      <c r="G251" s="50"/>
      <c r="H251" s="50"/>
    </row>
    <row r="252" spans="1:8">
      <c r="A252" s="48"/>
      <c r="B252" s="49"/>
      <c r="C252" s="50"/>
      <c r="D252" s="67"/>
      <c r="E252" s="50"/>
      <c r="F252" s="64"/>
      <c r="G252" s="50"/>
      <c r="H252" s="50"/>
    </row>
    <row r="253" spans="1:8">
      <c r="A253" s="48"/>
      <c r="B253" s="49"/>
      <c r="C253" s="50"/>
      <c r="D253" s="67"/>
      <c r="E253" s="50"/>
      <c r="F253" s="64"/>
      <c r="G253" s="50"/>
      <c r="H253" s="50"/>
    </row>
    <row r="254" spans="1:8">
      <c r="A254" s="48"/>
      <c r="B254" s="49"/>
      <c r="C254" s="50"/>
      <c r="D254" s="67"/>
      <c r="E254" s="50"/>
      <c r="F254" s="64"/>
      <c r="G254" s="50"/>
      <c r="H254" s="50"/>
    </row>
    <row r="255" spans="1:8">
      <c r="A255" s="48"/>
      <c r="B255" s="49"/>
      <c r="C255" s="50"/>
      <c r="D255" s="67"/>
      <c r="E255" s="50"/>
      <c r="F255" s="64"/>
      <c r="G255" s="50"/>
      <c r="H255" s="50"/>
    </row>
    <row r="256" spans="1:8">
      <c r="A256" s="48"/>
      <c r="B256" s="49"/>
      <c r="C256" s="50"/>
      <c r="D256" s="67"/>
      <c r="E256" s="50"/>
      <c r="F256" s="64"/>
      <c r="G256" s="50"/>
      <c r="H256" s="50"/>
    </row>
    <row r="257" spans="1:8">
      <c r="A257" s="48"/>
      <c r="B257" s="49"/>
      <c r="C257" s="50"/>
      <c r="D257" s="67"/>
      <c r="E257" s="50"/>
      <c r="F257" s="64"/>
      <c r="G257" s="50"/>
      <c r="H257" s="50"/>
    </row>
    <row r="258" spans="1:8">
      <c r="A258" s="48"/>
      <c r="B258" s="49"/>
      <c r="C258" s="50"/>
      <c r="D258" s="67"/>
      <c r="E258" s="50"/>
      <c r="F258" s="64"/>
      <c r="G258" s="50"/>
      <c r="H258" s="50"/>
    </row>
    <row r="259" spans="1:8">
      <c r="A259" s="48"/>
      <c r="B259" s="49"/>
      <c r="C259" s="50"/>
      <c r="D259" s="67"/>
      <c r="E259" s="50"/>
      <c r="F259" s="64"/>
      <c r="G259" s="50"/>
      <c r="H259" s="50"/>
    </row>
    <row r="260" spans="1:8">
      <c r="A260" s="48"/>
      <c r="B260" s="49"/>
      <c r="C260" s="50"/>
      <c r="D260" s="67"/>
      <c r="E260" s="50"/>
      <c r="F260" s="64"/>
      <c r="G260" s="50"/>
      <c r="H260" s="50"/>
    </row>
    <row r="261" spans="1:8">
      <c r="A261" s="48"/>
      <c r="B261" s="49"/>
      <c r="C261" s="50"/>
      <c r="D261" s="67"/>
      <c r="E261" s="50"/>
      <c r="F261" s="64"/>
      <c r="G261" s="50"/>
      <c r="H261" s="50"/>
    </row>
    <row r="262" spans="1:8">
      <c r="A262" s="48"/>
      <c r="B262" s="49"/>
      <c r="C262" s="50"/>
      <c r="D262" s="67"/>
      <c r="E262" s="50"/>
      <c r="F262" s="64"/>
      <c r="G262" s="50"/>
      <c r="H262" s="50"/>
    </row>
    <row r="263" spans="1:8">
      <c r="A263" s="48"/>
      <c r="B263" s="49"/>
      <c r="C263" s="50"/>
      <c r="D263" s="67"/>
      <c r="E263" s="50"/>
      <c r="F263" s="64"/>
      <c r="G263" s="50"/>
      <c r="H263" s="50"/>
    </row>
    <row r="264" spans="1:8">
      <c r="A264" s="48"/>
      <c r="B264" s="49"/>
      <c r="C264" s="50"/>
      <c r="D264" s="67"/>
      <c r="E264" s="50"/>
      <c r="F264" s="64"/>
      <c r="G264" s="50"/>
      <c r="H264" s="50"/>
    </row>
    <row r="265" spans="1:8">
      <c r="A265" s="48"/>
      <c r="B265" s="49"/>
      <c r="C265" s="50"/>
      <c r="D265" s="67"/>
      <c r="E265" s="50"/>
      <c r="F265" s="64"/>
      <c r="G265" s="50"/>
      <c r="H265" s="50"/>
    </row>
    <row r="266" spans="1:8">
      <c r="A266" s="48"/>
      <c r="B266" s="49"/>
      <c r="C266" s="50"/>
      <c r="D266" s="67"/>
      <c r="E266" s="50"/>
      <c r="F266" s="64"/>
      <c r="G266" s="50"/>
      <c r="H266" s="50"/>
    </row>
    <row r="267" spans="1:8">
      <c r="A267" s="48"/>
      <c r="B267" s="49"/>
      <c r="C267" s="50"/>
      <c r="D267" s="67"/>
      <c r="E267" s="50"/>
      <c r="F267" s="64"/>
      <c r="G267" s="50"/>
      <c r="H267" s="50"/>
    </row>
    <row r="268" spans="1:8">
      <c r="A268" s="48"/>
      <c r="B268" s="49"/>
      <c r="C268" s="50"/>
      <c r="D268" s="67"/>
      <c r="E268" s="50"/>
      <c r="F268" s="64"/>
      <c r="G268" s="50"/>
      <c r="H268" s="50"/>
    </row>
    <row r="269" spans="1:8">
      <c r="A269" s="48"/>
      <c r="B269" s="49"/>
      <c r="C269" s="50"/>
      <c r="D269" s="67"/>
      <c r="E269" s="50"/>
      <c r="F269" s="64"/>
      <c r="G269" s="50"/>
      <c r="H269" s="50"/>
    </row>
    <row r="270" spans="1:8">
      <c r="A270" s="48"/>
      <c r="B270" s="49"/>
      <c r="C270" s="50"/>
      <c r="D270" s="67"/>
      <c r="E270" s="50"/>
      <c r="F270" s="64"/>
      <c r="G270" s="50"/>
      <c r="H270" s="50"/>
    </row>
    <row r="271" spans="1:8">
      <c r="A271" s="48"/>
      <c r="B271" s="49"/>
      <c r="C271" s="50"/>
      <c r="D271" s="67"/>
      <c r="E271" s="50"/>
      <c r="F271" s="64"/>
      <c r="G271" s="50"/>
      <c r="H271" s="50"/>
    </row>
    <row r="272" spans="1:8">
      <c r="A272" s="48"/>
      <c r="B272" s="49"/>
      <c r="C272" s="50"/>
      <c r="D272" s="67"/>
      <c r="E272" s="50"/>
      <c r="F272" s="64"/>
      <c r="G272" s="50"/>
      <c r="H272" s="50"/>
    </row>
    <row r="273" spans="1:8">
      <c r="A273" s="48"/>
      <c r="B273" s="49"/>
      <c r="C273" s="50"/>
      <c r="D273" s="67"/>
      <c r="E273" s="50"/>
      <c r="F273" s="64"/>
      <c r="G273" s="50"/>
      <c r="H273" s="50"/>
    </row>
    <row r="274" spans="1:8">
      <c r="A274" s="48"/>
      <c r="B274" s="49"/>
      <c r="C274" s="50"/>
      <c r="D274" s="67"/>
      <c r="E274" s="50"/>
      <c r="F274" s="64"/>
      <c r="G274" s="50"/>
      <c r="H274" s="50"/>
    </row>
    <row r="275" spans="1:8">
      <c r="A275" s="48"/>
      <c r="B275" s="49"/>
      <c r="C275" s="50"/>
      <c r="D275" s="67"/>
      <c r="E275" s="50"/>
      <c r="F275" s="64"/>
      <c r="G275" s="50"/>
      <c r="H275" s="50"/>
    </row>
    <row r="276" spans="1:8">
      <c r="A276" s="48"/>
      <c r="B276" s="49"/>
      <c r="C276" s="50"/>
      <c r="D276" s="67"/>
      <c r="E276" s="50"/>
      <c r="F276" s="64"/>
      <c r="G276" s="50"/>
      <c r="H276" s="50"/>
    </row>
    <row r="277" spans="1:8">
      <c r="A277" s="48"/>
      <c r="B277" s="49"/>
      <c r="C277" s="50"/>
      <c r="D277" s="67"/>
      <c r="E277" s="50"/>
      <c r="F277" s="64"/>
      <c r="G277" s="50"/>
      <c r="H277" s="50"/>
    </row>
    <row r="278" spans="1:8">
      <c r="A278" s="48"/>
      <c r="B278" s="49"/>
      <c r="C278" s="50"/>
      <c r="D278" s="67"/>
      <c r="E278" s="50"/>
      <c r="F278" s="64"/>
      <c r="G278" s="50"/>
      <c r="H278" s="50"/>
    </row>
    <row r="279" spans="1:8">
      <c r="A279" s="48"/>
      <c r="B279" s="49"/>
      <c r="C279" s="50"/>
      <c r="D279" s="67"/>
      <c r="E279" s="50"/>
      <c r="F279" s="64"/>
      <c r="G279" s="50"/>
      <c r="H279" s="50"/>
    </row>
    <row r="280" spans="1:8">
      <c r="A280" s="48"/>
      <c r="B280" s="49"/>
      <c r="C280" s="50"/>
      <c r="D280" s="67"/>
      <c r="E280" s="50"/>
      <c r="F280" s="64"/>
      <c r="G280" s="50"/>
      <c r="H280" s="50"/>
    </row>
    <row r="281" spans="1:8">
      <c r="A281" s="48"/>
      <c r="B281" s="49"/>
      <c r="C281" s="50"/>
      <c r="D281" s="67"/>
      <c r="E281" s="50"/>
      <c r="F281" s="64"/>
      <c r="G281" s="50"/>
      <c r="H281" s="50"/>
    </row>
    <row r="282" spans="1:8">
      <c r="A282" s="48"/>
      <c r="B282" s="49"/>
      <c r="C282" s="50"/>
      <c r="D282" s="67"/>
      <c r="E282" s="50"/>
      <c r="F282" s="64"/>
      <c r="G282" s="50"/>
      <c r="H282" s="50"/>
    </row>
    <row r="283" spans="1:8">
      <c r="A283" s="48"/>
      <c r="B283" s="49"/>
      <c r="C283" s="50"/>
      <c r="D283" s="67"/>
      <c r="E283" s="50"/>
      <c r="F283" s="64"/>
      <c r="G283" s="50"/>
      <c r="H283" s="50"/>
    </row>
    <row r="284" spans="1:8">
      <c r="A284" s="48"/>
      <c r="B284" s="49"/>
      <c r="C284" s="50"/>
      <c r="D284" s="67"/>
      <c r="E284" s="50"/>
      <c r="F284" s="64"/>
      <c r="G284" s="50"/>
      <c r="H284" s="50"/>
    </row>
    <row r="285" spans="1:8">
      <c r="A285" s="48"/>
      <c r="B285" s="49"/>
      <c r="C285" s="50"/>
      <c r="D285" s="67"/>
      <c r="E285" s="50"/>
      <c r="F285" s="64"/>
      <c r="G285" s="50"/>
      <c r="H285" s="50"/>
    </row>
    <row r="286" spans="1:8">
      <c r="A286" s="48"/>
      <c r="B286" s="49"/>
      <c r="C286" s="50"/>
      <c r="D286" s="67"/>
      <c r="E286" s="50"/>
      <c r="F286" s="64"/>
      <c r="G286" s="50"/>
      <c r="H286" s="50"/>
    </row>
    <row r="287" spans="1:8">
      <c r="A287" s="48"/>
      <c r="B287" s="49"/>
      <c r="C287" s="50"/>
      <c r="D287" s="67"/>
      <c r="E287" s="50"/>
      <c r="F287" s="64"/>
      <c r="G287" s="50"/>
      <c r="H287" s="50"/>
    </row>
    <row r="288" spans="1:8">
      <c r="A288" s="48"/>
      <c r="B288" s="49"/>
      <c r="C288" s="50"/>
      <c r="D288" s="67"/>
      <c r="E288" s="50"/>
      <c r="F288" s="64"/>
      <c r="G288" s="50"/>
      <c r="H288" s="50"/>
    </row>
    <row r="289" spans="1:8">
      <c r="A289" s="48"/>
      <c r="B289" s="49"/>
      <c r="C289" s="50"/>
      <c r="D289" s="67"/>
      <c r="E289" s="50"/>
      <c r="F289" s="64"/>
      <c r="G289" s="50"/>
      <c r="H289" s="50"/>
    </row>
    <row r="290" spans="1:8">
      <c r="A290" s="48"/>
      <c r="B290" s="49"/>
      <c r="C290" s="50"/>
      <c r="D290" s="67"/>
      <c r="E290" s="50"/>
      <c r="F290" s="64"/>
      <c r="G290" s="50"/>
      <c r="H290" s="50"/>
    </row>
    <row r="291" spans="1:8">
      <c r="A291" s="48"/>
      <c r="B291" s="49"/>
      <c r="C291" s="50"/>
      <c r="D291" s="67"/>
      <c r="E291" s="50"/>
      <c r="F291" s="64"/>
      <c r="G291" s="50"/>
      <c r="H291" s="50"/>
    </row>
    <row r="292" spans="1:8">
      <c r="A292" s="48"/>
      <c r="B292" s="49"/>
      <c r="C292" s="50"/>
      <c r="D292" s="67"/>
      <c r="E292" s="50"/>
      <c r="F292" s="64"/>
      <c r="G292" s="50"/>
      <c r="H292" s="50"/>
    </row>
    <row r="293" spans="1:8">
      <c r="A293" s="48"/>
      <c r="B293" s="49"/>
      <c r="C293" s="50"/>
      <c r="D293" s="67"/>
      <c r="E293" s="50"/>
      <c r="F293" s="64"/>
      <c r="G293" s="50"/>
      <c r="H293" s="50"/>
    </row>
    <row r="294" spans="1:8">
      <c r="A294" s="48"/>
      <c r="B294" s="49"/>
      <c r="C294" s="50"/>
      <c r="D294" s="67"/>
      <c r="E294" s="50"/>
      <c r="F294" s="64"/>
      <c r="G294" s="50"/>
      <c r="H294" s="50"/>
    </row>
    <row r="295" spans="1:8">
      <c r="A295" s="48"/>
      <c r="B295" s="49"/>
      <c r="C295" s="50"/>
      <c r="D295" s="67"/>
      <c r="E295" s="50"/>
      <c r="F295" s="64"/>
      <c r="G295" s="50"/>
      <c r="H295" s="50"/>
    </row>
    <row r="296" spans="1:8">
      <c r="A296" s="48"/>
      <c r="B296" s="49"/>
      <c r="C296" s="50"/>
      <c r="D296" s="67"/>
      <c r="E296" s="50"/>
      <c r="F296" s="64"/>
      <c r="G296" s="50"/>
      <c r="H296" s="50"/>
    </row>
    <row r="297" spans="1:8">
      <c r="A297" s="48"/>
      <c r="B297" s="49"/>
      <c r="C297" s="50"/>
      <c r="D297" s="67"/>
      <c r="E297" s="50"/>
      <c r="F297" s="64"/>
      <c r="G297" s="50"/>
      <c r="H297" s="50"/>
    </row>
    <row r="298" spans="1:8">
      <c r="A298" s="48"/>
      <c r="B298" s="49"/>
      <c r="C298" s="50"/>
      <c r="D298" s="67"/>
      <c r="E298" s="50"/>
      <c r="F298" s="64"/>
      <c r="G298" s="50"/>
      <c r="H298" s="50"/>
    </row>
    <row r="299" spans="1:8">
      <c r="A299" s="48"/>
      <c r="B299" s="49"/>
      <c r="C299" s="50"/>
      <c r="D299" s="67"/>
      <c r="E299" s="50"/>
      <c r="F299" s="64"/>
      <c r="G299" s="50"/>
      <c r="H299" s="50"/>
    </row>
    <row r="300" spans="1:8">
      <c r="A300" s="48"/>
      <c r="B300" s="49"/>
      <c r="C300" s="50"/>
      <c r="D300" s="67"/>
      <c r="E300" s="50"/>
      <c r="F300" s="64"/>
      <c r="G300" s="50"/>
      <c r="H300" s="50"/>
    </row>
    <row r="301" spans="1:8">
      <c r="A301" s="48"/>
      <c r="B301" s="49"/>
      <c r="C301" s="50"/>
      <c r="D301" s="67"/>
      <c r="E301" s="50"/>
      <c r="F301" s="64"/>
      <c r="G301" s="50"/>
      <c r="H301" s="50"/>
    </row>
    <row r="302" spans="1:8">
      <c r="A302" s="48"/>
      <c r="B302" s="49"/>
      <c r="C302" s="50"/>
      <c r="D302" s="67"/>
      <c r="E302" s="50"/>
      <c r="F302" s="64"/>
      <c r="G302" s="50"/>
      <c r="H302" s="50"/>
    </row>
    <row r="303" spans="1:8">
      <c r="A303" s="48"/>
      <c r="B303" s="49"/>
      <c r="C303" s="50"/>
      <c r="D303" s="67"/>
      <c r="E303" s="50"/>
      <c r="F303" s="64"/>
      <c r="G303" s="50"/>
      <c r="H303" s="50"/>
    </row>
    <row r="304" spans="1:8">
      <c r="A304" s="48"/>
      <c r="B304" s="49"/>
      <c r="C304" s="50"/>
      <c r="D304" s="67"/>
      <c r="E304" s="50"/>
      <c r="F304" s="64"/>
      <c r="G304" s="50"/>
      <c r="H304" s="50"/>
    </row>
    <row r="305" spans="1:8">
      <c r="A305" s="48"/>
      <c r="B305" s="49"/>
      <c r="C305" s="50"/>
      <c r="D305" s="67"/>
      <c r="E305" s="50"/>
      <c r="F305" s="64"/>
      <c r="G305" s="50"/>
      <c r="H305" s="50"/>
    </row>
    <row r="306" spans="1:8">
      <c r="A306" s="48"/>
      <c r="B306" s="49"/>
      <c r="C306" s="50"/>
      <c r="D306" s="67"/>
      <c r="E306" s="50"/>
      <c r="F306" s="64"/>
      <c r="G306" s="50"/>
      <c r="H306" s="50"/>
    </row>
    <row r="307" spans="1:8">
      <c r="A307" s="48"/>
      <c r="B307" s="49"/>
      <c r="C307" s="50"/>
      <c r="D307" s="67"/>
      <c r="E307" s="50"/>
      <c r="F307" s="64"/>
      <c r="G307" s="50"/>
      <c r="H307" s="50"/>
    </row>
    <row r="308" spans="1:8">
      <c r="A308" s="48"/>
      <c r="B308" s="49"/>
      <c r="C308" s="50"/>
      <c r="D308" s="67"/>
      <c r="E308" s="50"/>
      <c r="F308" s="64"/>
      <c r="G308" s="50"/>
      <c r="H308" s="50"/>
    </row>
    <row r="309" spans="1:8">
      <c r="A309" s="48"/>
      <c r="B309" s="49"/>
      <c r="C309" s="50"/>
      <c r="D309" s="67"/>
      <c r="E309" s="50"/>
      <c r="F309" s="64"/>
      <c r="G309" s="50"/>
      <c r="H309" s="50"/>
    </row>
    <row r="310" spans="1:8">
      <c r="A310" s="48"/>
      <c r="B310" s="49"/>
      <c r="C310" s="50"/>
      <c r="D310" s="67"/>
      <c r="E310" s="50"/>
      <c r="F310" s="64"/>
      <c r="G310" s="50"/>
      <c r="H310" s="50"/>
    </row>
    <row r="311" spans="1:8">
      <c r="A311" s="48"/>
      <c r="B311" s="49"/>
      <c r="C311" s="50"/>
      <c r="D311" s="67"/>
      <c r="E311" s="50"/>
      <c r="F311" s="64"/>
      <c r="G311" s="50"/>
      <c r="H311" s="50"/>
    </row>
    <row r="312" spans="1:8">
      <c r="A312" s="48"/>
      <c r="B312" s="49"/>
      <c r="C312" s="50"/>
      <c r="D312" s="67"/>
      <c r="E312" s="50"/>
      <c r="F312" s="64"/>
      <c r="G312" s="50"/>
      <c r="H312" s="50"/>
    </row>
    <row r="313" spans="1:8">
      <c r="A313" s="48"/>
      <c r="B313" s="49"/>
      <c r="C313" s="50"/>
      <c r="D313" s="67"/>
      <c r="E313" s="50"/>
      <c r="F313" s="64"/>
      <c r="G313" s="50"/>
      <c r="H313" s="50"/>
    </row>
    <row r="314" spans="1:8">
      <c r="A314" s="48"/>
      <c r="B314" s="49"/>
      <c r="C314" s="50"/>
      <c r="D314" s="67"/>
      <c r="E314" s="50"/>
      <c r="F314" s="64"/>
      <c r="G314" s="50"/>
      <c r="H314" s="50"/>
    </row>
    <row r="315" spans="1:8">
      <c r="A315" s="48"/>
      <c r="B315" s="49"/>
      <c r="C315" s="50"/>
      <c r="D315" s="67"/>
      <c r="E315" s="50"/>
      <c r="F315" s="64"/>
      <c r="G315" s="50"/>
      <c r="H315" s="50"/>
    </row>
    <row r="316" spans="1:8">
      <c r="A316" s="48"/>
      <c r="B316" s="49"/>
      <c r="C316" s="50"/>
      <c r="D316" s="67"/>
      <c r="E316" s="50"/>
      <c r="F316" s="64"/>
      <c r="G316" s="50"/>
      <c r="H316" s="50"/>
    </row>
    <row r="317" spans="1:8">
      <c r="A317" s="48"/>
      <c r="B317" s="49"/>
      <c r="C317" s="50"/>
      <c r="D317" s="67"/>
      <c r="E317" s="50"/>
      <c r="F317" s="64"/>
      <c r="G317" s="50"/>
      <c r="H317" s="50"/>
    </row>
    <row r="318" spans="1:8">
      <c r="A318" s="48"/>
      <c r="B318" s="49"/>
      <c r="C318" s="50"/>
      <c r="D318" s="67"/>
      <c r="E318" s="50"/>
      <c r="F318" s="64"/>
      <c r="G318" s="50"/>
      <c r="H318" s="50"/>
    </row>
    <row r="319" spans="1:8">
      <c r="A319" s="48"/>
      <c r="B319" s="49"/>
      <c r="C319" s="50"/>
      <c r="D319" s="67"/>
      <c r="E319" s="50"/>
      <c r="F319" s="64"/>
      <c r="G319" s="50"/>
      <c r="H319" s="50"/>
    </row>
    <row r="320" spans="1:8">
      <c r="A320" s="48"/>
      <c r="B320" s="49"/>
      <c r="C320" s="50"/>
      <c r="D320" s="67"/>
      <c r="E320" s="50"/>
      <c r="F320" s="64"/>
      <c r="G320" s="50"/>
      <c r="H320" s="50"/>
    </row>
    <row r="321" spans="1:8">
      <c r="A321" s="48"/>
      <c r="B321" s="49"/>
      <c r="C321" s="50"/>
      <c r="D321" s="67"/>
      <c r="E321" s="50"/>
      <c r="F321" s="64"/>
      <c r="G321" s="50"/>
      <c r="H321" s="50"/>
    </row>
    <row r="322" spans="1:8">
      <c r="A322" s="48"/>
      <c r="B322" s="49"/>
      <c r="C322" s="50"/>
      <c r="D322" s="67"/>
      <c r="E322" s="50"/>
      <c r="F322" s="64"/>
      <c r="G322" s="50"/>
      <c r="H322" s="50"/>
    </row>
    <row r="323" spans="1:8">
      <c r="A323" s="48"/>
      <c r="B323" s="49"/>
      <c r="C323" s="50"/>
      <c r="D323" s="67"/>
      <c r="E323" s="50"/>
      <c r="F323" s="64"/>
      <c r="G323" s="50"/>
      <c r="H323" s="50"/>
    </row>
    <row r="324" spans="1:8">
      <c r="A324" s="48"/>
      <c r="B324" s="49"/>
      <c r="C324" s="50"/>
      <c r="D324" s="67"/>
      <c r="E324" s="50"/>
      <c r="F324" s="64"/>
      <c r="G324" s="50"/>
      <c r="H324" s="50"/>
    </row>
    <row r="325" spans="1:8">
      <c r="A325" s="48"/>
      <c r="B325" s="49"/>
      <c r="C325" s="50"/>
      <c r="D325" s="67"/>
      <c r="E325" s="50"/>
      <c r="F325" s="64"/>
      <c r="G325" s="50"/>
      <c r="H325" s="50"/>
    </row>
    <row r="326" spans="1:8">
      <c r="A326" s="48"/>
      <c r="B326" s="49"/>
      <c r="C326" s="50"/>
      <c r="D326" s="67"/>
      <c r="E326" s="50"/>
      <c r="F326" s="64"/>
      <c r="G326" s="50"/>
      <c r="H326" s="50"/>
    </row>
    <row r="327" spans="1:8">
      <c r="A327" s="48"/>
      <c r="B327" s="49"/>
      <c r="C327" s="50"/>
      <c r="D327" s="67"/>
      <c r="E327" s="50"/>
      <c r="F327" s="64"/>
      <c r="G327" s="50"/>
      <c r="H327" s="50"/>
    </row>
    <row r="328" spans="1:8">
      <c r="A328" s="48"/>
      <c r="B328" s="49"/>
      <c r="C328" s="50"/>
      <c r="D328" s="67"/>
      <c r="E328" s="50"/>
      <c r="F328" s="64"/>
      <c r="G328" s="50"/>
      <c r="H328" s="50"/>
    </row>
    <row r="329" spans="1:8">
      <c r="A329" s="48"/>
      <c r="B329" s="49"/>
      <c r="C329" s="50"/>
      <c r="D329" s="67"/>
      <c r="E329" s="50"/>
      <c r="F329" s="64"/>
      <c r="G329" s="50"/>
      <c r="H329" s="50"/>
    </row>
    <row r="330" spans="1:8">
      <c r="A330" s="48"/>
      <c r="B330" s="49"/>
      <c r="C330" s="50"/>
      <c r="D330" s="67"/>
      <c r="E330" s="50"/>
      <c r="F330" s="64"/>
      <c r="G330" s="50"/>
      <c r="H330" s="50"/>
    </row>
    <row r="331" spans="1:8">
      <c r="A331" s="48"/>
      <c r="B331" s="49"/>
      <c r="C331" s="50"/>
      <c r="D331" s="67"/>
      <c r="E331" s="50"/>
      <c r="F331" s="64"/>
      <c r="G331" s="50"/>
      <c r="H331" s="50"/>
    </row>
    <row r="332" spans="1:8">
      <c r="A332" s="48"/>
      <c r="B332" s="49"/>
      <c r="C332" s="50"/>
      <c r="D332" s="67"/>
      <c r="E332" s="50"/>
      <c r="F332" s="64"/>
      <c r="G332" s="50"/>
      <c r="H332" s="50"/>
    </row>
    <row r="333" spans="1:8">
      <c r="A333" s="48"/>
      <c r="B333" s="49"/>
      <c r="C333" s="50"/>
      <c r="D333" s="67"/>
      <c r="E333" s="50"/>
      <c r="F333" s="64"/>
      <c r="G333" s="50"/>
      <c r="H333" s="50"/>
    </row>
    <row r="334" spans="1:8">
      <c r="A334" s="48"/>
      <c r="B334" s="49"/>
      <c r="C334" s="50"/>
      <c r="D334" s="67"/>
      <c r="E334" s="50"/>
      <c r="F334" s="64"/>
      <c r="G334" s="50"/>
      <c r="H334" s="50"/>
    </row>
    <row r="335" spans="1:8">
      <c r="A335" s="48"/>
      <c r="B335" s="49"/>
      <c r="C335" s="50"/>
      <c r="D335" s="67"/>
      <c r="E335" s="50"/>
      <c r="F335" s="64"/>
      <c r="G335" s="50"/>
      <c r="H335" s="50"/>
    </row>
    <row r="336" spans="1:8">
      <c r="A336" s="48"/>
      <c r="B336" s="49"/>
      <c r="C336" s="50"/>
      <c r="D336" s="67"/>
      <c r="E336" s="50"/>
      <c r="F336" s="64"/>
      <c r="G336" s="50"/>
      <c r="H336" s="50"/>
    </row>
    <row r="337" spans="1:8">
      <c r="A337" s="48"/>
      <c r="B337" s="49"/>
      <c r="C337" s="50"/>
      <c r="D337" s="67"/>
      <c r="E337" s="50"/>
      <c r="F337" s="64"/>
      <c r="G337" s="50"/>
      <c r="H337" s="50"/>
    </row>
    <row r="338" spans="1:8">
      <c r="A338" s="48"/>
      <c r="B338" s="49"/>
      <c r="C338" s="50"/>
      <c r="D338" s="67"/>
      <c r="E338" s="50"/>
      <c r="F338" s="64"/>
      <c r="G338" s="50"/>
      <c r="H338" s="50"/>
    </row>
    <row r="339" spans="1:8">
      <c r="A339" s="48"/>
      <c r="B339" s="49"/>
      <c r="C339" s="50"/>
      <c r="D339" s="67"/>
      <c r="E339" s="50"/>
      <c r="F339" s="64"/>
      <c r="G339" s="50"/>
      <c r="H339" s="50"/>
    </row>
    <row r="340" spans="1:8">
      <c r="A340" s="48"/>
      <c r="B340" s="49"/>
      <c r="C340" s="50"/>
      <c r="D340" s="67"/>
      <c r="E340" s="50"/>
      <c r="F340" s="64"/>
      <c r="G340" s="50"/>
      <c r="H340" s="50"/>
    </row>
    <row r="341" spans="1:8">
      <c r="A341" s="48"/>
      <c r="B341" s="49"/>
      <c r="C341" s="50"/>
      <c r="D341" s="67"/>
      <c r="E341" s="50"/>
      <c r="F341" s="64"/>
      <c r="G341" s="50"/>
      <c r="H341" s="50"/>
    </row>
    <row r="342" spans="1:8">
      <c r="A342" s="48"/>
      <c r="B342" s="49"/>
      <c r="C342" s="50"/>
      <c r="D342" s="67"/>
      <c r="E342" s="50"/>
      <c r="F342" s="64"/>
      <c r="G342" s="50"/>
      <c r="H342" s="50"/>
    </row>
    <row r="343" spans="1:8">
      <c r="A343" s="48"/>
      <c r="B343" s="49"/>
      <c r="C343" s="50"/>
      <c r="D343" s="67"/>
      <c r="E343" s="50"/>
      <c r="F343" s="64"/>
      <c r="G343" s="50"/>
      <c r="H343" s="50"/>
    </row>
    <row r="344" spans="1:8">
      <c r="A344" s="48"/>
      <c r="B344" s="49"/>
      <c r="C344" s="50"/>
      <c r="D344" s="67"/>
      <c r="E344" s="50"/>
      <c r="F344" s="64"/>
      <c r="G344" s="50"/>
      <c r="H344" s="50"/>
    </row>
    <row r="345" spans="1:8">
      <c r="A345" s="48"/>
      <c r="B345" s="49"/>
      <c r="C345" s="50"/>
      <c r="D345" s="67"/>
      <c r="E345" s="50"/>
      <c r="F345" s="64"/>
      <c r="G345" s="50"/>
      <c r="H345" s="50"/>
    </row>
    <row r="346" spans="1:8">
      <c r="A346" s="48"/>
      <c r="B346" s="49"/>
      <c r="C346" s="50"/>
      <c r="D346" s="67"/>
      <c r="E346" s="50"/>
      <c r="F346" s="64"/>
      <c r="G346" s="50"/>
      <c r="H346" s="50"/>
    </row>
    <row r="347" spans="1:8">
      <c r="A347" s="48"/>
      <c r="B347" s="49"/>
      <c r="C347" s="50"/>
      <c r="D347" s="67"/>
      <c r="E347" s="50"/>
      <c r="F347" s="64"/>
      <c r="G347" s="50"/>
      <c r="H347" s="50"/>
    </row>
    <row r="348" spans="1:8">
      <c r="A348" s="48"/>
      <c r="B348" s="49"/>
      <c r="C348" s="50"/>
      <c r="D348" s="67"/>
      <c r="E348" s="50"/>
      <c r="F348" s="64"/>
      <c r="G348" s="50"/>
      <c r="H348" s="50"/>
    </row>
    <row r="349" spans="1:8">
      <c r="A349" s="48"/>
      <c r="B349" s="49"/>
      <c r="C349" s="50"/>
      <c r="D349" s="67"/>
      <c r="E349" s="50"/>
      <c r="F349" s="64"/>
      <c r="G349" s="50"/>
      <c r="H349" s="50"/>
    </row>
    <row r="350" spans="1:8">
      <c r="A350" s="48"/>
      <c r="B350" s="49"/>
      <c r="C350" s="50"/>
      <c r="D350" s="67"/>
      <c r="E350" s="50"/>
      <c r="F350" s="64"/>
      <c r="G350" s="50"/>
      <c r="H350" s="50"/>
    </row>
    <row r="351" spans="1:8">
      <c r="A351" s="48"/>
      <c r="B351" s="49"/>
      <c r="C351" s="50"/>
      <c r="D351" s="67"/>
      <c r="E351" s="50"/>
      <c r="F351" s="64"/>
      <c r="G351" s="50"/>
      <c r="H351" s="50"/>
    </row>
    <row r="352" spans="1:8">
      <c r="A352" s="48"/>
      <c r="B352" s="49"/>
      <c r="C352" s="50"/>
      <c r="D352" s="67"/>
      <c r="E352" s="50"/>
      <c r="F352" s="64"/>
      <c r="G352" s="50"/>
      <c r="H352" s="50"/>
    </row>
    <row r="353" spans="1:8">
      <c r="A353" s="48"/>
      <c r="B353" s="49"/>
      <c r="C353" s="50"/>
      <c r="D353" s="67"/>
      <c r="E353" s="50"/>
      <c r="F353" s="64"/>
      <c r="G353" s="50"/>
      <c r="H353" s="50"/>
    </row>
    <row r="354" spans="1:8">
      <c r="A354" s="48"/>
      <c r="B354" s="49"/>
      <c r="C354" s="50"/>
      <c r="D354" s="67"/>
      <c r="E354" s="50"/>
      <c r="F354" s="64"/>
      <c r="G354" s="50"/>
      <c r="H354" s="50"/>
    </row>
    <row r="355" spans="1:8">
      <c r="A355" s="48"/>
      <c r="B355" s="49"/>
      <c r="C355" s="50"/>
      <c r="D355" s="67"/>
      <c r="E355" s="50"/>
      <c r="F355" s="64"/>
      <c r="G355" s="50"/>
      <c r="H355" s="50"/>
    </row>
    <row r="356" spans="1:8">
      <c r="A356" s="48"/>
      <c r="B356" s="49"/>
      <c r="C356" s="50"/>
      <c r="D356" s="67"/>
      <c r="E356" s="50"/>
      <c r="F356" s="64"/>
      <c r="G356" s="50"/>
      <c r="H356" s="50"/>
    </row>
    <row r="357" spans="1:8">
      <c r="A357" s="48"/>
      <c r="B357" s="49"/>
      <c r="C357" s="50"/>
      <c r="D357" s="67"/>
      <c r="E357" s="50"/>
      <c r="F357" s="64"/>
      <c r="G357" s="50"/>
      <c r="H357" s="50"/>
    </row>
    <row r="358" spans="1:8">
      <c r="A358" s="48"/>
      <c r="B358" s="49"/>
      <c r="C358" s="50"/>
      <c r="D358" s="67"/>
      <c r="E358" s="50"/>
      <c r="F358" s="64"/>
      <c r="G358" s="50"/>
      <c r="H358" s="50"/>
    </row>
    <row r="359" spans="1:8">
      <c r="A359" s="48"/>
      <c r="B359" s="49"/>
      <c r="C359" s="50"/>
      <c r="D359" s="67"/>
      <c r="E359" s="50"/>
      <c r="F359" s="64"/>
      <c r="G359" s="50"/>
      <c r="H359" s="50"/>
    </row>
    <row r="360" spans="1:8">
      <c r="A360" s="48"/>
      <c r="B360" s="49"/>
      <c r="C360" s="50"/>
      <c r="D360" s="67"/>
      <c r="E360" s="50"/>
      <c r="F360" s="64"/>
      <c r="G360" s="50"/>
      <c r="H360" s="50"/>
    </row>
    <row r="361" spans="1:8">
      <c r="A361" s="48"/>
      <c r="B361" s="49"/>
      <c r="C361" s="50"/>
      <c r="D361" s="67"/>
      <c r="E361" s="50"/>
      <c r="F361" s="64"/>
      <c r="G361" s="50"/>
      <c r="H361" s="50"/>
    </row>
    <row r="362" spans="1:8">
      <c r="A362" s="48"/>
      <c r="B362" s="49"/>
      <c r="C362" s="50"/>
      <c r="D362" s="67"/>
      <c r="E362" s="50"/>
      <c r="F362" s="64"/>
      <c r="G362" s="50"/>
      <c r="H362" s="50"/>
    </row>
    <row r="363" spans="1:8">
      <c r="A363" s="48"/>
      <c r="B363" s="49"/>
      <c r="C363" s="50"/>
      <c r="D363" s="67"/>
      <c r="E363" s="50"/>
      <c r="F363" s="64"/>
      <c r="G363" s="50"/>
      <c r="H363" s="50"/>
    </row>
    <row r="364" spans="1:8">
      <c r="A364" s="48"/>
      <c r="B364" s="49"/>
      <c r="C364" s="50"/>
      <c r="D364" s="67"/>
      <c r="E364" s="50"/>
      <c r="F364" s="64"/>
      <c r="G364" s="50"/>
      <c r="H364" s="50"/>
    </row>
    <row r="365" spans="1:8">
      <c r="A365" s="48"/>
      <c r="B365" s="49"/>
      <c r="C365" s="50"/>
      <c r="D365" s="67"/>
      <c r="E365" s="50"/>
      <c r="F365" s="64"/>
      <c r="G365" s="50"/>
      <c r="H365" s="50"/>
    </row>
    <row r="366" spans="1:8">
      <c r="A366" s="48"/>
      <c r="B366" s="49"/>
      <c r="C366" s="50"/>
      <c r="D366" s="67"/>
      <c r="E366" s="50"/>
      <c r="F366" s="64"/>
      <c r="G366" s="50"/>
      <c r="H366" s="50"/>
    </row>
    <row r="367" spans="1:8">
      <c r="A367" s="48"/>
      <c r="B367" s="49"/>
      <c r="C367" s="50"/>
      <c r="D367" s="67"/>
      <c r="E367" s="50"/>
      <c r="F367" s="64"/>
      <c r="G367" s="50"/>
      <c r="H367" s="50"/>
    </row>
    <row r="368" spans="1:8">
      <c r="A368" s="48"/>
      <c r="B368" s="49"/>
      <c r="C368" s="50"/>
      <c r="D368" s="67"/>
      <c r="E368" s="50"/>
      <c r="F368" s="64"/>
      <c r="G368" s="50"/>
      <c r="H368" s="50"/>
    </row>
    <row r="369" spans="1:8">
      <c r="A369" s="48"/>
      <c r="B369" s="49"/>
      <c r="C369" s="50"/>
      <c r="D369" s="67"/>
      <c r="E369" s="50"/>
      <c r="F369" s="64"/>
      <c r="G369" s="50"/>
      <c r="H369" s="50"/>
    </row>
    <row r="370" spans="1:8">
      <c r="A370" s="48"/>
      <c r="B370" s="49"/>
      <c r="C370" s="50"/>
      <c r="D370" s="67"/>
      <c r="E370" s="50"/>
      <c r="F370" s="64"/>
      <c r="G370" s="50"/>
      <c r="H370" s="50"/>
    </row>
    <row r="371" spans="1:8">
      <c r="A371" s="48"/>
      <c r="B371" s="49"/>
      <c r="C371" s="50"/>
      <c r="D371" s="67"/>
      <c r="E371" s="50"/>
      <c r="F371" s="64"/>
      <c r="G371" s="50"/>
      <c r="H371" s="50"/>
    </row>
    <row r="372" spans="1:8">
      <c r="A372" s="48"/>
      <c r="B372" s="49"/>
      <c r="C372" s="50"/>
      <c r="D372" s="67"/>
      <c r="E372" s="50"/>
      <c r="F372" s="64"/>
      <c r="G372" s="50"/>
      <c r="H372" s="50"/>
    </row>
    <row r="373" spans="1:8">
      <c r="A373" s="48"/>
      <c r="B373" s="49"/>
      <c r="C373" s="50"/>
      <c r="D373" s="67"/>
      <c r="E373" s="50"/>
      <c r="F373" s="64"/>
      <c r="G373" s="50"/>
      <c r="H373" s="50"/>
    </row>
    <row r="374" spans="1:8">
      <c r="A374" s="48"/>
      <c r="B374" s="49"/>
      <c r="C374" s="50"/>
      <c r="D374" s="67"/>
      <c r="E374" s="50"/>
      <c r="F374" s="64"/>
      <c r="G374" s="50"/>
      <c r="H374" s="50"/>
    </row>
    <row r="375" spans="1:8">
      <c r="A375" s="48"/>
      <c r="B375" s="49"/>
      <c r="C375" s="50"/>
      <c r="D375" s="67"/>
      <c r="E375" s="50"/>
      <c r="F375" s="64"/>
      <c r="G375" s="50"/>
      <c r="H375" s="50"/>
    </row>
    <row r="376" spans="1:8">
      <c r="A376" s="48"/>
      <c r="B376" s="49"/>
      <c r="C376" s="50"/>
      <c r="D376" s="67"/>
      <c r="E376" s="50"/>
      <c r="F376" s="64"/>
      <c r="G376" s="50"/>
      <c r="H376" s="50"/>
    </row>
    <row r="377" spans="1:8">
      <c r="A377" s="48"/>
      <c r="B377" s="49"/>
      <c r="C377" s="50"/>
      <c r="D377" s="67"/>
      <c r="E377" s="50"/>
      <c r="F377" s="64"/>
      <c r="G377" s="50"/>
      <c r="H377" s="50"/>
    </row>
    <row r="378" spans="1:8">
      <c r="A378" s="48"/>
      <c r="B378" s="49"/>
      <c r="C378" s="50"/>
      <c r="D378" s="67"/>
      <c r="E378" s="50"/>
      <c r="F378" s="64"/>
      <c r="G378" s="50"/>
      <c r="H378" s="50"/>
    </row>
    <row r="379" spans="1:8">
      <c r="A379" s="48"/>
      <c r="B379" s="49"/>
      <c r="C379" s="50"/>
      <c r="D379" s="67"/>
      <c r="E379" s="50"/>
      <c r="F379" s="64"/>
      <c r="G379" s="50"/>
      <c r="H379" s="50"/>
    </row>
    <row r="380" spans="1:8">
      <c r="A380" s="48"/>
      <c r="B380" s="49"/>
      <c r="C380" s="50"/>
      <c r="D380" s="67"/>
      <c r="E380" s="50"/>
      <c r="F380" s="64"/>
      <c r="G380" s="50"/>
      <c r="H380" s="50"/>
    </row>
    <row r="381" spans="1:8">
      <c r="A381" s="48"/>
      <c r="B381" s="49"/>
      <c r="C381" s="50"/>
      <c r="D381" s="67"/>
      <c r="E381" s="50"/>
      <c r="F381" s="64"/>
      <c r="G381" s="50"/>
      <c r="H381" s="50"/>
    </row>
    <row r="382" spans="1:8">
      <c r="A382" s="48"/>
      <c r="B382" s="49"/>
      <c r="C382" s="50"/>
      <c r="D382" s="67"/>
      <c r="E382" s="50"/>
      <c r="F382" s="64"/>
      <c r="G382" s="50"/>
      <c r="H382" s="50"/>
    </row>
    <row r="383" spans="1:8">
      <c r="A383" s="48"/>
      <c r="B383" s="49"/>
      <c r="C383" s="50"/>
      <c r="D383" s="67"/>
      <c r="E383" s="50"/>
      <c r="F383" s="64"/>
      <c r="G383" s="50"/>
      <c r="H383" s="50"/>
    </row>
    <row r="384" spans="1:8">
      <c r="A384" s="48"/>
      <c r="B384" s="49"/>
      <c r="C384" s="50"/>
      <c r="D384" s="67"/>
      <c r="E384" s="50"/>
      <c r="F384" s="64"/>
      <c r="G384" s="50"/>
      <c r="H384" s="50"/>
    </row>
    <row r="385" spans="1:8">
      <c r="A385" s="48"/>
      <c r="B385" s="49"/>
      <c r="C385" s="50"/>
      <c r="D385" s="67"/>
      <c r="E385" s="50"/>
      <c r="F385" s="64"/>
      <c r="G385" s="50"/>
      <c r="H385" s="50"/>
    </row>
    <row r="386" spans="1:8">
      <c r="A386" s="48"/>
      <c r="B386" s="49"/>
      <c r="C386" s="50"/>
      <c r="D386" s="67"/>
      <c r="E386" s="50"/>
      <c r="F386" s="64"/>
      <c r="G386" s="50"/>
      <c r="H386" s="50"/>
    </row>
    <row r="387" spans="1:8">
      <c r="A387" s="48"/>
      <c r="B387" s="49"/>
      <c r="C387" s="50"/>
      <c r="D387" s="67"/>
      <c r="E387" s="50"/>
      <c r="F387" s="64"/>
      <c r="G387" s="50"/>
      <c r="H387" s="50"/>
    </row>
    <row r="388" spans="1:8">
      <c r="A388" s="48"/>
      <c r="B388" s="49"/>
      <c r="C388" s="50"/>
      <c r="D388" s="67"/>
      <c r="E388" s="50"/>
      <c r="F388" s="64"/>
      <c r="G388" s="50"/>
      <c r="H388" s="50"/>
    </row>
    <row r="389" spans="1:8">
      <c r="A389" s="48"/>
      <c r="B389" s="49"/>
      <c r="C389" s="50"/>
      <c r="D389" s="67"/>
      <c r="E389" s="50"/>
      <c r="F389" s="64"/>
      <c r="G389" s="50"/>
      <c r="H389" s="50"/>
    </row>
    <row r="390" spans="1:8">
      <c r="A390" s="48"/>
      <c r="B390" s="49"/>
      <c r="C390" s="50"/>
      <c r="D390" s="67"/>
      <c r="E390" s="50"/>
      <c r="F390" s="64"/>
      <c r="G390" s="50"/>
      <c r="H390" s="50"/>
    </row>
    <row r="391" spans="1:8">
      <c r="A391" s="48"/>
      <c r="B391" s="49"/>
      <c r="C391" s="50"/>
      <c r="D391" s="67"/>
      <c r="E391" s="50"/>
      <c r="F391" s="64"/>
      <c r="G391" s="50"/>
      <c r="H391" s="50"/>
    </row>
    <row r="392" spans="1:8">
      <c r="A392" s="48"/>
      <c r="B392" s="49"/>
      <c r="C392" s="50"/>
      <c r="D392" s="67"/>
      <c r="E392" s="50"/>
      <c r="F392" s="64"/>
      <c r="G392" s="50"/>
      <c r="H392" s="50"/>
    </row>
    <row r="393" spans="1:8">
      <c r="A393" s="48"/>
      <c r="B393" s="49"/>
      <c r="C393" s="50"/>
      <c r="D393" s="67"/>
      <c r="E393" s="50"/>
      <c r="F393" s="64"/>
      <c r="G393" s="50"/>
      <c r="H393" s="50"/>
    </row>
    <row r="394" spans="1:8">
      <c r="A394" s="48"/>
      <c r="B394" s="49"/>
      <c r="C394" s="50"/>
      <c r="D394" s="67"/>
      <c r="E394" s="50"/>
      <c r="F394" s="64"/>
      <c r="G394" s="50"/>
      <c r="H394" s="50"/>
    </row>
    <row r="395" spans="1:8">
      <c r="A395" s="48"/>
      <c r="B395" s="49"/>
      <c r="C395" s="50"/>
      <c r="D395" s="67"/>
      <c r="E395" s="50"/>
      <c r="F395" s="64"/>
      <c r="G395" s="50"/>
      <c r="H395" s="50"/>
    </row>
    <row r="396" spans="1:8">
      <c r="A396" s="48"/>
      <c r="B396" s="49"/>
      <c r="C396" s="50"/>
      <c r="D396" s="67"/>
      <c r="E396" s="50"/>
      <c r="F396" s="64"/>
      <c r="G396" s="50"/>
      <c r="H396" s="50"/>
    </row>
    <row r="397" spans="1:8">
      <c r="A397" s="48"/>
      <c r="B397" s="49"/>
      <c r="C397" s="50"/>
      <c r="D397" s="67"/>
      <c r="E397" s="50"/>
      <c r="F397" s="64"/>
      <c r="G397" s="50"/>
      <c r="H397" s="50"/>
    </row>
    <row r="398" spans="1:8">
      <c r="A398" s="48"/>
      <c r="B398" s="49"/>
      <c r="C398" s="50"/>
      <c r="D398" s="67"/>
      <c r="E398" s="50"/>
      <c r="F398" s="64"/>
      <c r="G398" s="50"/>
      <c r="H398" s="50"/>
    </row>
    <row r="399" spans="1:8">
      <c r="A399" s="48"/>
      <c r="B399" s="49"/>
      <c r="C399" s="50"/>
      <c r="D399" s="67"/>
      <c r="E399" s="50"/>
      <c r="F399" s="64"/>
      <c r="G399" s="50"/>
      <c r="H399" s="50"/>
    </row>
    <row r="400" spans="1:8">
      <c r="A400" s="48"/>
      <c r="B400" s="49"/>
      <c r="C400" s="50"/>
      <c r="D400" s="67"/>
      <c r="E400" s="50"/>
      <c r="F400" s="64"/>
      <c r="G400" s="50"/>
      <c r="H400" s="50"/>
    </row>
    <row r="401" spans="1:8">
      <c r="A401" s="48"/>
      <c r="B401" s="49"/>
      <c r="C401" s="50"/>
      <c r="D401" s="67"/>
      <c r="E401" s="50"/>
      <c r="F401" s="64"/>
      <c r="G401" s="50"/>
      <c r="H401" s="50"/>
    </row>
    <row r="402" spans="1:8">
      <c r="A402" s="48"/>
      <c r="B402" s="49"/>
      <c r="C402" s="50"/>
      <c r="D402" s="67"/>
      <c r="E402" s="50"/>
      <c r="F402" s="64"/>
      <c r="G402" s="50"/>
      <c r="H402" s="50"/>
    </row>
    <row r="403" spans="1:8">
      <c r="A403" s="48"/>
      <c r="B403" s="49"/>
      <c r="C403" s="50"/>
      <c r="D403" s="67"/>
      <c r="E403" s="50"/>
      <c r="F403" s="64"/>
      <c r="G403" s="50"/>
      <c r="H403" s="50"/>
    </row>
    <row r="404" spans="1:8">
      <c r="A404" s="48"/>
      <c r="B404" s="49"/>
      <c r="C404" s="50"/>
      <c r="D404" s="67"/>
      <c r="E404" s="50"/>
      <c r="F404" s="64"/>
      <c r="G404" s="50"/>
      <c r="H404" s="50"/>
    </row>
    <row r="405" spans="1:8">
      <c r="A405" s="48"/>
      <c r="B405" s="49"/>
      <c r="C405" s="50"/>
      <c r="D405" s="67"/>
      <c r="E405" s="50"/>
      <c r="F405" s="64"/>
      <c r="G405" s="50"/>
      <c r="H405" s="50"/>
    </row>
    <row r="406" spans="1:8">
      <c r="A406" s="48"/>
      <c r="B406" s="49"/>
      <c r="C406" s="50"/>
      <c r="D406" s="67"/>
      <c r="E406" s="50"/>
      <c r="F406" s="64"/>
      <c r="G406" s="50"/>
      <c r="H406" s="50"/>
    </row>
    <row r="407" spans="1:8">
      <c r="A407" s="48"/>
      <c r="B407" s="49"/>
      <c r="C407" s="50"/>
      <c r="D407" s="67"/>
      <c r="E407" s="50"/>
      <c r="F407" s="64"/>
      <c r="G407" s="50"/>
      <c r="H407" s="50"/>
    </row>
    <row r="408" spans="1:8">
      <c r="A408" s="48"/>
      <c r="B408" s="49"/>
      <c r="C408" s="50"/>
      <c r="D408" s="67"/>
      <c r="E408" s="50"/>
      <c r="F408" s="64"/>
      <c r="G408" s="50"/>
      <c r="H408" s="50"/>
    </row>
    <row r="409" spans="1:8">
      <c r="A409" s="48"/>
      <c r="B409" s="49"/>
      <c r="C409" s="50"/>
      <c r="D409" s="67"/>
      <c r="E409" s="50"/>
      <c r="F409" s="64"/>
      <c r="G409" s="50"/>
      <c r="H409" s="50"/>
    </row>
    <row r="410" spans="1:8">
      <c r="A410" s="48"/>
      <c r="B410" s="49"/>
      <c r="C410" s="50"/>
      <c r="D410" s="67"/>
      <c r="E410" s="50"/>
      <c r="F410" s="64"/>
      <c r="G410" s="50"/>
      <c r="H410" s="50"/>
    </row>
    <row r="411" spans="1:8">
      <c r="A411" s="48"/>
      <c r="B411" s="49"/>
      <c r="C411" s="50"/>
      <c r="D411" s="67"/>
      <c r="E411" s="50"/>
      <c r="F411" s="64"/>
      <c r="G411" s="50"/>
      <c r="H411" s="50"/>
    </row>
    <row r="412" spans="1:8">
      <c r="A412" s="48"/>
      <c r="B412" s="49"/>
      <c r="C412" s="50"/>
      <c r="D412" s="67"/>
      <c r="E412" s="50"/>
      <c r="F412" s="64"/>
      <c r="G412" s="50"/>
      <c r="H412" s="50"/>
    </row>
    <row r="413" spans="1:8">
      <c r="A413" s="48"/>
      <c r="B413" s="49"/>
      <c r="C413" s="50"/>
      <c r="D413" s="67"/>
      <c r="E413" s="50"/>
      <c r="F413" s="64"/>
      <c r="G413" s="50"/>
      <c r="H413" s="50"/>
    </row>
    <row r="414" spans="1:8">
      <c r="A414" s="48"/>
      <c r="B414" s="49"/>
      <c r="C414" s="50"/>
      <c r="D414" s="67"/>
      <c r="E414" s="50"/>
      <c r="F414" s="64"/>
      <c r="G414" s="50"/>
      <c r="H414" s="50"/>
    </row>
    <row r="415" spans="1:8">
      <c r="A415" s="48"/>
      <c r="B415" s="49"/>
      <c r="C415" s="50"/>
      <c r="D415" s="67"/>
      <c r="E415" s="50"/>
      <c r="F415" s="64"/>
      <c r="G415" s="50"/>
      <c r="H415" s="50"/>
    </row>
    <row r="416" spans="1:8">
      <c r="A416" s="48"/>
      <c r="B416" s="49"/>
      <c r="C416" s="50"/>
      <c r="D416" s="67"/>
      <c r="E416" s="50"/>
      <c r="F416" s="64"/>
      <c r="G416" s="50"/>
      <c r="H416" s="50"/>
    </row>
    <row r="417" spans="1:8">
      <c r="A417" s="48"/>
      <c r="B417" s="49"/>
      <c r="C417" s="50"/>
      <c r="D417" s="67"/>
      <c r="E417" s="50"/>
      <c r="F417" s="64"/>
      <c r="G417" s="50"/>
      <c r="H417" s="50"/>
    </row>
    <row r="418" spans="1:8">
      <c r="A418" s="48"/>
      <c r="B418" s="49"/>
      <c r="C418" s="50"/>
      <c r="D418" s="67"/>
      <c r="E418" s="50"/>
      <c r="F418" s="64"/>
      <c r="G418" s="50"/>
      <c r="H418" s="50"/>
    </row>
    <row r="419" spans="1:8">
      <c r="A419" s="48"/>
      <c r="B419" s="49"/>
      <c r="C419" s="50"/>
      <c r="D419" s="67"/>
      <c r="E419" s="50"/>
      <c r="F419" s="64"/>
      <c r="G419" s="50"/>
      <c r="H419" s="50"/>
    </row>
    <row r="420" spans="1:8">
      <c r="A420" s="48"/>
      <c r="B420" s="49"/>
      <c r="C420" s="50"/>
      <c r="D420" s="67"/>
      <c r="E420" s="50"/>
      <c r="F420" s="64"/>
      <c r="G420" s="50"/>
      <c r="H420" s="50"/>
    </row>
    <row r="421" spans="1:8">
      <c r="A421" s="48"/>
      <c r="B421" s="49"/>
      <c r="C421" s="50"/>
      <c r="D421" s="67"/>
      <c r="E421" s="50"/>
      <c r="F421" s="64"/>
      <c r="G421" s="50"/>
      <c r="H421" s="50"/>
    </row>
    <row r="422" spans="1:8">
      <c r="A422" s="48"/>
      <c r="B422" s="49"/>
      <c r="C422" s="50"/>
      <c r="D422" s="67"/>
      <c r="E422" s="50"/>
      <c r="F422" s="64"/>
      <c r="G422" s="50"/>
      <c r="H422" s="50"/>
    </row>
    <row r="423" spans="1:8">
      <c r="A423" s="48"/>
      <c r="B423" s="49"/>
      <c r="C423" s="50"/>
      <c r="D423" s="67"/>
      <c r="E423" s="50"/>
      <c r="F423" s="64"/>
      <c r="G423" s="50"/>
      <c r="H423" s="50"/>
    </row>
    <row r="424" spans="1:8">
      <c r="A424" s="48"/>
      <c r="B424" s="49"/>
      <c r="C424" s="50"/>
      <c r="D424" s="67"/>
      <c r="E424" s="50"/>
      <c r="F424" s="64"/>
      <c r="G424" s="50"/>
      <c r="H424" s="50"/>
    </row>
    <row r="425" spans="1:8">
      <c r="A425" s="48"/>
      <c r="B425" s="49"/>
      <c r="C425" s="50"/>
      <c r="D425" s="67"/>
      <c r="E425" s="50"/>
      <c r="F425" s="64"/>
      <c r="G425" s="50"/>
      <c r="H425" s="50"/>
    </row>
    <row r="426" spans="1:8">
      <c r="A426" s="48"/>
      <c r="B426" s="49"/>
      <c r="C426" s="50"/>
      <c r="D426" s="67"/>
      <c r="E426" s="50"/>
      <c r="F426" s="64"/>
      <c r="G426" s="50"/>
      <c r="H426" s="50"/>
    </row>
    <row r="427" spans="1:8">
      <c r="A427" s="48"/>
      <c r="B427" s="49"/>
      <c r="C427" s="50"/>
      <c r="D427" s="67"/>
      <c r="E427" s="50"/>
      <c r="F427" s="64"/>
      <c r="G427" s="50"/>
      <c r="H427" s="50"/>
    </row>
    <row r="428" spans="1:8">
      <c r="A428" s="48"/>
      <c r="B428" s="49"/>
      <c r="C428" s="50"/>
      <c r="D428" s="67"/>
      <c r="E428" s="50"/>
      <c r="F428" s="64"/>
      <c r="G428" s="50"/>
      <c r="H428" s="50"/>
    </row>
    <row r="429" spans="1:8">
      <c r="A429" s="48"/>
      <c r="B429" s="49"/>
      <c r="C429" s="50"/>
      <c r="D429" s="67"/>
      <c r="E429" s="50"/>
      <c r="F429" s="64"/>
      <c r="G429" s="50"/>
      <c r="H429" s="50"/>
    </row>
    <row r="430" spans="1:8">
      <c r="A430" s="48"/>
      <c r="B430" s="49"/>
      <c r="C430" s="50"/>
      <c r="D430" s="67"/>
      <c r="E430" s="50"/>
      <c r="F430" s="64"/>
      <c r="G430" s="50"/>
      <c r="H430" s="50"/>
    </row>
    <row r="431" spans="1:8">
      <c r="A431" s="48"/>
      <c r="B431" s="49"/>
      <c r="C431" s="50"/>
      <c r="D431" s="67"/>
      <c r="E431" s="50"/>
      <c r="F431" s="64"/>
      <c r="G431" s="50"/>
      <c r="H431" s="50"/>
    </row>
    <row r="432" spans="1:8">
      <c r="A432" s="48"/>
      <c r="B432" s="49"/>
      <c r="C432" s="50"/>
      <c r="D432" s="67"/>
      <c r="E432" s="50"/>
      <c r="F432" s="64"/>
      <c r="G432" s="50"/>
      <c r="H432" s="50"/>
    </row>
    <row r="433" spans="1:8">
      <c r="A433" s="48"/>
      <c r="B433" s="49"/>
      <c r="C433" s="50"/>
      <c r="D433" s="67"/>
      <c r="E433" s="50"/>
      <c r="F433" s="64"/>
      <c r="G433" s="50"/>
      <c r="H433" s="50"/>
    </row>
    <row r="434" spans="1:8">
      <c r="A434" s="48"/>
      <c r="B434" s="49"/>
      <c r="C434" s="50"/>
      <c r="D434" s="67"/>
      <c r="E434" s="50"/>
      <c r="F434" s="64"/>
      <c r="G434" s="50"/>
      <c r="H434" s="50"/>
    </row>
    <row r="435" spans="1:8">
      <c r="A435" s="48"/>
      <c r="B435" s="49"/>
      <c r="C435" s="50"/>
      <c r="D435" s="67"/>
      <c r="E435" s="50"/>
      <c r="F435" s="64"/>
      <c r="G435" s="50"/>
      <c r="H435" s="50"/>
    </row>
    <row r="436" spans="1:8">
      <c r="A436" s="48"/>
      <c r="B436" s="49"/>
      <c r="C436" s="50"/>
      <c r="D436" s="67"/>
      <c r="E436" s="50"/>
      <c r="F436" s="64"/>
      <c r="G436" s="50"/>
      <c r="H436" s="50"/>
    </row>
    <row r="437" spans="1:8">
      <c r="A437" s="48"/>
      <c r="B437" s="49"/>
      <c r="C437" s="50"/>
      <c r="D437" s="67"/>
      <c r="E437" s="50"/>
      <c r="F437" s="64"/>
      <c r="G437" s="50"/>
      <c r="H437" s="50"/>
    </row>
    <row r="438" spans="1:8">
      <c r="A438" s="48"/>
      <c r="B438" s="49"/>
      <c r="C438" s="50"/>
      <c r="D438" s="67"/>
      <c r="E438" s="50"/>
      <c r="F438" s="64"/>
      <c r="G438" s="50"/>
      <c r="H438" s="50"/>
    </row>
    <row r="439" spans="1:8">
      <c r="A439" s="48"/>
      <c r="B439" s="49"/>
      <c r="C439" s="50"/>
      <c r="D439" s="67"/>
      <c r="E439" s="50"/>
      <c r="F439" s="64"/>
      <c r="G439" s="50"/>
      <c r="H439" s="50"/>
    </row>
    <row r="440" spans="1:8">
      <c r="A440" s="48"/>
      <c r="B440" s="49"/>
      <c r="C440" s="50"/>
      <c r="D440" s="67"/>
      <c r="E440" s="50"/>
      <c r="F440" s="64"/>
      <c r="G440" s="50"/>
      <c r="H440" s="50"/>
    </row>
    <row r="441" spans="1:8">
      <c r="A441" s="48"/>
      <c r="B441" s="49"/>
      <c r="C441" s="50"/>
      <c r="D441" s="67"/>
      <c r="E441" s="50"/>
      <c r="F441" s="64"/>
      <c r="G441" s="50"/>
      <c r="H441" s="50"/>
    </row>
    <row r="442" spans="1:8">
      <c r="A442" s="48"/>
      <c r="B442" s="49"/>
      <c r="C442" s="50"/>
      <c r="D442" s="67"/>
      <c r="E442" s="50"/>
      <c r="F442" s="64"/>
      <c r="G442" s="50"/>
      <c r="H442" s="50"/>
    </row>
    <row r="443" spans="1:8">
      <c r="A443" s="48"/>
      <c r="B443" s="49"/>
      <c r="C443" s="50"/>
      <c r="D443" s="67"/>
      <c r="E443" s="50"/>
      <c r="F443" s="64"/>
      <c r="G443" s="50"/>
      <c r="H443" s="50"/>
    </row>
    <row r="444" spans="1:8">
      <c r="A444" s="48"/>
      <c r="B444" s="49"/>
      <c r="C444" s="50"/>
      <c r="D444" s="67"/>
      <c r="E444" s="50"/>
      <c r="F444" s="64"/>
      <c r="G444" s="50"/>
      <c r="H444" s="50"/>
    </row>
    <row r="445" spans="1:8">
      <c r="A445" s="48"/>
      <c r="B445" s="49"/>
      <c r="C445" s="50"/>
      <c r="D445" s="67"/>
      <c r="E445" s="50"/>
      <c r="F445" s="64"/>
      <c r="G445" s="50"/>
      <c r="H445" s="50"/>
    </row>
    <row r="446" spans="1:8">
      <c r="A446" s="48"/>
      <c r="B446" s="49"/>
      <c r="C446" s="50"/>
      <c r="D446" s="67"/>
      <c r="E446" s="50"/>
      <c r="F446" s="64"/>
      <c r="G446" s="50"/>
      <c r="H446" s="50"/>
    </row>
    <row r="447" spans="1:8">
      <c r="A447" s="48"/>
      <c r="B447" s="49"/>
      <c r="C447" s="50"/>
      <c r="D447" s="67"/>
      <c r="E447" s="50"/>
      <c r="F447" s="64"/>
      <c r="G447" s="50"/>
      <c r="H447" s="50"/>
    </row>
    <row r="448" spans="1:8">
      <c r="A448" s="48"/>
      <c r="B448" s="49"/>
      <c r="C448" s="50"/>
      <c r="D448" s="67"/>
      <c r="E448" s="50"/>
      <c r="F448" s="64"/>
      <c r="G448" s="50"/>
      <c r="H448" s="50"/>
    </row>
    <row r="449" spans="1:8">
      <c r="A449" s="48"/>
      <c r="B449" s="49"/>
      <c r="C449" s="50"/>
      <c r="D449" s="67"/>
      <c r="E449" s="50"/>
      <c r="F449" s="64"/>
      <c r="G449" s="50"/>
      <c r="H449" s="50"/>
    </row>
    <row r="450" spans="1:8">
      <c r="A450" s="48"/>
      <c r="B450" s="49"/>
      <c r="C450" s="50"/>
      <c r="D450" s="67"/>
      <c r="E450" s="50"/>
      <c r="F450" s="64"/>
      <c r="G450" s="50"/>
      <c r="H450" s="50"/>
    </row>
    <row r="451" spans="1:8">
      <c r="A451" s="48"/>
      <c r="B451" s="49"/>
      <c r="C451" s="50"/>
      <c r="D451" s="67"/>
      <c r="E451" s="50"/>
      <c r="F451" s="64"/>
      <c r="G451" s="50"/>
      <c r="H451" s="50"/>
    </row>
    <row r="452" spans="1:8">
      <c r="A452" s="48"/>
      <c r="B452" s="49"/>
      <c r="C452" s="50"/>
      <c r="D452" s="67"/>
      <c r="E452" s="50"/>
      <c r="F452" s="64"/>
      <c r="G452" s="50"/>
      <c r="H452" s="50"/>
    </row>
    <row r="453" spans="1:8">
      <c r="A453" s="48"/>
      <c r="B453" s="49"/>
      <c r="C453" s="50"/>
      <c r="D453" s="67"/>
      <c r="E453" s="50"/>
      <c r="F453" s="64"/>
      <c r="G453" s="50"/>
      <c r="H453" s="50"/>
    </row>
    <row r="454" spans="1:8">
      <c r="A454" s="48"/>
      <c r="B454" s="49"/>
      <c r="C454" s="50"/>
      <c r="D454" s="67"/>
      <c r="E454" s="50"/>
      <c r="F454" s="64"/>
      <c r="G454" s="50"/>
      <c r="H454" s="50"/>
    </row>
    <row r="455" spans="1:8">
      <c r="A455" s="48"/>
      <c r="B455" s="49"/>
      <c r="C455" s="50"/>
      <c r="D455" s="67"/>
      <c r="E455" s="50"/>
      <c r="F455" s="64"/>
      <c r="G455" s="50"/>
      <c r="H455" s="50"/>
    </row>
    <row r="456" spans="1:8">
      <c r="A456" s="48"/>
      <c r="B456" s="49"/>
      <c r="C456" s="50"/>
      <c r="D456" s="67"/>
      <c r="E456" s="50"/>
      <c r="F456" s="64"/>
      <c r="G456" s="50"/>
      <c r="H456" s="50"/>
    </row>
    <row r="457" spans="1:8">
      <c r="A457" s="48"/>
      <c r="B457" s="49"/>
      <c r="C457" s="50"/>
      <c r="D457" s="67"/>
      <c r="E457" s="50"/>
      <c r="F457" s="64"/>
      <c r="G457" s="50"/>
      <c r="H457" s="50"/>
    </row>
    <row r="458" spans="1:8">
      <c r="A458" s="48"/>
      <c r="B458" s="49"/>
      <c r="C458" s="50"/>
      <c r="D458" s="67"/>
      <c r="E458" s="50"/>
      <c r="F458" s="64"/>
      <c r="G458" s="50"/>
      <c r="H458" s="50"/>
    </row>
    <row r="459" spans="1:8">
      <c r="A459" s="48"/>
      <c r="B459" s="49"/>
      <c r="C459" s="50"/>
      <c r="D459" s="67"/>
      <c r="E459" s="50"/>
      <c r="F459" s="64"/>
      <c r="G459" s="50"/>
      <c r="H459" s="50"/>
    </row>
    <row r="460" spans="1:8">
      <c r="A460" s="48"/>
      <c r="B460" s="49"/>
      <c r="C460" s="50"/>
      <c r="D460" s="67"/>
      <c r="E460" s="50"/>
      <c r="F460" s="64"/>
      <c r="G460" s="50"/>
      <c r="H460" s="50"/>
    </row>
    <row r="461" spans="1:8">
      <c r="A461" s="48"/>
      <c r="B461" s="49"/>
      <c r="C461" s="50"/>
      <c r="D461" s="67"/>
      <c r="E461" s="50"/>
      <c r="F461" s="64"/>
      <c r="G461" s="50"/>
      <c r="H461" s="50"/>
    </row>
    <row r="462" spans="1:8">
      <c r="A462" s="48"/>
      <c r="B462" s="49"/>
      <c r="C462" s="50"/>
      <c r="D462" s="67"/>
      <c r="E462" s="50"/>
      <c r="F462" s="64"/>
      <c r="G462" s="50"/>
      <c r="H462" s="50"/>
    </row>
    <row r="463" spans="1:8">
      <c r="A463" s="48"/>
      <c r="B463" s="49"/>
      <c r="C463" s="50"/>
      <c r="D463" s="67"/>
      <c r="E463" s="50"/>
      <c r="F463" s="64"/>
      <c r="G463" s="50"/>
      <c r="H463" s="50"/>
    </row>
    <row r="464" spans="1:8">
      <c r="A464" s="48"/>
      <c r="B464" s="49"/>
      <c r="C464" s="50"/>
      <c r="D464" s="67"/>
      <c r="E464" s="50"/>
      <c r="F464" s="64"/>
      <c r="G464" s="50"/>
      <c r="H464" s="50"/>
    </row>
    <row r="465" spans="1:8">
      <c r="A465" s="48"/>
      <c r="B465" s="49"/>
      <c r="C465" s="50"/>
      <c r="D465" s="67"/>
      <c r="E465" s="50"/>
      <c r="F465" s="64"/>
      <c r="G465" s="50"/>
      <c r="H465" s="50"/>
    </row>
    <row r="466" spans="1:8">
      <c r="A466" s="48"/>
      <c r="B466" s="49"/>
      <c r="C466" s="50"/>
      <c r="D466" s="67"/>
      <c r="E466" s="50"/>
      <c r="F466" s="64"/>
      <c r="G466" s="50"/>
      <c r="H466" s="50"/>
    </row>
    <row r="467" spans="1:8">
      <c r="A467" s="48"/>
      <c r="B467" s="49"/>
      <c r="C467" s="50"/>
      <c r="D467" s="67"/>
      <c r="E467" s="50"/>
      <c r="F467" s="64"/>
      <c r="G467" s="50"/>
      <c r="H467" s="50"/>
    </row>
    <row r="468" spans="1:8">
      <c r="A468" s="48"/>
      <c r="B468" s="49"/>
      <c r="C468" s="50"/>
      <c r="D468" s="67"/>
      <c r="E468" s="50"/>
      <c r="F468" s="64"/>
      <c r="G468" s="50"/>
      <c r="H468" s="50"/>
    </row>
    <row r="469" spans="1:8">
      <c r="A469" s="48"/>
      <c r="B469" s="49"/>
      <c r="C469" s="50"/>
      <c r="D469" s="67"/>
      <c r="E469" s="50"/>
      <c r="F469" s="64"/>
      <c r="G469" s="50"/>
      <c r="H469" s="50"/>
    </row>
    <row r="470" spans="1:8">
      <c r="A470" s="48"/>
      <c r="B470" s="49"/>
      <c r="C470" s="50"/>
      <c r="D470" s="67"/>
      <c r="E470" s="50"/>
      <c r="F470" s="64"/>
      <c r="G470" s="50"/>
      <c r="H470" s="50"/>
    </row>
    <row r="471" spans="1:8">
      <c r="A471" s="48"/>
      <c r="B471" s="49"/>
      <c r="C471" s="50"/>
      <c r="D471" s="67"/>
      <c r="E471" s="50"/>
      <c r="F471" s="64"/>
      <c r="G471" s="50"/>
      <c r="H471" s="50"/>
    </row>
    <row r="472" spans="1:8">
      <c r="A472" s="48"/>
      <c r="B472" s="49"/>
      <c r="C472" s="50"/>
      <c r="D472" s="67"/>
      <c r="E472" s="50"/>
      <c r="F472" s="64"/>
      <c r="G472" s="50"/>
      <c r="H472" s="50"/>
    </row>
    <row r="473" spans="1:8">
      <c r="A473" s="48"/>
      <c r="B473" s="49"/>
      <c r="C473" s="50"/>
      <c r="D473" s="67"/>
      <c r="E473" s="50"/>
      <c r="F473" s="64"/>
      <c r="G473" s="50"/>
      <c r="H473" s="50"/>
    </row>
    <row r="474" spans="1:8">
      <c r="A474" s="48"/>
      <c r="B474" s="49"/>
      <c r="C474" s="50"/>
      <c r="D474" s="67"/>
      <c r="E474" s="50"/>
      <c r="F474" s="64"/>
      <c r="G474" s="50"/>
      <c r="H474" s="50"/>
    </row>
    <row r="475" spans="1:8">
      <c r="A475" s="48"/>
      <c r="B475" s="49"/>
      <c r="C475" s="50"/>
      <c r="D475" s="67"/>
      <c r="E475" s="50"/>
      <c r="F475" s="64"/>
      <c r="G475" s="50"/>
      <c r="H475" s="50"/>
    </row>
    <row r="476" spans="1:8">
      <c r="A476" s="48"/>
      <c r="B476" s="49"/>
      <c r="C476" s="50"/>
      <c r="D476" s="67"/>
      <c r="E476" s="50"/>
      <c r="F476" s="64"/>
      <c r="G476" s="50"/>
      <c r="H476" s="50"/>
    </row>
    <row r="477" spans="1:8">
      <c r="A477" s="48"/>
      <c r="B477" s="49"/>
      <c r="C477" s="50"/>
      <c r="D477" s="67"/>
      <c r="E477" s="50"/>
      <c r="F477" s="64"/>
      <c r="G477" s="50"/>
      <c r="H477" s="50"/>
    </row>
    <row r="478" spans="1:8">
      <c r="A478" s="48"/>
      <c r="B478" s="49"/>
      <c r="C478" s="50"/>
      <c r="D478" s="67"/>
      <c r="E478" s="50"/>
      <c r="F478" s="64"/>
      <c r="G478" s="50"/>
      <c r="H478" s="50"/>
    </row>
    <row r="479" spans="1:8">
      <c r="A479" s="48"/>
      <c r="B479" s="49"/>
      <c r="C479" s="50"/>
      <c r="D479" s="67"/>
      <c r="E479" s="50"/>
      <c r="F479" s="64"/>
      <c r="G479" s="50"/>
      <c r="H479" s="50"/>
    </row>
    <row r="480" spans="1:8">
      <c r="A480" s="48"/>
      <c r="B480" s="49"/>
      <c r="C480" s="50"/>
      <c r="D480" s="67"/>
      <c r="E480" s="50"/>
      <c r="F480" s="64"/>
      <c r="G480" s="50"/>
      <c r="H480" s="50"/>
    </row>
    <row r="481" spans="1:8">
      <c r="A481" s="48"/>
      <c r="B481" s="49"/>
      <c r="C481" s="50"/>
      <c r="D481" s="67"/>
      <c r="E481" s="50"/>
      <c r="F481" s="64"/>
      <c r="G481" s="50"/>
      <c r="H481" s="50"/>
    </row>
    <row r="482" spans="1:8">
      <c r="A482" s="48"/>
      <c r="B482" s="49"/>
      <c r="C482" s="50"/>
      <c r="D482" s="67"/>
      <c r="E482" s="50"/>
      <c r="F482" s="64"/>
      <c r="G482" s="50"/>
      <c r="H482" s="50"/>
    </row>
    <row r="483" spans="1:8">
      <c r="A483" s="48"/>
      <c r="B483" s="49"/>
      <c r="C483" s="50"/>
      <c r="D483" s="67"/>
      <c r="E483" s="50"/>
      <c r="F483" s="64"/>
      <c r="G483" s="50"/>
      <c r="H483" s="50"/>
    </row>
    <row r="484" spans="1:8">
      <c r="A484" s="48"/>
      <c r="B484" s="49"/>
      <c r="C484" s="50"/>
      <c r="D484" s="67"/>
      <c r="E484" s="50"/>
      <c r="F484" s="64"/>
      <c r="G484" s="50"/>
      <c r="H484" s="50"/>
    </row>
    <row r="485" spans="1:8">
      <c r="A485" s="48"/>
      <c r="B485" s="49"/>
      <c r="C485" s="50"/>
      <c r="D485" s="67"/>
      <c r="E485" s="50"/>
      <c r="F485" s="64"/>
      <c r="G485" s="50"/>
      <c r="H485" s="50"/>
    </row>
    <row r="486" spans="1:8">
      <c r="A486" s="48"/>
      <c r="B486" s="49"/>
      <c r="C486" s="50"/>
      <c r="D486" s="67"/>
      <c r="E486" s="50"/>
      <c r="F486" s="64"/>
      <c r="G486" s="50"/>
      <c r="H486" s="50"/>
    </row>
    <row r="487" spans="1:8">
      <c r="A487" s="48"/>
      <c r="B487" s="49"/>
      <c r="C487" s="50"/>
      <c r="D487" s="67"/>
      <c r="E487" s="50"/>
      <c r="F487" s="64"/>
      <c r="G487" s="50"/>
      <c r="H487" s="50"/>
    </row>
    <row r="488" spans="1:8">
      <c r="A488" s="48"/>
      <c r="B488" s="49"/>
      <c r="C488" s="50"/>
      <c r="D488" s="67"/>
      <c r="E488" s="50"/>
      <c r="F488" s="64"/>
      <c r="G488" s="50"/>
      <c r="H488" s="50"/>
    </row>
    <row r="489" spans="1:8">
      <c r="A489" s="48"/>
      <c r="B489" s="49"/>
      <c r="C489" s="50"/>
      <c r="D489" s="67"/>
      <c r="E489" s="50"/>
      <c r="F489" s="64"/>
      <c r="G489" s="50"/>
      <c r="H489" s="50"/>
    </row>
    <row r="490" spans="1:8">
      <c r="A490" s="48"/>
      <c r="B490" s="49"/>
      <c r="C490" s="50"/>
      <c r="D490" s="67"/>
      <c r="E490" s="50"/>
      <c r="F490" s="64"/>
      <c r="G490" s="50"/>
      <c r="H490" s="50"/>
    </row>
    <row r="491" spans="1:8">
      <c r="A491" s="48"/>
      <c r="B491" s="49"/>
      <c r="C491" s="50"/>
      <c r="D491" s="67"/>
      <c r="E491" s="50"/>
      <c r="F491" s="64"/>
      <c r="G491" s="50"/>
      <c r="H491" s="50"/>
    </row>
    <row r="492" spans="1:8">
      <c r="A492" s="48"/>
      <c r="B492" s="49"/>
      <c r="C492" s="50"/>
      <c r="D492" s="67"/>
      <c r="E492" s="50"/>
      <c r="F492" s="64"/>
      <c r="G492" s="50"/>
      <c r="H492" s="50"/>
    </row>
    <row r="493" spans="1:8">
      <c r="A493" s="48"/>
      <c r="B493" s="49"/>
      <c r="C493" s="50"/>
      <c r="D493" s="67"/>
      <c r="E493" s="50"/>
      <c r="F493" s="64"/>
      <c r="G493" s="50"/>
      <c r="H493" s="50"/>
    </row>
    <row r="494" spans="1:8">
      <c r="A494" s="48"/>
      <c r="B494" s="49"/>
      <c r="C494" s="50"/>
      <c r="D494" s="67"/>
      <c r="E494" s="50"/>
      <c r="F494" s="64"/>
      <c r="G494" s="50"/>
      <c r="H494" s="50"/>
    </row>
    <row r="495" spans="1:8">
      <c r="A495" s="48"/>
      <c r="B495" s="49"/>
      <c r="C495" s="50"/>
      <c r="D495" s="67"/>
      <c r="E495" s="50"/>
      <c r="F495" s="64"/>
      <c r="G495" s="50"/>
      <c r="H495" s="50"/>
    </row>
    <row r="496" spans="1:8">
      <c r="A496" s="48"/>
      <c r="B496" s="49"/>
      <c r="C496" s="50"/>
      <c r="D496" s="67"/>
      <c r="E496" s="50"/>
      <c r="F496" s="64"/>
      <c r="G496" s="50"/>
      <c r="H496" s="50"/>
    </row>
    <row r="497" spans="1:8">
      <c r="A497" s="48"/>
      <c r="B497" s="49"/>
      <c r="C497" s="50"/>
      <c r="D497" s="67"/>
      <c r="E497" s="50"/>
      <c r="F497" s="64"/>
      <c r="G497" s="50"/>
      <c r="H497" s="50"/>
    </row>
    <row r="498" spans="1:8">
      <c r="A498" s="48"/>
      <c r="B498" s="49"/>
      <c r="C498" s="50"/>
      <c r="D498" s="67"/>
      <c r="E498" s="50"/>
      <c r="F498" s="64"/>
      <c r="G498" s="50"/>
      <c r="H498" s="50"/>
    </row>
    <row r="499" spans="1:8">
      <c r="A499" s="48"/>
      <c r="B499" s="49"/>
      <c r="C499" s="50"/>
      <c r="D499" s="67"/>
      <c r="E499" s="50"/>
      <c r="F499" s="64"/>
      <c r="G499" s="50"/>
      <c r="H499" s="50"/>
    </row>
    <row r="500" spans="1:8">
      <c r="A500" s="48"/>
      <c r="B500" s="49"/>
      <c r="C500" s="50"/>
      <c r="D500" s="67"/>
      <c r="E500" s="50"/>
      <c r="F500" s="64"/>
      <c r="G500" s="50"/>
      <c r="H500" s="50"/>
    </row>
    <row r="501" spans="1:8">
      <c r="A501" s="48"/>
      <c r="B501" s="49"/>
      <c r="C501" s="50"/>
      <c r="D501" s="67"/>
      <c r="E501" s="50"/>
      <c r="F501" s="64"/>
      <c r="G501" s="50"/>
      <c r="H501" s="50"/>
    </row>
    <row r="502" spans="1:8">
      <c r="A502" s="48"/>
      <c r="B502" s="49"/>
      <c r="C502" s="50"/>
      <c r="D502" s="67"/>
      <c r="E502" s="50"/>
      <c r="F502" s="64"/>
      <c r="G502" s="50"/>
      <c r="H502" s="50"/>
    </row>
    <row r="503" spans="1:8">
      <c r="A503" s="48"/>
      <c r="B503" s="49"/>
      <c r="C503" s="50"/>
      <c r="D503" s="67"/>
      <c r="E503" s="50"/>
      <c r="F503" s="64"/>
      <c r="G503" s="50"/>
      <c r="H503" s="50"/>
    </row>
    <row r="504" spans="1:8">
      <c r="A504" s="48"/>
      <c r="B504" s="49"/>
      <c r="C504" s="50"/>
      <c r="D504" s="67"/>
      <c r="E504" s="50"/>
      <c r="F504" s="64"/>
      <c r="G504" s="50"/>
      <c r="H504" s="50"/>
    </row>
    <row r="505" spans="1:8">
      <c r="A505" s="48"/>
      <c r="B505" s="49"/>
      <c r="C505" s="50"/>
      <c r="D505" s="67"/>
      <c r="E505" s="50"/>
      <c r="F505" s="64"/>
      <c r="G505" s="50"/>
      <c r="H505" s="50"/>
    </row>
    <row r="506" spans="1:8">
      <c r="A506" s="48"/>
      <c r="B506" s="49"/>
      <c r="C506" s="50"/>
      <c r="D506" s="67"/>
      <c r="E506" s="50"/>
      <c r="F506" s="64"/>
      <c r="G506" s="50"/>
      <c r="H506" s="50"/>
    </row>
    <row r="507" spans="1:8">
      <c r="A507" s="48"/>
      <c r="B507" s="49"/>
      <c r="C507" s="50"/>
      <c r="D507" s="67"/>
      <c r="E507" s="50"/>
      <c r="F507" s="64"/>
      <c r="G507" s="50"/>
      <c r="H507" s="50"/>
    </row>
    <row r="508" spans="1:8">
      <c r="A508" s="48"/>
      <c r="B508" s="49"/>
      <c r="C508" s="50"/>
      <c r="D508" s="67"/>
      <c r="E508" s="50"/>
      <c r="F508" s="64"/>
      <c r="G508" s="50"/>
      <c r="H508" s="50"/>
    </row>
    <row r="509" spans="1:8">
      <c r="A509" s="48"/>
      <c r="B509" s="49"/>
      <c r="C509" s="50"/>
      <c r="D509" s="67"/>
      <c r="E509" s="50"/>
      <c r="F509" s="64"/>
      <c r="G509" s="50"/>
      <c r="H509" s="50"/>
    </row>
    <row r="510" spans="1:8">
      <c r="A510" s="48"/>
      <c r="B510" s="49"/>
      <c r="C510" s="50"/>
      <c r="D510" s="67"/>
      <c r="E510" s="50"/>
      <c r="F510" s="64"/>
      <c r="G510" s="50"/>
      <c r="H510" s="50"/>
    </row>
    <row r="511" spans="1:8">
      <c r="A511" s="48"/>
      <c r="B511" s="49"/>
      <c r="C511" s="50"/>
      <c r="D511" s="67"/>
      <c r="E511" s="50"/>
      <c r="F511" s="64"/>
      <c r="G511" s="50"/>
      <c r="H511" s="50"/>
    </row>
    <row r="512" spans="1:8">
      <c r="A512" s="48"/>
      <c r="B512" s="49"/>
      <c r="C512" s="50"/>
      <c r="D512" s="67"/>
      <c r="E512" s="50"/>
      <c r="F512" s="64"/>
      <c r="G512" s="50"/>
      <c r="H512" s="50"/>
    </row>
    <row r="513" spans="1:8">
      <c r="A513" s="48"/>
      <c r="B513" s="49"/>
      <c r="C513" s="50"/>
      <c r="D513" s="67"/>
      <c r="E513" s="50"/>
      <c r="F513" s="64"/>
      <c r="G513" s="50"/>
      <c r="H513" s="50"/>
    </row>
    <row r="514" spans="1:8">
      <c r="A514" s="48"/>
      <c r="B514" s="49"/>
      <c r="C514" s="50"/>
      <c r="D514" s="67"/>
      <c r="E514" s="50"/>
      <c r="F514" s="64"/>
      <c r="G514" s="50"/>
      <c r="H514" s="50"/>
    </row>
    <row r="515" spans="1:8">
      <c r="A515" s="48"/>
      <c r="B515" s="49"/>
      <c r="C515" s="50"/>
      <c r="D515" s="67"/>
      <c r="E515" s="50"/>
      <c r="F515" s="64"/>
      <c r="G515" s="50"/>
      <c r="H515" s="50"/>
    </row>
    <row r="516" spans="1:8">
      <c r="A516" s="48"/>
      <c r="B516" s="49"/>
      <c r="C516" s="50"/>
      <c r="D516" s="67"/>
      <c r="E516" s="50"/>
      <c r="F516" s="64"/>
      <c r="G516" s="50"/>
      <c r="H516" s="50"/>
    </row>
    <row r="517" spans="1:8">
      <c r="A517" s="48"/>
      <c r="B517" s="49"/>
      <c r="C517" s="50"/>
      <c r="D517" s="67"/>
      <c r="E517" s="50"/>
      <c r="F517" s="64"/>
      <c r="G517" s="50"/>
      <c r="H517" s="50"/>
    </row>
    <row r="518" spans="1:8">
      <c r="A518" s="48"/>
      <c r="B518" s="49"/>
      <c r="C518" s="50"/>
      <c r="D518" s="67"/>
      <c r="E518" s="50"/>
      <c r="F518" s="64"/>
      <c r="G518" s="50"/>
      <c r="H518" s="50"/>
    </row>
    <row r="519" spans="1:8">
      <c r="A519" s="48"/>
      <c r="B519" s="49"/>
      <c r="C519" s="50"/>
      <c r="D519" s="67"/>
      <c r="E519" s="50"/>
      <c r="F519" s="64"/>
      <c r="G519" s="50"/>
      <c r="H519" s="50"/>
    </row>
    <row r="520" spans="1:8">
      <c r="A520" s="48"/>
      <c r="B520" s="49"/>
      <c r="C520" s="50"/>
      <c r="D520" s="67"/>
      <c r="E520" s="50"/>
      <c r="F520" s="64"/>
      <c r="G520" s="50"/>
      <c r="H520" s="50"/>
    </row>
    <row r="521" spans="1:8">
      <c r="A521" s="48"/>
      <c r="B521" s="49"/>
      <c r="C521" s="50"/>
      <c r="D521" s="67"/>
      <c r="E521" s="50"/>
      <c r="F521" s="64"/>
      <c r="G521" s="50"/>
      <c r="H521" s="50"/>
    </row>
    <row r="522" spans="1:8">
      <c r="A522" s="48"/>
      <c r="B522" s="49"/>
      <c r="C522" s="50"/>
      <c r="D522" s="67"/>
      <c r="E522" s="50"/>
      <c r="F522" s="64"/>
      <c r="G522" s="50"/>
      <c r="H522" s="50"/>
    </row>
    <row r="523" spans="1:8">
      <c r="A523" s="48"/>
      <c r="B523" s="49"/>
      <c r="C523" s="50"/>
      <c r="D523" s="67"/>
      <c r="E523" s="50"/>
      <c r="F523" s="64"/>
      <c r="G523" s="50"/>
      <c r="H523" s="50"/>
    </row>
    <row r="524" spans="1:8">
      <c r="A524" s="48"/>
      <c r="B524" s="49"/>
      <c r="C524" s="50"/>
      <c r="D524" s="67"/>
      <c r="E524" s="50"/>
      <c r="F524" s="64"/>
      <c r="G524" s="50"/>
      <c r="H524" s="50"/>
    </row>
    <row r="525" spans="1:8">
      <c r="A525" s="48"/>
      <c r="B525" s="49"/>
      <c r="C525" s="50"/>
      <c r="D525" s="67"/>
      <c r="E525" s="50"/>
      <c r="F525" s="64"/>
      <c r="G525" s="50"/>
      <c r="H525" s="50"/>
    </row>
    <row r="526" spans="1:8">
      <c r="A526" s="48"/>
      <c r="B526" s="49"/>
      <c r="C526" s="50"/>
      <c r="D526" s="67"/>
      <c r="E526" s="50"/>
      <c r="F526" s="64"/>
      <c r="G526" s="50"/>
      <c r="H526" s="50"/>
    </row>
    <row r="527" spans="1:8">
      <c r="A527" s="48"/>
      <c r="B527" s="49"/>
      <c r="C527" s="50"/>
      <c r="D527" s="67"/>
      <c r="E527" s="50"/>
      <c r="F527" s="64"/>
      <c r="G527" s="50"/>
      <c r="H527" s="50"/>
    </row>
    <row r="528" spans="1:8">
      <c r="A528" s="48"/>
      <c r="B528" s="49"/>
      <c r="C528" s="50"/>
      <c r="D528" s="67"/>
      <c r="E528" s="50"/>
      <c r="F528" s="64"/>
      <c r="G528" s="50"/>
      <c r="H528" s="50"/>
    </row>
    <row r="529" spans="1:8">
      <c r="A529" s="48"/>
      <c r="B529" s="49"/>
      <c r="C529" s="50"/>
      <c r="D529" s="67"/>
      <c r="E529" s="50"/>
      <c r="F529" s="64"/>
      <c r="G529" s="50"/>
      <c r="H529" s="50"/>
    </row>
    <row r="530" spans="1:8">
      <c r="A530" s="48"/>
      <c r="B530" s="49"/>
      <c r="C530" s="50"/>
      <c r="D530" s="67"/>
      <c r="E530" s="50"/>
      <c r="F530" s="64"/>
      <c r="G530" s="50"/>
      <c r="H530" s="50"/>
    </row>
    <row r="531" spans="1:8">
      <c r="A531" s="48"/>
      <c r="B531" s="49"/>
      <c r="C531" s="50"/>
      <c r="D531" s="67"/>
      <c r="E531" s="50"/>
      <c r="F531" s="64"/>
      <c r="G531" s="50"/>
      <c r="H531" s="50"/>
    </row>
    <row r="532" spans="1:8">
      <c r="A532" s="48"/>
      <c r="B532" s="49"/>
      <c r="C532" s="50"/>
      <c r="D532" s="67"/>
      <c r="E532" s="50"/>
      <c r="F532" s="64"/>
      <c r="G532" s="50"/>
      <c r="H532" s="50"/>
    </row>
    <row r="533" spans="1:8">
      <c r="A533" s="48"/>
      <c r="B533" s="49"/>
      <c r="C533" s="50"/>
      <c r="D533" s="67"/>
      <c r="E533" s="50"/>
      <c r="F533" s="64"/>
      <c r="G533" s="50"/>
      <c r="H533" s="50"/>
    </row>
    <row r="534" spans="1:8">
      <c r="A534" s="48"/>
      <c r="B534" s="49"/>
      <c r="C534" s="50"/>
      <c r="D534" s="67"/>
      <c r="E534" s="50"/>
      <c r="F534" s="64"/>
      <c r="G534" s="50"/>
      <c r="H534" s="50"/>
    </row>
    <row r="535" spans="1:8">
      <c r="A535" s="48"/>
      <c r="B535" s="49"/>
      <c r="C535" s="50"/>
      <c r="D535" s="67"/>
      <c r="E535" s="50"/>
      <c r="F535" s="64"/>
      <c r="G535" s="50"/>
      <c r="H535" s="50"/>
    </row>
    <row r="536" spans="1:8">
      <c r="A536" s="48"/>
      <c r="B536" s="49"/>
      <c r="C536" s="50"/>
      <c r="D536" s="67"/>
      <c r="E536" s="50"/>
      <c r="F536" s="64"/>
      <c r="G536" s="50"/>
      <c r="H536" s="50"/>
    </row>
    <row r="537" spans="1:8">
      <c r="A537" s="48"/>
      <c r="B537" s="49"/>
      <c r="C537" s="50"/>
      <c r="D537" s="67"/>
      <c r="E537" s="50"/>
      <c r="F537" s="64"/>
      <c r="G537" s="50"/>
      <c r="H537" s="50"/>
    </row>
    <row r="538" spans="1:8">
      <c r="A538" s="48"/>
      <c r="B538" s="49"/>
      <c r="C538" s="50"/>
      <c r="D538" s="67"/>
      <c r="E538" s="50"/>
      <c r="F538" s="64"/>
      <c r="G538" s="50"/>
      <c r="H538" s="50"/>
    </row>
    <row r="539" spans="1:8">
      <c r="A539" s="48"/>
      <c r="B539" s="49"/>
      <c r="C539" s="50"/>
      <c r="D539" s="67"/>
      <c r="E539" s="50"/>
      <c r="F539" s="64"/>
      <c r="G539" s="50"/>
      <c r="H539" s="50"/>
    </row>
    <row r="540" spans="1:8">
      <c r="A540" s="48"/>
      <c r="B540" s="49"/>
      <c r="C540" s="50"/>
      <c r="D540" s="67"/>
      <c r="E540" s="50"/>
      <c r="F540" s="64"/>
      <c r="G540" s="50"/>
      <c r="H540" s="50"/>
    </row>
    <row r="541" spans="1:8">
      <c r="A541" s="48"/>
      <c r="B541" s="49"/>
      <c r="C541" s="50"/>
      <c r="D541" s="67"/>
      <c r="E541" s="50"/>
      <c r="F541" s="64"/>
      <c r="G541" s="50"/>
      <c r="H541" s="50"/>
    </row>
    <row r="542" spans="1:8">
      <c r="A542" s="48"/>
      <c r="B542" s="49"/>
      <c r="C542" s="50"/>
      <c r="D542" s="67"/>
      <c r="E542" s="50"/>
      <c r="F542" s="64"/>
      <c r="G542" s="50"/>
      <c r="H542" s="50"/>
    </row>
    <row r="543" spans="1:8">
      <c r="A543" s="48"/>
      <c r="B543" s="49"/>
      <c r="C543" s="50"/>
      <c r="D543" s="67"/>
      <c r="E543" s="50"/>
      <c r="F543" s="64"/>
      <c r="G543" s="50"/>
      <c r="H543" s="50"/>
    </row>
    <row r="544" spans="1:8">
      <c r="A544" s="48"/>
      <c r="B544" s="49"/>
      <c r="C544" s="50"/>
      <c r="D544" s="67"/>
      <c r="E544" s="50"/>
      <c r="F544" s="64"/>
      <c r="G544" s="50"/>
      <c r="H544" s="50"/>
    </row>
    <row r="545" spans="1:8">
      <c r="A545" s="48"/>
      <c r="B545" s="49"/>
      <c r="C545" s="50"/>
      <c r="D545" s="67"/>
      <c r="E545" s="50"/>
      <c r="F545" s="64"/>
      <c r="G545" s="50"/>
      <c r="H545" s="50"/>
    </row>
    <row r="546" spans="1:8">
      <c r="A546" s="48"/>
      <c r="B546" s="49"/>
      <c r="C546" s="50"/>
      <c r="D546" s="67"/>
      <c r="E546" s="50"/>
      <c r="F546" s="64"/>
      <c r="G546" s="50"/>
      <c r="H546" s="50"/>
    </row>
    <row r="547" spans="1:8">
      <c r="A547" s="48"/>
      <c r="B547" s="49"/>
      <c r="C547" s="50"/>
      <c r="D547" s="67"/>
      <c r="E547" s="50"/>
      <c r="F547" s="64"/>
      <c r="G547" s="50"/>
      <c r="H547" s="50"/>
    </row>
    <row r="548" spans="1:8">
      <c r="A548" s="48"/>
      <c r="B548" s="49"/>
      <c r="C548" s="50"/>
      <c r="D548" s="67"/>
      <c r="E548" s="50"/>
      <c r="F548" s="64"/>
      <c r="G548" s="50"/>
      <c r="H548" s="50"/>
    </row>
    <row r="549" spans="1:8">
      <c r="A549" s="48"/>
      <c r="B549" s="49"/>
      <c r="C549" s="50"/>
      <c r="D549" s="67"/>
      <c r="E549" s="50"/>
      <c r="F549" s="64"/>
      <c r="G549" s="50"/>
      <c r="H549" s="50"/>
    </row>
    <row r="550" spans="1:8">
      <c r="A550" s="48"/>
      <c r="B550" s="49"/>
      <c r="C550" s="50"/>
      <c r="D550" s="67"/>
      <c r="E550" s="50"/>
      <c r="F550" s="64"/>
      <c r="G550" s="50"/>
      <c r="H550" s="50"/>
    </row>
    <row r="551" spans="1:8">
      <c r="A551" s="48"/>
      <c r="B551" s="49"/>
      <c r="C551" s="50"/>
      <c r="D551" s="67"/>
      <c r="E551" s="50"/>
      <c r="F551" s="64"/>
      <c r="G551" s="50"/>
      <c r="H551" s="50"/>
    </row>
    <row r="552" spans="1:8">
      <c r="A552" s="48"/>
      <c r="B552" s="49"/>
      <c r="C552" s="50"/>
      <c r="D552" s="67"/>
      <c r="E552" s="50"/>
      <c r="F552" s="64"/>
      <c r="G552" s="50"/>
      <c r="H552" s="50"/>
    </row>
    <row r="553" spans="1:8">
      <c r="A553" s="48"/>
      <c r="B553" s="49"/>
      <c r="C553" s="50"/>
      <c r="D553" s="67"/>
      <c r="E553" s="50"/>
      <c r="F553" s="64"/>
      <c r="G553" s="50"/>
      <c r="H553" s="50"/>
    </row>
    <row r="554" spans="1:8">
      <c r="A554" s="48"/>
      <c r="B554" s="49"/>
      <c r="C554" s="50"/>
      <c r="D554" s="67"/>
      <c r="E554" s="50"/>
      <c r="F554" s="64"/>
      <c r="G554" s="50"/>
      <c r="H554" s="50"/>
    </row>
    <row r="555" spans="1:8">
      <c r="A555" s="48"/>
      <c r="B555" s="49"/>
      <c r="C555" s="50"/>
      <c r="D555" s="67"/>
      <c r="E555" s="50"/>
      <c r="F555" s="64"/>
      <c r="G555" s="50"/>
      <c r="H555" s="50"/>
    </row>
    <row r="556" spans="1:8">
      <c r="A556" s="48"/>
      <c r="B556" s="49"/>
      <c r="C556" s="50"/>
      <c r="D556" s="67"/>
      <c r="E556" s="50"/>
      <c r="F556" s="64"/>
      <c r="G556" s="50"/>
      <c r="H556" s="50"/>
    </row>
    <row r="557" spans="1:8">
      <c r="A557" s="48"/>
      <c r="B557" s="49"/>
      <c r="C557" s="50"/>
      <c r="D557" s="67"/>
      <c r="E557" s="50"/>
      <c r="F557" s="64"/>
      <c r="G557" s="50"/>
      <c r="H557" s="50"/>
    </row>
    <row r="558" spans="1:8">
      <c r="A558" s="48"/>
      <c r="B558" s="49"/>
      <c r="C558" s="50"/>
      <c r="D558" s="67"/>
      <c r="E558" s="50"/>
      <c r="F558" s="64"/>
      <c r="G558" s="50"/>
      <c r="H558" s="50"/>
    </row>
    <row r="559" spans="1:8">
      <c r="A559" s="48"/>
      <c r="B559" s="49"/>
      <c r="C559" s="50"/>
      <c r="D559" s="67"/>
      <c r="E559" s="50"/>
      <c r="F559" s="64"/>
      <c r="G559" s="50"/>
      <c r="H559" s="50"/>
    </row>
    <row r="560" spans="1:8">
      <c r="A560" s="48"/>
      <c r="B560" s="49"/>
      <c r="C560" s="50"/>
      <c r="D560" s="67"/>
      <c r="E560" s="50"/>
      <c r="F560" s="64"/>
      <c r="G560" s="50"/>
      <c r="H560" s="50"/>
    </row>
    <row r="561" spans="1:8">
      <c r="A561" s="48"/>
      <c r="B561" s="49"/>
      <c r="C561" s="50"/>
      <c r="D561" s="67"/>
      <c r="E561" s="50"/>
      <c r="F561" s="64"/>
      <c r="G561" s="50"/>
      <c r="H561" s="50"/>
    </row>
    <row r="562" spans="1:8">
      <c r="A562" s="48"/>
      <c r="B562" s="49"/>
      <c r="C562" s="50"/>
      <c r="D562" s="67"/>
      <c r="E562" s="50"/>
      <c r="F562" s="64"/>
      <c r="G562" s="50"/>
      <c r="H562" s="50"/>
    </row>
    <row r="563" spans="1:8">
      <c r="A563" s="48"/>
      <c r="B563" s="49"/>
      <c r="C563" s="50"/>
      <c r="D563" s="67"/>
      <c r="E563" s="50"/>
      <c r="F563" s="64"/>
      <c r="G563" s="50"/>
      <c r="H563" s="50"/>
    </row>
    <row r="564" spans="1:8">
      <c r="A564" s="48"/>
      <c r="B564" s="49"/>
      <c r="C564" s="50"/>
      <c r="D564" s="67"/>
      <c r="E564" s="50"/>
      <c r="F564" s="64"/>
      <c r="G564" s="50"/>
      <c r="H564" s="50"/>
    </row>
    <row r="565" spans="1:8">
      <c r="A565" s="48"/>
      <c r="B565" s="49"/>
      <c r="C565" s="50"/>
      <c r="D565" s="67"/>
      <c r="E565" s="50"/>
      <c r="F565" s="64"/>
      <c r="G565" s="50"/>
      <c r="H565" s="50"/>
    </row>
    <row r="566" spans="1:8">
      <c r="A566" s="48"/>
      <c r="B566" s="49"/>
      <c r="C566" s="50"/>
      <c r="D566" s="67"/>
      <c r="E566" s="50"/>
      <c r="F566" s="64"/>
      <c r="G566" s="50"/>
      <c r="H566" s="50"/>
    </row>
    <row r="567" spans="1:8">
      <c r="A567" s="48"/>
      <c r="B567" s="49"/>
      <c r="C567" s="50"/>
      <c r="D567" s="67"/>
      <c r="E567" s="50"/>
      <c r="F567" s="64"/>
      <c r="G567" s="50"/>
      <c r="H567" s="50"/>
    </row>
    <row r="568" spans="1:8">
      <c r="A568" s="48"/>
      <c r="B568" s="49"/>
      <c r="C568" s="50"/>
      <c r="D568" s="67"/>
      <c r="E568" s="50"/>
      <c r="F568" s="64"/>
      <c r="G568" s="50"/>
      <c r="H568" s="50"/>
    </row>
    <row r="569" spans="1:8">
      <c r="A569" s="48"/>
      <c r="B569" s="49"/>
      <c r="C569" s="50"/>
      <c r="D569" s="67"/>
      <c r="E569" s="50"/>
      <c r="F569" s="64"/>
      <c r="G569" s="50"/>
      <c r="H569" s="50"/>
    </row>
    <row r="570" spans="1:8">
      <c r="A570" s="48"/>
      <c r="B570" s="49"/>
      <c r="C570" s="50"/>
      <c r="D570" s="67"/>
      <c r="E570" s="50"/>
      <c r="F570" s="64"/>
      <c r="G570" s="50"/>
      <c r="H570" s="50"/>
    </row>
    <row r="571" spans="1:8">
      <c r="A571" s="48"/>
      <c r="B571" s="49"/>
      <c r="C571" s="50"/>
      <c r="D571" s="67"/>
      <c r="E571" s="50"/>
      <c r="F571" s="64"/>
      <c r="G571" s="50"/>
      <c r="H571" s="50"/>
    </row>
    <row r="572" spans="1:8">
      <c r="A572" s="48"/>
      <c r="B572" s="49"/>
      <c r="C572" s="50"/>
      <c r="D572" s="67"/>
      <c r="E572" s="50"/>
      <c r="F572" s="64"/>
      <c r="G572" s="50"/>
      <c r="H572" s="50"/>
    </row>
    <row r="573" spans="1:8">
      <c r="A573" s="48"/>
      <c r="B573" s="49"/>
      <c r="C573" s="50"/>
      <c r="D573" s="67"/>
      <c r="E573" s="50"/>
      <c r="F573" s="64"/>
      <c r="G573" s="50"/>
      <c r="H573" s="50"/>
    </row>
    <row r="574" spans="1:8">
      <c r="A574" s="48"/>
      <c r="B574" s="49"/>
      <c r="C574" s="50"/>
      <c r="D574" s="67"/>
      <c r="E574" s="50"/>
      <c r="F574" s="64"/>
      <c r="G574" s="50"/>
      <c r="H574" s="50"/>
    </row>
    <row r="575" spans="1:8">
      <c r="A575" s="48"/>
      <c r="B575" s="49"/>
      <c r="C575" s="50"/>
      <c r="D575" s="67"/>
      <c r="E575" s="50"/>
      <c r="F575" s="64"/>
      <c r="G575" s="50"/>
      <c r="H575" s="50"/>
    </row>
    <row r="576" spans="1:8">
      <c r="A576" s="48"/>
      <c r="B576" s="49"/>
      <c r="C576" s="50"/>
      <c r="D576" s="67"/>
      <c r="E576" s="50"/>
      <c r="F576" s="64"/>
      <c r="G576" s="50"/>
      <c r="H576" s="50"/>
    </row>
    <row r="577" spans="1:8">
      <c r="A577" s="48"/>
      <c r="B577" s="49"/>
      <c r="C577" s="50"/>
      <c r="D577" s="67"/>
      <c r="E577" s="50"/>
      <c r="F577" s="64"/>
      <c r="G577" s="50"/>
      <c r="H577" s="50"/>
    </row>
    <row r="578" spans="1:8">
      <c r="A578" s="48"/>
      <c r="B578" s="49"/>
      <c r="C578" s="50"/>
      <c r="D578" s="67"/>
      <c r="E578" s="50"/>
      <c r="F578" s="64"/>
      <c r="G578" s="50"/>
      <c r="H578" s="50"/>
    </row>
    <row r="579" spans="1:8">
      <c r="A579" s="48"/>
      <c r="B579" s="49"/>
      <c r="C579" s="50"/>
      <c r="D579" s="67"/>
      <c r="E579" s="50"/>
      <c r="F579" s="64"/>
      <c r="G579" s="50"/>
      <c r="H579" s="50"/>
    </row>
    <row r="580" spans="1:8">
      <c r="A580" s="48"/>
      <c r="B580" s="49"/>
      <c r="C580" s="50"/>
      <c r="D580" s="67"/>
      <c r="E580" s="50"/>
      <c r="F580" s="64"/>
      <c r="G580" s="50"/>
      <c r="H580" s="50"/>
    </row>
    <row r="581" spans="1:8">
      <c r="A581" s="48"/>
      <c r="B581" s="49"/>
      <c r="C581" s="50"/>
      <c r="D581" s="67"/>
      <c r="E581" s="50"/>
      <c r="F581" s="64"/>
      <c r="G581" s="50"/>
      <c r="H581" s="50"/>
    </row>
    <row r="582" spans="1:8">
      <c r="A582" s="48"/>
      <c r="B582" s="49"/>
      <c r="C582" s="50"/>
      <c r="D582" s="67"/>
      <c r="E582" s="50"/>
      <c r="F582" s="64"/>
      <c r="G582" s="50"/>
      <c r="H582" s="50"/>
    </row>
    <row r="583" spans="1:8">
      <c r="A583" s="48"/>
      <c r="B583" s="49"/>
      <c r="C583" s="50"/>
      <c r="D583" s="67"/>
      <c r="E583" s="50"/>
      <c r="F583" s="64"/>
      <c r="G583" s="50"/>
      <c r="H583" s="50"/>
    </row>
    <row r="584" spans="1:8">
      <c r="A584" s="48"/>
      <c r="B584" s="49"/>
      <c r="C584" s="50"/>
      <c r="D584" s="67"/>
      <c r="E584" s="50"/>
      <c r="F584" s="64"/>
      <c r="G584" s="50"/>
      <c r="H584" s="50"/>
    </row>
    <row r="585" spans="1:8">
      <c r="A585" s="48"/>
      <c r="B585" s="49"/>
      <c r="C585" s="50"/>
      <c r="D585" s="67"/>
      <c r="E585" s="50"/>
      <c r="F585" s="64"/>
      <c r="G585" s="50"/>
      <c r="H585" s="50"/>
    </row>
    <row r="586" spans="1:8">
      <c r="A586" s="48"/>
      <c r="B586" s="49"/>
      <c r="C586" s="50"/>
      <c r="D586" s="67"/>
      <c r="E586" s="50"/>
      <c r="F586" s="64"/>
      <c r="G586" s="50"/>
      <c r="H586" s="50"/>
    </row>
    <row r="587" spans="1:8">
      <c r="A587" s="48"/>
      <c r="B587" s="49"/>
      <c r="C587" s="50"/>
      <c r="D587" s="67"/>
      <c r="E587" s="50"/>
      <c r="F587" s="64"/>
      <c r="G587" s="50"/>
      <c r="H587" s="50"/>
    </row>
    <row r="588" spans="1:8">
      <c r="A588" s="48"/>
      <c r="B588" s="49"/>
      <c r="C588" s="50"/>
      <c r="D588" s="67"/>
      <c r="E588" s="50"/>
      <c r="F588" s="64"/>
      <c r="G588" s="50"/>
      <c r="H588" s="50"/>
    </row>
    <row r="589" spans="1:8">
      <c r="A589" s="48"/>
      <c r="B589" s="49"/>
      <c r="C589" s="50"/>
      <c r="D589" s="67"/>
      <c r="E589" s="50"/>
      <c r="F589" s="64"/>
      <c r="G589" s="50"/>
      <c r="H589" s="50"/>
    </row>
    <row r="590" spans="1:8">
      <c r="A590" s="48"/>
      <c r="B590" s="49"/>
      <c r="C590" s="50"/>
      <c r="D590" s="67"/>
      <c r="E590" s="50"/>
      <c r="F590" s="64"/>
      <c r="G590" s="50"/>
      <c r="H590" s="50"/>
    </row>
    <row r="591" spans="1:8">
      <c r="A591" s="48"/>
      <c r="B591" s="49"/>
      <c r="C591" s="50"/>
      <c r="D591" s="67"/>
      <c r="E591" s="50"/>
      <c r="F591" s="64"/>
      <c r="G591" s="50"/>
      <c r="H591" s="50"/>
    </row>
    <row r="592" spans="1:8">
      <c r="A592" s="48"/>
      <c r="B592" s="49"/>
      <c r="C592" s="50"/>
      <c r="D592" s="67"/>
      <c r="E592" s="50"/>
      <c r="F592" s="64"/>
      <c r="G592" s="50"/>
      <c r="H592" s="50"/>
    </row>
    <row r="593" spans="1:8">
      <c r="A593" s="48"/>
      <c r="B593" s="49"/>
      <c r="C593" s="50"/>
      <c r="D593" s="67"/>
      <c r="E593" s="50"/>
      <c r="F593" s="64"/>
      <c r="G593" s="50"/>
      <c r="H593" s="50"/>
    </row>
    <row r="594" spans="1:8">
      <c r="A594" s="48"/>
      <c r="B594" s="49"/>
      <c r="C594" s="50"/>
      <c r="D594" s="67"/>
      <c r="E594" s="50"/>
      <c r="F594" s="64"/>
      <c r="G594" s="50"/>
      <c r="H594" s="50"/>
    </row>
    <row r="595" spans="1:8">
      <c r="A595" s="48"/>
      <c r="B595" s="49"/>
      <c r="C595" s="50"/>
      <c r="D595" s="67"/>
      <c r="E595" s="50"/>
      <c r="F595" s="64"/>
      <c r="G595" s="50"/>
      <c r="H595" s="50"/>
    </row>
    <row r="596" spans="1:8">
      <c r="A596" s="48"/>
      <c r="B596" s="49"/>
      <c r="C596" s="50"/>
      <c r="D596" s="67"/>
      <c r="E596" s="50"/>
      <c r="F596" s="64"/>
      <c r="G596" s="50"/>
      <c r="H596" s="50"/>
    </row>
    <row r="597" spans="1:8">
      <c r="A597" s="48"/>
      <c r="B597" s="49"/>
      <c r="C597" s="50"/>
      <c r="D597" s="67"/>
      <c r="E597" s="50"/>
      <c r="F597" s="64"/>
      <c r="G597" s="50"/>
      <c r="H597" s="50"/>
    </row>
    <row r="598" spans="1:8">
      <c r="A598" s="48"/>
      <c r="B598" s="49"/>
      <c r="C598" s="50"/>
      <c r="D598" s="67"/>
      <c r="E598" s="50"/>
      <c r="F598" s="64"/>
      <c r="G598" s="50"/>
      <c r="H598" s="50"/>
    </row>
    <row r="599" spans="1:8">
      <c r="A599" s="48"/>
      <c r="B599" s="49"/>
      <c r="C599" s="50"/>
      <c r="D599" s="67"/>
      <c r="E599" s="50"/>
      <c r="F599" s="64"/>
      <c r="G599" s="50"/>
      <c r="H599" s="50"/>
    </row>
    <row r="600" spans="1:8">
      <c r="A600" s="48"/>
      <c r="B600" s="49"/>
      <c r="C600" s="50"/>
      <c r="D600" s="67"/>
      <c r="E600" s="50"/>
      <c r="F600" s="64"/>
      <c r="G600" s="50"/>
      <c r="H600" s="50"/>
    </row>
    <row r="601" spans="1:8">
      <c r="A601" s="48"/>
      <c r="B601" s="49"/>
      <c r="C601" s="50"/>
      <c r="D601" s="67"/>
      <c r="E601" s="50"/>
      <c r="F601" s="64"/>
      <c r="G601" s="50"/>
      <c r="H601" s="50"/>
    </row>
    <row r="602" spans="1:8">
      <c r="A602" s="48"/>
      <c r="B602" s="49"/>
      <c r="C602" s="50"/>
      <c r="D602" s="67"/>
      <c r="E602" s="50"/>
      <c r="F602" s="64"/>
      <c r="G602" s="50"/>
      <c r="H602" s="50"/>
    </row>
    <row r="603" spans="1:8">
      <c r="A603" s="48"/>
      <c r="B603" s="49"/>
      <c r="C603" s="50"/>
      <c r="D603" s="67"/>
      <c r="E603" s="50"/>
      <c r="F603" s="64"/>
      <c r="G603" s="50"/>
      <c r="H603" s="50"/>
    </row>
    <row r="604" spans="1:8">
      <c r="A604" s="48"/>
      <c r="B604" s="49"/>
      <c r="C604" s="50"/>
      <c r="D604" s="67"/>
      <c r="E604" s="50"/>
      <c r="F604" s="64"/>
      <c r="G604" s="50"/>
      <c r="H604" s="50"/>
    </row>
    <row r="605" spans="1:8">
      <c r="A605" s="48"/>
      <c r="B605" s="49"/>
      <c r="C605" s="50"/>
      <c r="D605" s="67"/>
      <c r="E605" s="50"/>
      <c r="F605" s="64"/>
      <c r="G605" s="50"/>
      <c r="H605" s="50"/>
    </row>
    <row r="606" spans="1:8">
      <c r="A606" s="48"/>
      <c r="B606" s="49"/>
      <c r="C606" s="50"/>
      <c r="D606" s="67"/>
      <c r="E606" s="50"/>
      <c r="F606" s="64"/>
      <c r="G606" s="50"/>
      <c r="H606" s="50"/>
    </row>
    <row r="607" spans="1:8">
      <c r="A607" s="48"/>
      <c r="B607" s="49"/>
      <c r="C607" s="50"/>
      <c r="D607" s="67"/>
      <c r="E607" s="50"/>
      <c r="F607" s="64"/>
      <c r="G607" s="50"/>
      <c r="H607" s="50"/>
    </row>
    <row r="608" spans="1:8">
      <c r="A608" s="48"/>
      <c r="B608" s="49"/>
      <c r="C608" s="50"/>
      <c r="D608" s="67"/>
      <c r="E608" s="50"/>
      <c r="F608" s="64"/>
      <c r="G608" s="50"/>
      <c r="H608" s="50"/>
    </row>
    <row r="609" spans="1:8">
      <c r="A609" s="48"/>
      <c r="B609" s="49"/>
      <c r="C609" s="50"/>
      <c r="D609" s="67"/>
      <c r="E609" s="50"/>
      <c r="F609" s="64"/>
      <c r="G609" s="50"/>
      <c r="H609" s="50"/>
    </row>
    <row r="610" spans="1:8">
      <c r="A610" s="48"/>
      <c r="B610" s="49"/>
      <c r="C610" s="50"/>
      <c r="D610" s="67"/>
      <c r="E610" s="50"/>
      <c r="F610" s="64"/>
      <c r="G610" s="50"/>
      <c r="H610" s="50"/>
    </row>
    <row r="611" spans="1:8">
      <c r="A611" s="48"/>
      <c r="B611" s="49"/>
      <c r="C611" s="50"/>
      <c r="D611" s="67"/>
      <c r="E611" s="50"/>
      <c r="F611" s="64"/>
      <c r="G611" s="50"/>
      <c r="H611" s="50"/>
    </row>
    <row r="612" spans="1:8">
      <c r="A612" s="48"/>
      <c r="B612" s="49"/>
      <c r="C612" s="50"/>
      <c r="D612" s="67"/>
      <c r="E612" s="50"/>
      <c r="F612" s="64"/>
      <c r="G612" s="50"/>
      <c r="H612" s="50"/>
    </row>
    <row r="613" spans="1:8">
      <c r="A613" s="48"/>
      <c r="B613" s="49"/>
      <c r="C613" s="50"/>
      <c r="D613" s="67"/>
      <c r="E613" s="50"/>
      <c r="F613" s="64"/>
      <c r="G613" s="50"/>
      <c r="H613" s="50"/>
    </row>
    <row r="614" spans="1:8">
      <c r="A614" s="48"/>
      <c r="B614" s="49"/>
      <c r="C614" s="50"/>
      <c r="D614" s="67"/>
      <c r="E614" s="50"/>
      <c r="F614" s="64"/>
      <c r="G614" s="50"/>
      <c r="H614" s="50"/>
    </row>
    <row r="615" spans="1:8">
      <c r="A615" s="48"/>
      <c r="B615" s="49"/>
      <c r="C615" s="50"/>
      <c r="D615" s="67"/>
      <c r="E615" s="50"/>
      <c r="F615" s="64"/>
      <c r="G615" s="50"/>
      <c r="H615" s="50"/>
    </row>
    <row r="616" spans="1:8">
      <c r="A616" s="48"/>
      <c r="B616" s="49"/>
      <c r="C616" s="50"/>
      <c r="D616" s="67"/>
      <c r="E616" s="50"/>
      <c r="F616" s="64"/>
      <c r="G616" s="50"/>
      <c r="H616" s="50"/>
    </row>
    <row r="617" spans="1:8">
      <c r="A617" s="48"/>
      <c r="B617" s="49"/>
      <c r="C617" s="50"/>
      <c r="D617" s="67"/>
      <c r="E617" s="50"/>
      <c r="F617" s="64"/>
      <c r="G617" s="50"/>
      <c r="H617" s="50"/>
    </row>
    <row r="618" spans="1:8">
      <c r="A618" s="48"/>
      <c r="B618" s="49"/>
      <c r="C618" s="50"/>
      <c r="D618" s="67"/>
      <c r="E618" s="50"/>
      <c r="F618" s="64"/>
      <c r="G618" s="50"/>
      <c r="H618" s="50"/>
    </row>
    <row r="619" spans="1:8">
      <c r="A619" s="48"/>
      <c r="B619" s="49"/>
      <c r="C619" s="50"/>
      <c r="D619" s="67"/>
      <c r="E619" s="50"/>
      <c r="F619" s="64"/>
      <c r="G619" s="50"/>
      <c r="H619" s="50"/>
    </row>
    <row r="620" spans="1:8">
      <c r="A620" s="48"/>
      <c r="B620" s="49"/>
      <c r="C620" s="50"/>
      <c r="D620" s="67"/>
      <c r="E620" s="50"/>
      <c r="F620" s="64"/>
      <c r="G620" s="50"/>
      <c r="H620" s="50"/>
    </row>
    <row r="621" spans="1:8">
      <c r="A621" s="48"/>
      <c r="B621" s="49"/>
      <c r="C621" s="50"/>
      <c r="D621" s="67"/>
      <c r="E621" s="50"/>
      <c r="F621" s="64"/>
      <c r="G621" s="50"/>
      <c r="H621" s="50"/>
    </row>
    <row r="622" spans="1:8">
      <c r="A622" s="48"/>
      <c r="B622" s="49"/>
      <c r="C622" s="50"/>
      <c r="D622" s="67"/>
      <c r="E622" s="50"/>
      <c r="F622" s="64"/>
      <c r="G622" s="50"/>
      <c r="H622" s="50"/>
    </row>
    <row r="623" spans="1:8">
      <c r="A623" s="48"/>
      <c r="B623" s="49"/>
      <c r="C623" s="50"/>
      <c r="D623" s="67"/>
      <c r="E623" s="50"/>
      <c r="F623" s="64"/>
      <c r="G623" s="50"/>
      <c r="H623" s="50"/>
    </row>
    <row r="624" spans="1:8">
      <c r="A624" s="48"/>
      <c r="B624" s="49"/>
      <c r="C624" s="50"/>
      <c r="D624" s="67"/>
      <c r="E624" s="50"/>
      <c r="F624" s="64"/>
      <c r="G624" s="50"/>
      <c r="H624" s="50"/>
    </row>
    <row r="625" spans="1:8">
      <c r="A625" s="48"/>
      <c r="B625" s="49"/>
      <c r="C625" s="50"/>
      <c r="D625" s="67"/>
      <c r="E625" s="50"/>
      <c r="F625" s="64"/>
      <c r="G625" s="50"/>
      <c r="H625" s="50"/>
    </row>
    <row r="626" spans="1:8">
      <c r="A626" s="48"/>
      <c r="B626" s="49"/>
      <c r="C626" s="50"/>
      <c r="D626" s="67"/>
      <c r="E626" s="50"/>
      <c r="F626" s="64"/>
      <c r="G626" s="50"/>
      <c r="H626" s="50"/>
    </row>
    <row r="627" spans="1:8">
      <c r="A627" s="48"/>
      <c r="B627" s="49"/>
      <c r="C627" s="50"/>
      <c r="D627" s="67"/>
      <c r="E627" s="50"/>
      <c r="F627" s="64"/>
      <c r="G627" s="50"/>
      <c r="H627" s="50"/>
    </row>
    <row r="628" spans="1:8">
      <c r="A628" s="48"/>
      <c r="B628" s="49"/>
      <c r="C628" s="50"/>
      <c r="D628" s="67"/>
      <c r="E628" s="50"/>
      <c r="F628" s="64"/>
      <c r="G628" s="50"/>
      <c r="H628" s="50"/>
    </row>
    <row r="629" spans="1:8">
      <c r="A629" s="48"/>
      <c r="B629" s="49"/>
      <c r="C629" s="50"/>
      <c r="D629" s="67"/>
      <c r="E629" s="50"/>
      <c r="F629" s="64"/>
      <c r="G629" s="50"/>
      <c r="H629" s="50"/>
    </row>
    <row r="630" spans="1:8">
      <c r="A630" s="48"/>
      <c r="B630" s="49"/>
      <c r="C630" s="50"/>
      <c r="D630" s="67"/>
      <c r="E630" s="50"/>
      <c r="F630" s="64"/>
      <c r="G630" s="50"/>
      <c r="H630" s="50"/>
    </row>
    <row r="631" spans="1:8">
      <c r="A631" s="48"/>
      <c r="B631" s="49"/>
      <c r="C631" s="50"/>
      <c r="D631" s="67"/>
      <c r="E631" s="50"/>
      <c r="F631" s="64"/>
      <c r="G631" s="50"/>
      <c r="H631" s="50"/>
    </row>
    <row r="632" spans="1:8">
      <c r="A632" s="48"/>
      <c r="B632" s="49"/>
      <c r="C632" s="50"/>
      <c r="D632" s="67"/>
      <c r="E632" s="50"/>
      <c r="F632" s="64"/>
      <c r="G632" s="50"/>
      <c r="H632" s="50"/>
    </row>
    <row r="633" spans="1:8">
      <c r="A633" s="48"/>
      <c r="B633" s="49"/>
      <c r="C633" s="50"/>
      <c r="D633" s="67"/>
      <c r="E633" s="50"/>
      <c r="F633" s="64"/>
      <c r="G633" s="50"/>
      <c r="H633" s="50"/>
    </row>
    <row r="634" spans="1:8">
      <c r="A634" s="48"/>
      <c r="B634" s="49"/>
      <c r="C634" s="50"/>
      <c r="D634" s="67"/>
      <c r="E634" s="50"/>
      <c r="F634" s="64"/>
      <c r="G634" s="50"/>
      <c r="H634" s="50"/>
    </row>
    <row r="635" spans="1:8">
      <c r="A635" s="48"/>
      <c r="B635" s="49"/>
      <c r="C635" s="50"/>
      <c r="D635" s="67"/>
      <c r="E635" s="50"/>
      <c r="F635" s="64"/>
      <c r="G635" s="50"/>
      <c r="H635" s="50"/>
    </row>
    <row r="636" spans="1:8">
      <c r="A636" s="48"/>
      <c r="B636" s="49"/>
      <c r="C636" s="50"/>
      <c r="D636" s="67"/>
      <c r="E636" s="50"/>
      <c r="F636" s="64"/>
      <c r="G636" s="50"/>
      <c r="H636" s="50"/>
    </row>
    <row r="637" spans="1:8">
      <c r="A637" s="48"/>
      <c r="B637" s="49"/>
      <c r="C637" s="50"/>
      <c r="D637" s="67"/>
      <c r="E637" s="50"/>
      <c r="F637" s="64"/>
      <c r="G637" s="50"/>
      <c r="H637" s="50"/>
    </row>
    <row r="638" spans="1:8">
      <c r="A638" s="48"/>
      <c r="B638" s="49"/>
      <c r="C638" s="50"/>
      <c r="D638" s="67"/>
      <c r="E638" s="50"/>
      <c r="F638" s="64"/>
      <c r="G638" s="50"/>
      <c r="H638" s="50"/>
    </row>
    <row r="639" spans="1:8">
      <c r="A639" s="48"/>
      <c r="B639" s="49"/>
      <c r="C639" s="50"/>
      <c r="D639" s="67"/>
      <c r="E639" s="50"/>
      <c r="F639" s="64"/>
      <c r="G639" s="50"/>
      <c r="H639" s="50"/>
    </row>
    <row r="640" spans="1:8">
      <c r="A640" s="48"/>
      <c r="B640" s="49"/>
      <c r="C640" s="50"/>
      <c r="D640" s="67"/>
      <c r="E640" s="50"/>
      <c r="F640" s="64"/>
      <c r="G640" s="50"/>
      <c r="H640" s="50"/>
    </row>
    <row r="641" spans="1:8">
      <c r="A641" s="48"/>
      <c r="B641" s="49"/>
      <c r="C641" s="50"/>
      <c r="D641" s="67"/>
      <c r="E641" s="50"/>
      <c r="F641" s="64"/>
      <c r="G641" s="50"/>
      <c r="H641" s="50"/>
    </row>
    <row r="642" spans="1:8">
      <c r="A642" s="48"/>
      <c r="B642" s="49"/>
      <c r="C642" s="50"/>
      <c r="D642" s="67"/>
      <c r="E642" s="50"/>
      <c r="F642" s="64"/>
      <c r="G642" s="50"/>
      <c r="H642" s="50"/>
    </row>
    <row r="643" spans="1:8">
      <c r="A643" s="48"/>
      <c r="B643" s="49"/>
      <c r="C643" s="50"/>
      <c r="D643" s="67"/>
      <c r="E643" s="50"/>
      <c r="F643" s="64"/>
      <c r="G643" s="50"/>
      <c r="H643" s="50"/>
    </row>
    <row r="644" spans="1:8">
      <c r="A644" s="48"/>
      <c r="B644" s="49"/>
      <c r="C644" s="50"/>
      <c r="D644" s="67"/>
      <c r="E644" s="50"/>
      <c r="F644" s="64"/>
      <c r="G644" s="50"/>
      <c r="H644" s="50"/>
    </row>
    <row r="645" spans="1:8">
      <c r="A645" s="48"/>
      <c r="B645" s="49"/>
      <c r="C645" s="50"/>
      <c r="D645" s="67"/>
      <c r="E645" s="50"/>
      <c r="F645" s="64"/>
      <c r="G645" s="50"/>
      <c r="H645" s="50"/>
    </row>
    <row r="646" spans="1:8">
      <c r="A646" s="48"/>
      <c r="B646" s="49"/>
      <c r="C646" s="50"/>
      <c r="D646" s="67"/>
      <c r="E646" s="50"/>
      <c r="F646" s="64"/>
      <c r="G646" s="50"/>
      <c r="H646" s="50"/>
    </row>
    <row r="647" spans="1:8">
      <c r="A647" s="48"/>
      <c r="B647" s="49"/>
      <c r="C647" s="50"/>
      <c r="D647" s="67"/>
      <c r="E647" s="50"/>
      <c r="F647" s="64"/>
      <c r="G647" s="50"/>
      <c r="H647" s="50"/>
    </row>
    <row r="648" spans="1:8">
      <c r="A648" s="48"/>
      <c r="B648" s="49"/>
      <c r="C648" s="50"/>
      <c r="D648" s="67"/>
      <c r="E648" s="50"/>
      <c r="F648" s="64"/>
      <c r="G648" s="50"/>
      <c r="H648" s="50"/>
    </row>
    <row r="649" spans="1:8">
      <c r="A649" s="48"/>
      <c r="B649" s="49"/>
      <c r="C649" s="50"/>
      <c r="D649" s="67"/>
      <c r="E649" s="50"/>
      <c r="F649" s="64"/>
      <c r="G649" s="50"/>
      <c r="H649" s="50"/>
    </row>
    <row r="650" spans="1:8">
      <c r="A650" s="48"/>
      <c r="B650" s="49"/>
      <c r="C650" s="50"/>
      <c r="D650" s="67"/>
      <c r="E650" s="50"/>
      <c r="F650" s="64"/>
      <c r="G650" s="50"/>
      <c r="H650" s="50"/>
    </row>
    <row r="651" spans="1:8">
      <c r="A651" s="48"/>
      <c r="B651" s="49"/>
      <c r="C651" s="50"/>
      <c r="D651" s="67"/>
      <c r="E651" s="50"/>
      <c r="F651" s="64"/>
      <c r="G651" s="50"/>
      <c r="H651" s="50"/>
    </row>
    <row r="652" spans="1:8">
      <c r="A652" s="48"/>
      <c r="B652" s="49"/>
      <c r="C652" s="50"/>
      <c r="D652" s="67"/>
      <c r="E652" s="50"/>
      <c r="F652" s="64"/>
      <c r="G652" s="50"/>
      <c r="H652" s="50"/>
    </row>
    <row r="653" spans="1:8">
      <c r="A653" s="48"/>
      <c r="B653" s="49"/>
      <c r="C653" s="50"/>
      <c r="D653" s="67"/>
      <c r="E653" s="50"/>
      <c r="F653" s="64"/>
      <c r="G653" s="50"/>
      <c r="H653" s="50"/>
    </row>
    <row r="654" spans="1:8">
      <c r="A654" s="48"/>
      <c r="B654" s="49"/>
      <c r="C654" s="50"/>
      <c r="D654" s="67"/>
      <c r="E654" s="50"/>
      <c r="F654" s="64"/>
      <c r="G654" s="50"/>
      <c r="H654" s="50"/>
    </row>
    <row r="655" spans="1:8">
      <c r="A655" s="48"/>
      <c r="B655" s="49"/>
      <c r="C655" s="50"/>
      <c r="D655" s="67"/>
      <c r="E655" s="50"/>
      <c r="F655" s="64"/>
      <c r="G655" s="50"/>
      <c r="H655" s="50"/>
    </row>
    <row r="656" spans="1:8">
      <c r="A656" s="48"/>
      <c r="B656" s="49"/>
      <c r="C656" s="50"/>
      <c r="D656" s="67"/>
      <c r="E656" s="50"/>
      <c r="F656" s="64"/>
      <c r="G656" s="50"/>
      <c r="H656" s="50"/>
    </row>
    <row r="657" spans="1:8">
      <c r="A657" s="48"/>
      <c r="B657" s="49"/>
      <c r="C657" s="50"/>
      <c r="D657" s="67"/>
      <c r="E657" s="50"/>
      <c r="F657" s="64"/>
      <c r="G657" s="50"/>
      <c r="H657" s="50"/>
    </row>
    <row r="658" spans="1:8">
      <c r="A658" s="48"/>
      <c r="B658" s="49"/>
      <c r="C658" s="50"/>
      <c r="D658" s="67"/>
      <c r="E658" s="50"/>
      <c r="F658" s="64"/>
      <c r="G658" s="50"/>
      <c r="H658" s="50"/>
    </row>
    <row r="659" spans="1:8">
      <c r="A659" s="48"/>
      <c r="B659" s="49"/>
      <c r="C659" s="50"/>
      <c r="D659" s="67"/>
      <c r="E659" s="50"/>
      <c r="F659" s="64"/>
      <c r="G659" s="50"/>
      <c r="H659" s="50"/>
    </row>
    <row r="660" spans="1:8">
      <c r="A660" s="48"/>
      <c r="B660" s="49"/>
      <c r="C660" s="50"/>
      <c r="D660" s="67"/>
      <c r="E660" s="50"/>
      <c r="F660" s="64"/>
      <c r="G660" s="50"/>
      <c r="H660" s="50"/>
    </row>
    <row r="661" spans="1:8">
      <c r="A661" s="48"/>
      <c r="B661" s="49"/>
      <c r="C661" s="50"/>
      <c r="D661" s="67"/>
      <c r="E661" s="50"/>
      <c r="F661" s="64"/>
      <c r="G661" s="50"/>
      <c r="H661" s="50"/>
    </row>
    <row r="662" spans="1:8">
      <c r="A662" s="48"/>
      <c r="B662" s="49"/>
      <c r="C662" s="50"/>
      <c r="D662" s="67"/>
      <c r="E662" s="50"/>
      <c r="F662" s="64"/>
      <c r="G662" s="50"/>
      <c r="H662" s="50"/>
    </row>
    <row r="663" spans="1:8">
      <c r="A663" s="48"/>
      <c r="B663" s="49"/>
      <c r="C663" s="50"/>
      <c r="D663" s="67"/>
      <c r="E663" s="50"/>
      <c r="F663" s="64"/>
      <c r="G663" s="50"/>
      <c r="H663" s="50"/>
    </row>
    <row r="664" spans="1:8">
      <c r="A664" s="48"/>
      <c r="B664" s="49"/>
      <c r="C664" s="50"/>
      <c r="D664" s="67"/>
      <c r="E664" s="50"/>
      <c r="F664" s="64"/>
      <c r="G664" s="50"/>
      <c r="H664" s="50"/>
    </row>
    <row r="665" spans="1:8">
      <c r="A665" s="48"/>
      <c r="B665" s="49"/>
      <c r="C665" s="50"/>
      <c r="D665" s="67"/>
      <c r="E665" s="50"/>
      <c r="F665" s="64"/>
      <c r="G665" s="50"/>
      <c r="H665" s="50"/>
    </row>
    <row r="666" spans="1:8">
      <c r="A666" s="48"/>
      <c r="B666" s="49"/>
      <c r="C666" s="50"/>
      <c r="D666" s="67"/>
      <c r="E666" s="50"/>
      <c r="F666" s="64"/>
      <c r="G666" s="50"/>
      <c r="H666" s="50"/>
    </row>
    <row r="667" spans="1:8">
      <c r="A667" s="48"/>
      <c r="B667" s="49"/>
      <c r="C667" s="50"/>
      <c r="D667" s="67"/>
      <c r="E667" s="50"/>
      <c r="F667" s="64"/>
      <c r="G667" s="50"/>
      <c r="H667" s="50"/>
    </row>
    <row r="668" spans="1:8">
      <c r="A668" s="48"/>
      <c r="B668" s="49"/>
      <c r="C668" s="50"/>
      <c r="D668" s="67"/>
      <c r="E668" s="50"/>
      <c r="F668" s="64"/>
      <c r="G668" s="50"/>
      <c r="H668" s="50"/>
    </row>
    <row r="669" spans="1:8">
      <c r="A669" s="48"/>
      <c r="B669" s="49"/>
      <c r="C669" s="50"/>
      <c r="D669" s="67"/>
      <c r="E669" s="50"/>
      <c r="F669" s="64"/>
      <c r="G669" s="50"/>
      <c r="H669" s="50"/>
    </row>
    <row r="670" spans="1:8">
      <c r="A670" s="48"/>
      <c r="B670" s="49"/>
      <c r="C670" s="50"/>
      <c r="D670" s="67"/>
      <c r="E670" s="50"/>
      <c r="F670" s="64"/>
      <c r="G670" s="50"/>
      <c r="H670" s="50"/>
    </row>
    <row r="671" spans="1:8">
      <c r="A671" s="48"/>
      <c r="B671" s="49"/>
      <c r="C671" s="50"/>
      <c r="D671" s="67"/>
      <c r="E671" s="50"/>
      <c r="F671" s="64"/>
      <c r="G671" s="50"/>
      <c r="H671" s="50"/>
    </row>
    <row r="672" spans="1:8">
      <c r="A672" s="48"/>
      <c r="B672" s="49"/>
      <c r="C672" s="50"/>
      <c r="D672" s="67"/>
      <c r="E672" s="50"/>
      <c r="F672" s="64"/>
      <c r="G672" s="50"/>
      <c r="H672" s="50"/>
    </row>
    <row r="673" spans="1:8">
      <c r="A673" s="48"/>
      <c r="B673" s="49"/>
      <c r="C673" s="50"/>
      <c r="D673" s="67"/>
      <c r="E673" s="50"/>
      <c r="F673" s="64"/>
      <c r="G673" s="50"/>
      <c r="H673" s="50"/>
    </row>
    <row r="674" spans="1:8">
      <c r="A674" s="48"/>
      <c r="B674" s="49"/>
      <c r="C674" s="50"/>
      <c r="D674" s="67"/>
      <c r="E674" s="50"/>
      <c r="F674" s="64"/>
      <c r="G674" s="50"/>
      <c r="H674" s="50"/>
    </row>
    <row r="675" spans="1:8">
      <c r="A675" s="48"/>
      <c r="B675" s="49"/>
      <c r="C675" s="50"/>
      <c r="D675" s="67"/>
      <c r="E675" s="50"/>
      <c r="F675" s="64"/>
      <c r="G675" s="50"/>
      <c r="H675" s="50"/>
    </row>
    <row r="676" spans="1:8">
      <c r="A676" s="48"/>
      <c r="B676" s="49"/>
      <c r="C676" s="50"/>
      <c r="D676" s="67"/>
      <c r="E676" s="50"/>
      <c r="F676" s="64"/>
      <c r="G676" s="50"/>
      <c r="H676" s="50"/>
    </row>
    <row r="677" spans="1:8">
      <c r="A677" s="48"/>
      <c r="B677" s="49"/>
      <c r="C677" s="50"/>
      <c r="D677" s="67"/>
      <c r="E677" s="50"/>
      <c r="F677" s="64"/>
      <c r="G677" s="50"/>
      <c r="H677" s="50"/>
    </row>
    <row r="678" spans="1:8">
      <c r="A678" s="48"/>
      <c r="B678" s="49"/>
      <c r="C678" s="50"/>
      <c r="D678" s="67"/>
      <c r="E678" s="50"/>
      <c r="F678" s="64"/>
      <c r="G678" s="50"/>
      <c r="H678" s="50"/>
    </row>
    <row r="679" spans="1:8">
      <c r="A679" s="48"/>
      <c r="B679" s="49"/>
      <c r="C679" s="50"/>
      <c r="D679" s="67"/>
      <c r="E679" s="50"/>
      <c r="F679" s="64"/>
      <c r="G679" s="50"/>
      <c r="H679" s="50"/>
    </row>
    <row r="680" spans="1:8">
      <c r="A680" s="48"/>
      <c r="B680" s="49"/>
      <c r="C680" s="50"/>
      <c r="D680" s="67"/>
      <c r="E680" s="50"/>
      <c r="F680" s="64"/>
      <c r="G680" s="50"/>
      <c r="H680" s="50"/>
    </row>
    <row r="681" spans="1:8">
      <c r="A681" s="48"/>
      <c r="B681" s="49"/>
      <c r="C681" s="50"/>
      <c r="D681" s="67"/>
      <c r="E681" s="50"/>
      <c r="F681" s="64"/>
      <c r="G681" s="50"/>
      <c r="H681" s="50"/>
    </row>
    <row r="682" spans="1:8">
      <c r="A682" s="48"/>
      <c r="B682" s="49"/>
      <c r="C682" s="50"/>
      <c r="D682" s="67"/>
      <c r="E682" s="50"/>
      <c r="F682" s="64"/>
      <c r="G682" s="50"/>
      <c r="H682" s="50"/>
    </row>
    <row r="683" spans="1:8">
      <c r="A683" s="48"/>
      <c r="B683" s="49"/>
      <c r="C683" s="50"/>
      <c r="D683" s="67"/>
      <c r="E683" s="50"/>
      <c r="F683" s="64"/>
      <c r="G683" s="50"/>
      <c r="H683" s="50"/>
    </row>
    <row r="684" spans="1:8">
      <c r="A684" s="48"/>
      <c r="B684" s="49"/>
      <c r="C684" s="50"/>
      <c r="D684" s="67"/>
      <c r="E684" s="50"/>
      <c r="F684" s="64"/>
      <c r="G684" s="50"/>
      <c r="H684" s="50"/>
    </row>
    <row r="685" spans="1:8">
      <c r="A685" s="48"/>
      <c r="B685" s="49"/>
      <c r="C685" s="50"/>
      <c r="D685" s="67"/>
      <c r="E685" s="50"/>
      <c r="F685" s="64"/>
      <c r="G685" s="50"/>
      <c r="H685" s="50"/>
    </row>
    <row r="686" spans="1:8">
      <c r="A686" s="48"/>
      <c r="B686" s="49"/>
      <c r="C686" s="50"/>
      <c r="D686" s="67"/>
      <c r="E686" s="50"/>
      <c r="F686" s="64"/>
      <c r="G686" s="50"/>
      <c r="H686" s="50"/>
    </row>
    <row r="687" spans="1:8">
      <c r="A687" s="48"/>
      <c r="B687" s="49"/>
      <c r="C687" s="50"/>
      <c r="D687" s="67"/>
      <c r="E687" s="50"/>
      <c r="F687" s="64"/>
      <c r="G687" s="50"/>
      <c r="H687" s="50"/>
    </row>
    <row r="688" spans="1:8">
      <c r="A688" s="48"/>
      <c r="B688" s="49"/>
      <c r="C688" s="50"/>
      <c r="D688" s="67"/>
      <c r="E688" s="50"/>
      <c r="F688" s="64"/>
      <c r="G688" s="50"/>
      <c r="H688" s="50"/>
    </row>
    <row r="689" spans="1:8">
      <c r="A689" s="48"/>
      <c r="B689" s="49"/>
      <c r="C689" s="50"/>
      <c r="D689" s="67"/>
      <c r="E689" s="50"/>
      <c r="F689" s="64"/>
      <c r="G689" s="50"/>
      <c r="H689" s="50"/>
    </row>
    <row r="690" spans="1:8">
      <c r="A690" s="48"/>
      <c r="B690" s="49"/>
      <c r="C690" s="50"/>
      <c r="D690" s="67"/>
      <c r="E690" s="50"/>
      <c r="F690" s="64"/>
      <c r="G690" s="50"/>
      <c r="H690" s="50"/>
    </row>
    <row r="691" spans="1:8">
      <c r="A691" s="48"/>
      <c r="B691" s="49"/>
      <c r="C691" s="50"/>
      <c r="D691" s="67"/>
      <c r="E691" s="50"/>
      <c r="F691" s="64"/>
      <c r="G691" s="50"/>
      <c r="H691" s="50"/>
    </row>
    <row r="692" spans="1:8">
      <c r="A692" s="48"/>
      <c r="B692" s="49"/>
      <c r="C692" s="50"/>
      <c r="D692" s="67"/>
      <c r="E692" s="50"/>
      <c r="F692" s="64"/>
      <c r="G692" s="50"/>
      <c r="H692" s="50"/>
    </row>
    <row r="693" spans="1:8">
      <c r="A693" s="48"/>
      <c r="B693" s="49"/>
      <c r="C693" s="50"/>
      <c r="D693" s="67"/>
      <c r="E693" s="50"/>
      <c r="F693" s="64"/>
      <c r="G693" s="50"/>
      <c r="H693" s="50"/>
    </row>
    <row r="694" spans="1:8">
      <c r="A694" s="48"/>
      <c r="B694" s="49"/>
      <c r="C694" s="50"/>
      <c r="D694" s="67"/>
      <c r="E694" s="50"/>
      <c r="F694" s="64"/>
      <c r="G694" s="50"/>
      <c r="H694" s="50"/>
    </row>
    <row r="695" spans="1:8">
      <c r="A695" s="48"/>
      <c r="B695" s="49"/>
      <c r="C695" s="50"/>
      <c r="D695" s="67"/>
      <c r="E695" s="50"/>
      <c r="F695" s="64"/>
      <c r="G695" s="50"/>
      <c r="H695" s="50"/>
    </row>
    <row r="696" spans="1:8">
      <c r="A696" s="48"/>
      <c r="B696" s="49"/>
      <c r="C696" s="50"/>
      <c r="D696" s="67"/>
      <c r="E696" s="50"/>
      <c r="F696" s="64"/>
      <c r="G696" s="50"/>
      <c r="H696" s="50"/>
    </row>
    <row r="697" spans="1:8">
      <c r="A697" s="48"/>
      <c r="B697" s="49"/>
      <c r="C697" s="50"/>
      <c r="D697" s="67"/>
      <c r="E697" s="50"/>
      <c r="F697" s="64"/>
      <c r="G697" s="50"/>
      <c r="H697" s="50"/>
    </row>
    <row r="698" spans="1:8">
      <c r="A698" s="48"/>
      <c r="B698" s="49"/>
      <c r="C698" s="50"/>
      <c r="D698" s="67"/>
      <c r="E698" s="50"/>
      <c r="F698" s="64"/>
      <c r="G698" s="50"/>
      <c r="H698" s="50"/>
    </row>
    <row r="699" spans="1:8">
      <c r="A699" s="48"/>
      <c r="B699" s="49"/>
      <c r="C699" s="50"/>
      <c r="D699" s="67"/>
      <c r="E699" s="50"/>
      <c r="F699" s="64"/>
      <c r="G699" s="50"/>
      <c r="H699" s="50"/>
    </row>
    <row r="700" spans="1:8">
      <c r="A700" s="48"/>
      <c r="B700" s="49"/>
      <c r="C700" s="50"/>
      <c r="D700" s="67"/>
      <c r="E700" s="50"/>
      <c r="F700" s="64"/>
      <c r="G700" s="50"/>
      <c r="H700" s="50"/>
    </row>
    <row r="701" spans="1:8">
      <c r="A701" s="48"/>
      <c r="B701" s="49"/>
      <c r="C701" s="50"/>
      <c r="D701" s="67"/>
      <c r="E701" s="50"/>
      <c r="F701" s="64"/>
      <c r="G701" s="50"/>
      <c r="H701" s="50"/>
    </row>
    <row r="702" spans="1:8">
      <c r="A702" s="48"/>
      <c r="B702" s="49"/>
      <c r="C702" s="50"/>
      <c r="D702" s="67"/>
      <c r="E702" s="50"/>
      <c r="F702" s="64"/>
      <c r="G702" s="50"/>
      <c r="H702" s="50"/>
    </row>
    <row r="703" spans="1:8">
      <c r="A703" s="48"/>
      <c r="B703" s="49"/>
      <c r="C703" s="50"/>
      <c r="D703" s="67"/>
      <c r="E703" s="50"/>
      <c r="F703" s="64"/>
      <c r="G703" s="50"/>
      <c r="H703" s="50"/>
    </row>
    <row r="704" spans="1:8">
      <c r="A704" s="48"/>
      <c r="B704" s="49"/>
      <c r="C704" s="50"/>
      <c r="D704" s="67"/>
      <c r="E704" s="50"/>
      <c r="F704" s="64"/>
      <c r="G704" s="50"/>
      <c r="H704" s="50"/>
    </row>
    <row r="705" spans="1:8">
      <c r="A705" s="48"/>
      <c r="B705" s="49"/>
      <c r="C705" s="50"/>
      <c r="D705" s="67"/>
      <c r="E705" s="50"/>
      <c r="F705" s="64"/>
      <c r="G705" s="50"/>
      <c r="H705" s="50"/>
    </row>
    <row r="706" spans="1:8">
      <c r="A706" s="48"/>
      <c r="B706" s="49"/>
      <c r="C706" s="50"/>
      <c r="D706" s="67"/>
      <c r="E706" s="50"/>
      <c r="F706" s="64"/>
      <c r="G706" s="50"/>
      <c r="H706" s="50"/>
    </row>
    <row r="707" spans="1:8">
      <c r="A707" s="48"/>
      <c r="B707" s="49"/>
      <c r="C707" s="50"/>
      <c r="D707" s="67"/>
      <c r="E707" s="50"/>
      <c r="F707" s="64"/>
      <c r="G707" s="50"/>
      <c r="H707" s="50"/>
    </row>
    <row r="708" spans="1:8">
      <c r="A708" s="48"/>
      <c r="B708" s="49"/>
      <c r="C708" s="50"/>
      <c r="D708" s="67"/>
      <c r="E708" s="50"/>
      <c r="F708" s="64"/>
      <c r="G708" s="50"/>
      <c r="H708" s="50"/>
    </row>
    <row r="709" spans="1:8">
      <c r="A709" s="48"/>
      <c r="B709" s="49"/>
      <c r="C709" s="50"/>
      <c r="D709" s="67"/>
      <c r="E709" s="50"/>
      <c r="F709" s="64"/>
      <c r="G709" s="50"/>
      <c r="H709" s="50"/>
    </row>
    <row r="710" spans="1:8">
      <c r="A710" s="48"/>
      <c r="B710" s="49"/>
      <c r="C710" s="50"/>
      <c r="D710" s="67"/>
      <c r="E710" s="50"/>
      <c r="F710" s="64"/>
      <c r="G710" s="50"/>
      <c r="H710" s="50"/>
    </row>
    <row r="711" spans="1:8">
      <c r="A711" s="48"/>
      <c r="B711" s="49"/>
      <c r="C711" s="50"/>
      <c r="D711" s="67"/>
      <c r="E711" s="50"/>
      <c r="F711" s="64"/>
      <c r="G711" s="50"/>
      <c r="H711" s="50"/>
    </row>
    <row r="712" spans="1:8">
      <c r="A712" s="48"/>
      <c r="B712" s="49"/>
      <c r="C712" s="50"/>
      <c r="D712" s="67"/>
      <c r="E712" s="50"/>
      <c r="F712" s="64"/>
      <c r="G712" s="50"/>
      <c r="H712" s="50"/>
    </row>
    <row r="713" spans="1:8">
      <c r="A713" s="48"/>
      <c r="B713" s="49"/>
      <c r="C713" s="50"/>
      <c r="D713" s="67"/>
      <c r="E713" s="50"/>
      <c r="F713" s="64"/>
      <c r="G713" s="50"/>
      <c r="H713" s="50"/>
    </row>
    <row r="714" spans="1:8">
      <c r="A714" s="48"/>
      <c r="B714" s="49"/>
      <c r="C714" s="50"/>
      <c r="D714" s="67"/>
      <c r="E714" s="50"/>
      <c r="F714" s="64"/>
      <c r="G714" s="50"/>
      <c r="H714" s="50"/>
    </row>
    <row r="715" spans="1:8">
      <c r="A715" s="48"/>
      <c r="B715" s="49"/>
      <c r="C715" s="50"/>
      <c r="D715" s="67"/>
      <c r="E715" s="50"/>
      <c r="F715" s="64"/>
      <c r="G715" s="50"/>
      <c r="H715" s="50"/>
    </row>
    <row r="716" spans="1:8">
      <c r="A716" s="48"/>
      <c r="B716" s="49"/>
      <c r="C716" s="50"/>
      <c r="D716" s="67"/>
      <c r="E716" s="50"/>
      <c r="F716" s="64"/>
      <c r="G716" s="50"/>
      <c r="H716" s="50"/>
    </row>
    <row r="717" spans="1:8">
      <c r="A717" s="48"/>
      <c r="B717" s="49"/>
      <c r="C717" s="50"/>
      <c r="D717" s="67"/>
      <c r="E717" s="50"/>
      <c r="F717" s="64"/>
      <c r="G717" s="50"/>
      <c r="H717" s="50"/>
    </row>
    <row r="718" spans="1:8">
      <c r="A718" s="48"/>
      <c r="B718" s="49"/>
      <c r="C718" s="50"/>
      <c r="D718" s="67"/>
      <c r="E718" s="50"/>
      <c r="F718" s="64"/>
      <c r="G718" s="50"/>
      <c r="H718" s="50"/>
    </row>
    <row r="719" spans="1:8">
      <c r="A719" s="48"/>
      <c r="B719" s="49"/>
      <c r="C719" s="50"/>
      <c r="D719" s="67"/>
      <c r="E719" s="50"/>
      <c r="F719" s="64"/>
      <c r="G719" s="50"/>
      <c r="H719" s="50"/>
    </row>
    <row r="720" spans="1:8">
      <c r="A720" s="48"/>
      <c r="B720" s="49"/>
      <c r="C720" s="50"/>
      <c r="D720" s="67"/>
      <c r="E720" s="50"/>
      <c r="F720" s="64"/>
      <c r="G720" s="50"/>
      <c r="H720" s="50"/>
    </row>
    <row r="721" spans="1:8">
      <c r="A721" s="48"/>
      <c r="B721" s="49"/>
      <c r="C721" s="50"/>
      <c r="D721" s="67"/>
      <c r="E721" s="50"/>
      <c r="F721" s="64"/>
      <c r="G721" s="50"/>
      <c r="H721" s="50"/>
    </row>
    <row r="722" spans="1:8">
      <c r="A722" s="48"/>
      <c r="B722" s="49"/>
      <c r="C722" s="50"/>
      <c r="D722" s="67"/>
      <c r="E722" s="50"/>
      <c r="F722" s="64"/>
      <c r="G722" s="50"/>
      <c r="H722" s="50"/>
    </row>
    <row r="723" spans="1:8">
      <c r="A723" s="48"/>
      <c r="B723" s="49"/>
      <c r="C723" s="50"/>
      <c r="D723" s="67"/>
      <c r="E723" s="50"/>
      <c r="F723" s="64"/>
      <c r="G723" s="50"/>
      <c r="H723" s="50"/>
    </row>
    <row r="724" spans="1:8">
      <c r="A724" s="48"/>
      <c r="B724" s="49"/>
      <c r="C724" s="50"/>
      <c r="D724" s="67"/>
      <c r="E724" s="50"/>
      <c r="F724" s="64"/>
      <c r="G724" s="50"/>
      <c r="H724" s="50"/>
    </row>
    <row r="725" spans="1:8">
      <c r="A725" s="48"/>
      <c r="B725" s="49"/>
      <c r="C725" s="50"/>
      <c r="D725" s="67"/>
      <c r="E725" s="50"/>
      <c r="F725" s="64"/>
      <c r="G725" s="50"/>
      <c r="H725" s="50"/>
    </row>
    <row r="726" spans="1:8">
      <c r="A726" s="48"/>
      <c r="B726" s="49"/>
      <c r="C726" s="50"/>
      <c r="D726" s="67"/>
      <c r="E726" s="50"/>
      <c r="F726" s="64"/>
      <c r="G726" s="50"/>
      <c r="H726" s="50"/>
    </row>
    <row r="727" spans="1:8">
      <c r="A727" s="48"/>
      <c r="B727" s="49"/>
      <c r="C727" s="50"/>
      <c r="D727" s="67"/>
      <c r="E727" s="50"/>
      <c r="F727" s="64"/>
      <c r="G727" s="50"/>
      <c r="H727" s="50"/>
    </row>
    <row r="728" spans="1:8">
      <c r="A728" s="48"/>
      <c r="B728" s="49"/>
      <c r="C728" s="50"/>
      <c r="D728" s="67"/>
      <c r="E728" s="50"/>
      <c r="F728" s="64"/>
      <c r="G728" s="50"/>
      <c r="H728" s="50"/>
    </row>
    <row r="729" spans="1:8">
      <c r="A729" s="48"/>
      <c r="B729" s="49"/>
      <c r="C729" s="50"/>
      <c r="D729" s="67"/>
      <c r="E729" s="50"/>
      <c r="F729" s="64"/>
      <c r="G729" s="50"/>
      <c r="H729" s="50"/>
    </row>
    <row r="730" spans="1:8">
      <c r="A730" s="48"/>
      <c r="B730" s="49"/>
      <c r="C730" s="50"/>
      <c r="D730" s="67"/>
      <c r="E730" s="50"/>
      <c r="F730" s="64"/>
      <c r="G730" s="50"/>
      <c r="H730" s="50"/>
    </row>
    <row r="731" spans="1:8">
      <c r="A731" s="48"/>
      <c r="B731" s="49"/>
      <c r="C731" s="50"/>
      <c r="D731" s="67"/>
      <c r="E731" s="50"/>
      <c r="F731" s="64"/>
      <c r="G731" s="50"/>
      <c r="H731" s="50"/>
    </row>
    <row r="732" spans="1:8">
      <c r="A732" s="48"/>
      <c r="B732" s="49"/>
      <c r="C732" s="50"/>
      <c r="D732" s="67"/>
      <c r="E732" s="50"/>
      <c r="F732" s="64"/>
      <c r="G732" s="50"/>
      <c r="H732" s="50"/>
    </row>
    <row r="733" spans="1:8">
      <c r="A733" s="48"/>
      <c r="B733" s="49"/>
      <c r="C733" s="50"/>
      <c r="D733" s="67"/>
      <c r="E733" s="50"/>
      <c r="F733" s="64"/>
      <c r="G733" s="50"/>
      <c r="H733" s="50"/>
    </row>
    <row r="734" spans="1:8">
      <c r="A734" s="48"/>
      <c r="B734" s="49"/>
      <c r="C734" s="50"/>
      <c r="D734" s="67"/>
      <c r="E734" s="50"/>
      <c r="F734" s="64"/>
      <c r="G734" s="50"/>
      <c r="H734" s="50"/>
    </row>
    <row r="735" spans="1:8">
      <c r="A735" s="48"/>
      <c r="B735" s="49"/>
      <c r="C735" s="50"/>
      <c r="D735" s="67"/>
      <c r="E735" s="50"/>
      <c r="F735" s="64"/>
      <c r="G735" s="50"/>
      <c r="H735" s="50"/>
    </row>
    <row r="736" spans="1:8">
      <c r="A736" s="48"/>
      <c r="B736" s="49"/>
      <c r="C736" s="50"/>
      <c r="D736" s="67"/>
      <c r="E736" s="50"/>
      <c r="F736" s="64"/>
      <c r="G736" s="50"/>
      <c r="H736" s="50"/>
    </row>
    <row r="737" spans="1:8">
      <c r="A737" s="48"/>
      <c r="B737" s="49"/>
      <c r="C737" s="50"/>
      <c r="D737" s="67"/>
      <c r="E737" s="50"/>
      <c r="F737" s="64"/>
      <c r="G737" s="50"/>
      <c r="H737" s="50"/>
    </row>
    <row r="738" spans="1:8">
      <c r="A738" s="48"/>
      <c r="B738" s="49"/>
      <c r="C738" s="50"/>
      <c r="D738" s="67"/>
      <c r="E738" s="50"/>
      <c r="F738" s="64"/>
      <c r="G738" s="50"/>
      <c r="H738" s="50"/>
    </row>
    <row r="739" spans="1:8">
      <c r="A739" s="48"/>
      <c r="B739" s="49"/>
      <c r="C739" s="50"/>
      <c r="D739" s="67"/>
      <c r="E739" s="50"/>
      <c r="F739" s="64"/>
      <c r="G739" s="50"/>
      <c r="H739" s="50"/>
    </row>
    <row r="740" spans="1:8">
      <c r="A740" s="48"/>
      <c r="B740" s="49"/>
      <c r="C740" s="50"/>
      <c r="D740" s="67"/>
      <c r="E740" s="50"/>
      <c r="F740" s="64"/>
      <c r="G740" s="50"/>
      <c r="H740" s="50"/>
    </row>
    <row r="741" spans="1:8">
      <c r="A741" s="48"/>
      <c r="B741" s="49"/>
      <c r="C741" s="50"/>
      <c r="D741" s="67"/>
      <c r="E741" s="50"/>
      <c r="F741" s="64"/>
      <c r="G741" s="50"/>
      <c r="H741" s="50"/>
    </row>
    <row r="742" spans="1:8">
      <c r="A742" s="48"/>
      <c r="B742" s="49"/>
      <c r="C742" s="50"/>
      <c r="D742" s="67"/>
      <c r="E742" s="50"/>
      <c r="F742" s="64"/>
      <c r="G742" s="50"/>
      <c r="H742" s="50"/>
    </row>
    <row r="743" spans="1:8">
      <c r="A743" s="48"/>
      <c r="B743" s="49"/>
      <c r="C743" s="50"/>
      <c r="D743" s="67"/>
      <c r="E743" s="50"/>
      <c r="F743" s="64"/>
      <c r="G743" s="50"/>
      <c r="H743" s="50"/>
    </row>
    <row r="744" spans="1:8">
      <c r="A744" s="48"/>
      <c r="B744" s="49"/>
      <c r="C744" s="50"/>
      <c r="D744" s="67"/>
      <c r="E744" s="50"/>
      <c r="F744" s="64"/>
      <c r="G744" s="50"/>
      <c r="H744" s="50"/>
    </row>
    <row r="745" spans="1:8">
      <c r="A745" s="48"/>
      <c r="B745" s="49"/>
      <c r="C745" s="50"/>
      <c r="D745" s="67"/>
      <c r="E745" s="50"/>
      <c r="F745" s="64"/>
      <c r="G745" s="50"/>
      <c r="H745" s="50"/>
    </row>
    <row r="746" spans="1:8">
      <c r="A746" s="48"/>
      <c r="B746" s="49"/>
      <c r="C746" s="50"/>
      <c r="D746" s="67"/>
      <c r="E746" s="50"/>
      <c r="F746" s="64"/>
      <c r="G746" s="50"/>
      <c r="H746" s="50"/>
    </row>
    <row r="747" spans="1:8">
      <c r="A747" s="48"/>
      <c r="B747" s="49"/>
      <c r="C747" s="50"/>
      <c r="D747" s="67"/>
      <c r="E747" s="50"/>
      <c r="F747" s="64"/>
      <c r="G747" s="50"/>
      <c r="H747" s="50"/>
    </row>
    <row r="748" spans="1:8">
      <c r="A748" s="48"/>
      <c r="B748" s="49"/>
      <c r="C748" s="50"/>
      <c r="D748" s="67"/>
      <c r="E748" s="50"/>
      <c r="F748" s="64"/>
      <c r="G748" s="50"/>
      <c r="H748" s="50"/>
    </row>
    <row r="749" spans="1:8">
      <c r="A749" s="48"/>
      <c r="B749" s="49"/>
      <c r="C749" s="50"/>
      <c r="D749" s="67"/>
      <c r="E749" s="50"/>
      <c r="F749" s="64"/>
      <c r="G749" s="50"/>
      <c r="H749" s="50"/>
    </row>
    <row r="750" spans="1:8">
      <c r="A750" s="48"/>
      <c r="B750" s="49"/>
      <c r="C750" s="50"/>
      <c r="D750" s="67"/>
      <c r="E750" s="50"/>
      <c r="F750" s="64"/>
      <c r="G750" s="50"/>
      <c r="H750" s="50"/>
    </row>
    <row r="751" spans="1:8">
      <c r="A751" s="48"/>
      <c r="B751" s="49"/>
      <c r="C751" s="50"/>
      <c r="D751" s="67"/>
      <c r="E751" s="50"/>
      <c r="F751" s="64"/>
      <c r="G751" s="50"/>
      <c r="H751" s="50"/>
    </row>
    <row r="752" spans="1:8">
      <c r="A752" s="48"/>
      <c r="B752" s="49"/>
      <c r="C752" s="50"/>
      <c r="D752" s="67"/>
      <c r="E752" s="50"/>
      <c r="F752" s="64"/>
      <c r="G752" s="50"/>
      <c r="H752" s="50"/>
    </row>
    <row r="753" spans="1:8">
      <c r="A753" s="48"/>
      <c r="B753" s="49"/>
      <c r="C753" s="50"/>
      <c r="D753" s="67"/>
      <c r="E753" s="50"/>
      <c r="F753" s="64"/>
      <c r="G753" s="50"/>
      <c r="H753" s="50"/>
    </row>
    <row r="754" spans="1:8">
      <c r="A754" s="48"/>
      <c r="B754" s="49"/>
      <c r="C754" s="50"/>
      <c r="D754" s="67"/>
      <c r="E754" s="50"/>
      <c r="F754" s="64"/>
      <c r="G754" s="50"/>
      <c r="H754" s="50"/>
    </row>
    <row r="755" spans="1:8">
      <c r="A755" s="48"/>
      <c r="B755" s="49"/>
      <c r="C755" s="50"/>
      <c r="D755" s="67"/>
      <c r="E755" s="50"/>
      <c r="F755" s="64"/>
      <c r="G755" s="50"/>
      <c r="H755" s="50"/>
    </row>
    <row r="756" spans="1:8">
      <c r="A756" s="48"/>
      <c r="B756" s="49"/>
      <c r="C756" s="50"/>
      <c r="D756" s="67"/>
      <c r="E756" s="50"/>
      <c r="F756" s="64"/>
      <c r="G756" s="50"/>
      <c r="H756" s="50"/>
    </row>
    <row r="757" spans="1:8">
      <c r="A757" s="48"/>
      <c r="B757" s="49"/>
      <c r="C757" s="50"/>
      <c r="D757" s="67"/>
      <c r="E757" s="50"/>
      <c r="F757" s="64"/>
      <c r="G757" s="50"/>
      <c r="H757" s="50"/>
    </row>
    <row r="758" spans="1:8">
      <c r="A758" s="48"/>
      <c r="B758" s="49"/>
      <c r="C758" s="50"/>
      <c r="D758" s="67"/>
      <c r="E758" s="50"/>
      <c r="F758" s="64"/>
      <c r="G758" s="50"/>
      <c r="H758" s="50"/>
    </row>
    <row r="759" spans="1:8">
      <c r="A759" s="48"/>
      <c r="B759" s="49"/>
      <c r="C759" s="50"/>
      <c r="D759" s="67"/>
      <c r="E759" s="50"/>
      <c r="F759" s="64"/>
      <c r="G759" s="50"/>
      <c r="H759" s="50"/>
    </row>
    <row r="760" spans="1:8">
      <c r="A760" s="48"/>
      <c r="B760" s="49"/>
      <c r="C760" s="50"/>
      <c r="D760" s="67"/>
      <c r="E760" s="50"/>
      <c r="F760" s="64"/>
      <c r="G760" s="50"/>
      <c r="H760" s="50"/>
    </row>
    <row r="761" spans="1:8">
      <c r="A761" s="48"/>
      <c r="B761" s="49"/>
      <c r="C761" s="50"/>
      <c r="D761" s="67"/>
      <c r="E761" s="50"/>
      <c r="F761" s="64"/>
      <c r="G761" s="50"/>
      <c r="H761" s="50"/>
    </row>
    <row r="762" spans="1:8">
      <c r="A762" s="48"/>
      <c r="B762" s="49"/>
      <c r="C762" s="50"/>
      <c r="D762" s="67"/>
      <c r="E762" s="50"/>
      <c r="F762" s="64"/>
      <c r="G762" s="50"/>
      <c r="H762" s="50"/>
    </row>
    <row r="763" spans="1:8">
      <c r="A763" s="48"/>
      <c r="B763" s="49"/>
      <c r="C763" s="50"/>
      <c r="D763" s="67"/>
      <c r="E763" s="50"/>
      <c r="F763" s="64"/>
      <c r="G763" s="50"/>
      <c r="H763" s="50"/>
    </row>
    <row r="764" spans="1:8">
      <c r="A764" s="48"/>
      <c r="B764" s="49"/>
      <c r="C764" s="50"/>
      <c r="D764" s="67"/>
      <c r="E764" s="50"/>
      <c r="F764" s="64"/>
      <c r="G764" s="50"/>
      <c r="H764" s="50"/>
    </row>
    <row r="765" spans="1:8">
      <c r="A765" s="48"/>
      <c r="B765" s="49"/>
      <c r="C765" s="50"/>
      <c r="D765" s="67"/>
      <c r="E765" s="50"/>
      <c r="F765" s="64"/>
      <c r="G765" s="50"/>
      <c r="H765" s="50"/>
    </row>
    <row r="766" spans="1:8">
      <c r="A766" s="48"/>
      <c r="B766" s="49"/>
      <c r="C766" s="50"/>
      <c r="D766" s="67"/>
      <c r="E766" s="50"/>
      <c r="F766" s="64"/>
      <c r="G766" s="50"/>
      <c r="H766" s="50"/>
    </row>
    <row r="767" spans="1:8">
      <c r="A767" s="48"/>
      <c r="B767" s="49"/>
      <c r="C767" s="50"/>
      <c r="D767" s="67"/>
      <c r="E767" s="50"/>
      <c r="F767" s="64"/>
      <c r="G767" s="50"/>
      <c r="H767" s="50"/>
    </row>
    <row r="768" spans="1:8">
      <c r="A768" s="48"/>
      <c r="B768" s="49"/>
      <c r="C768" s="50"/>
      <c r="D768" s="67"/>
      <c r="E768" s="50"/>
      <c r="F768" s="64"/>
      <c r="G768" s="50"/>
      <c r="H768" s="50"/>
    </row>
    <row r="769" spans="1:8">
      <c r="A769" s="48"/>
      <c r="B769" s="49"/>
      <c r="C769" s="50"/>
      <c r="D769" s="67"/>
      <c r="E769" s="50"/>
      <c r="F769" s="64"/>
      <c r="G769" s="50"/>
      <c r="H769" s="50"/>
    </row>
    <row r="770" spans="1:8">
      <c r="A770" s="48"/>
      <c r="B770" s="49"/>
      <c r="C770" s="50"/>
      <c r="D770" s="67"/>
      <c r="E770" s="50"/>
      <c r="F770" s="64"/>
      <c r="G770" s="50"/>
      <c r="H770" s="50"/>
    </row>
    <row r="771" spans="1:8">
      <c r="A771" s="48"/>
      <c r="B771" s="49"/>
      <c r="C771" s="50"/>
      <c r="D771" s="67"/>
      <c r="E771" s="50"/>
      <c r="F771" s="64"/>
      <c r="G771" s="50"/>
      <c r="H771" s="50"/>
    </row>
    <row r="772" spans="1:8">
      <c r="A772" s="48"/>
      <c r="B772" s="49"/>
      <c r="C772" s="50"/>
      <c r="D772" s="67"/>
      <c r="E772" s="50"/>
      <c r="F772" s="64"/>
      <c r="G772" s="50"/>
      <c r="H772" s="50"/>
    </row>
    <row r="773" spans="1:8">
      <c r="A773" s="48"/>
      <c r="B773" s="49"/>
      <c r="C773" s="50"/>
      <c r="D773" s="67"/>
      <c r="E773" s="50"/>
      <c r="F773" s="64"/>
      <c r="G773" s="50"/>
      <c r="H773" s="50"/>
    </row>
    <row r="774" spans="1:8">
      <c r="A774" s="48"/>
      <c r="B774" s="49"/>
      <c r="C774" s="50"/>
      <c r="D774" s="67"/>
      <c r="E774" s="50"/>
      <c r="F774" s="64"/>
      <c r="G774" s="50"/>
      <c r="H774" s="50"/>
    </row>
    <row r="775" spans="1:8">
      <c r="A775" s="48"/>
      <c r="B775" s="49"/>
      <c r="C775" s="50"/>
      <c r="D775" s="67"/>
      <c r="E775" s="50"/>
      <c r="F775" s="64"/>
      <c r="G775" s="50"/>
      <c r="H775" s="50"/>
    </row>
    <row r="776" spans="1:8">
      <c r="A776" s="48"/>
      <c r="B776" s="49"/>
      <c r="C776" s="50"/>
      <c r="D776" s="67"/>
      <c r="E776" s="50"/>
      <c r="F776" s="64"/>
      <c r="G776" s="50"/>
      <c r="H776" s="50"/>
    </row>
    <row r="777" spans="1:8">
      <c r="A777" s="48"/>
      <c r="B777" s="49"/>
      <c r="C777" s="50"/>
      <c r="D777" s="67"/>
      <c r="E777" s="50"/>
      <c r="F777" s="64"/>
      <c r="G777" s="50"/>
      <c r="H777" s="50"/>
    </row>
    <row r="778" spans="1:8">
      <c r="A778" s="48"/>
      <c r="B778" s="49"/>
      <c r="C778" s="50"/>
      <c r="D778" s="67"/>
      <c r="E778" s="50"/>
      <c r="F778" s="64"/>
      <c r="G778" s="50"/>
      <c r="H778" s="50"/>
    </row>
    <row r="779" spans="1:8">
      <c r="A779" s="48"/>
      <c r="B779" s="49"/>
      <c r="C779" s="50"/>
      <c r="D779" s="67"/>
      <c r="E779" s="50"/>
      <c r="F779" s="64"/>
      <c r="G779" s="50"/>
      <c r="H779" s="50"/>
    </row>
    <row r="780" spans="1:8">
      <c r="A780" s="48"/>
      <c r="B780" s="49"/>
      <c r="C780" s="50"/>
      <c r="D780" s="67"/>
      <c r="E780" s="50"/>
      <c r="F780" s="64"/>
      <c r="G780" s="50"/>
      <c r="H780" s="50"/>
    </row>
    <row r="781" spans="1:8">
      <c r="A781" s="48"/>
      <c r="B781" s="49"/>
      <c r="C781" s="50"/>
      <c r="D781" s="67"/>
      <c r="E781" s="50"/>
      <c r="F781" s="64"/>
      <c r="G781" s="50"/>
      <c r="H781" s="50"/>
    </row>
    <row r="782" spans="1:8">
      <c r="A782" s="48"/>
      <c r="B782" s="49"/>
      <c r="C782" s="50"/>
      <c r="D782" s="67"/>
      <c r="E782" s="50"/>
      <c r="F782" s="64"/>
      <c r="G782" s="50"/>
      <c r="H782" s="50"/>
    </row>
    <row r="783" spans="1:8">
      <c r="A783" s="48"/>
      <c r="B783" s="49"/>
      <c r="C783" s="50"/>
      <c r="D783" s="67"/>
      <c r="E783" s="50"/>
      <c r="F783" s="64"/>
      <c r="G783" s="50"/>
      <c r="H783" s="50"/>
    </row>
    <row r="784" spans="1:8">
      <c r="A784" s="48"/>
      <c r="B784" s="49"/>
      <c r="C784" s="50"/>
      <c r="D784" s="67"/>
      <c r="E784" s="50"/>
      <c r="F784" s="64"/>
      <c r="G784" s="50"/>
      <c r="H784" s="50"/>
    </row>
    <row r="785" spans="1:8">
      <c r="A785" s="48"/>
      <c r="B785" s="49"/>
      <c r="C785" s="50"/>
      <c r="D785" s="67"/>
      <c r="E785" s="50"/>
      <c r="F785" s="64"/>
      <c r="G785" s="50"/>
      <c r="H785" s="50"/>
    </row>
    <row r="786" spans="1:8">
      <c r="A786" s="48"/>
      <c r="B786" s="49"/>
      <c r="C786" s="50"/>
      <c r="D786" s="67"/>
      <c r="E786" s="50"/>
      <c r="F786" s="64"/>
      <c r="G786" s="50"/>
      <c r="H786" s="50"/>
    </row>
    <row r="787" spans="1:8">
      <c r="A787" s="48"/>
      <c r="B787" s="49"/>
      <c r="C787" s="50"/>
      <c r="D787" s="67"/>
      <c r="E787" s="50"/>
      <c r="F787" s="64"/>
      <c r="G787" s="50"/>
      <c r="H787" s="50"/>
    </row>
    <row r="788" spans="1:8">
      <c r="A788" s="48"/>
      <c r="B788" s="49"/>
      <c r="C788" s="50"/>
      <c r="D788" s="67"/>
      <c r="E788" s="50"/>
      <c r="F788" s="64"/>
      <c r="G788" s="50"/>
      <c r="H788" s="50"/>
    </row>
    <row r="789" spans="1:8">
      <c r="A789" s="48"/>
      <c r="B789" s="49"/>
      <c r="C789" s="50"/>
      <c r="D789" s="67"/>
      <c r="E789" s="50"/>
      <c r="F789" s="64"/>
      <c r="G789" s="50"/>
      <c r="H789" s="50"/>
    </row>
    <row r="790" spans="1:8">
      <c r="A790" s="48"/>
      <c r="B790" s="49"/>
      <c r="C790" s="50"/>
      <c r="D790" s="67"/>
      <c r="E790" s="50"/>
      <c r="F790" s="64"/>
      <c r="G790" s="50"/>
      <c r="H790" s="50"/>
    </row>
    <row r="791" spans="1:8">
      <c r="A791" s="48"/>
      <c r="B791" s="49"/>
      <c r="C791" s="50"/>
      <c r="D791" s="67"/>
      <c r="E791" s="50"/>
      <c r="F791" s="64"/>
      <c r="G791" s="50"/>
      <c r="H791" s="50"/>
    </row>
    <row r="792" spans="1:8">
      <c r="A792" s="48"/>
      <c r="B792" s="49"/>
      <c r="C792" s="50"/>
      <c r="D792" s="67"/>
      <c r="E792" s="50"/>
      <c r="F792" s="64"/>
      <c r="G792" s="50"/>
      <c r="H792" s="50"/>
    </row>
    <row r="793" spans="1:8">
      <c r="A793" s="48"/>
      <c r="B793" s="49"/>
      <c r="C793" s="50"/>
      <c r="D793" s="67"/>
      <c r="E793" s="50"/>
      <c r="F793" s="64"/>
      <c r="G793" s="50"/>
      <c r="H793" s="50"/>
    </row>
    <row r="794" spans="1:8">
      <c r="A794" s="48"/>
      <c r="B794" s="49"/>
      <c r="C794" s="50"/>
      <c r="D794" s="67"/>
      <c r="E794" s="50"/>
      <c r="F794" s="64"/>
      <c r="G794" s="50"/>
      <c r="H794" s="50"/>
    </row>
    <row r="795" spans="1:8">
      <c r="A795" s="48"/>
      <c r="B795" s="49"/>
      <c r="C795" s="50"/>
      <c r="D795" s="67"/>
      <c r="E795" s="50"/>
      <c r="F795" s="64"/>
      <c r="G795" s="50"/>
      <c r="H795" s="50"/>
    </row>
    <row r="796" spans="1:8">
      <c r="A796" s="48"/>
      <c r="B796" s="49"/>
      <c r="C796" s="50"/>
      <c r="D796" s="67"/>
      <c r="E796" s="50"/>
      <c r="F796" s="64"/>
      <c r="G796" s="50"/>
      <c r="H796" s="50"/>
    </row>
    <row r="797" spans="1:8">
      <c r="A797" s="48"/>
      <c r="B797" s="49"/>
      <c r="C797" s="50"/>
      <c r="D797" s="67"/>
      <c r="E797" s="50"/>
      <c r="F797" s="64"/>
      <c r="G797" s="50"/>
      <c r="H797" s="50"/>
    </row>
    <row r="798" spans="1:8">
      <c r="A798" s="48"/>
      <c r="B798" s="49"/>
      <c r="C798" s="50"/>
      <c r="D798" s="67"/>
      <c r="E798" s="50"/>
      <c r="F798" s="64"/>
      <c r="G798" s="50"/>
      <c r="H798" s="50"/>
    </row>
    <row r="799" spans="1:8">
      <c r="A799" s="48"/>
      <c r="B799" s="49"/>
      <c r="C799" s="50"/>
      <c r="D799" s="67"/>
      <c r="E799" s="50"/>
      <c r="F799" s="64"/>
      <c r="G799" s="50"/>
      <c r="H799" s="50"/>
    </row>
    <row r="800" spans="1:8">
      <c r="A800" s="48"/>
      <c r="B800" s="49"/>
      <c r="C800" s="50"/>
      <c r="D800" s="67"/>
      <c r="E800" s="50"/>
      <c r="F800" s="64"/>
      <c r="G800" s="50"/>
      <c r="H800" s="50"/>
    </row>
    <row r="801" spans="1:8">
      <c r="A801" s="48"/>
      <c r="B801" s="49"/>
      <c r="C801" s="50"/>
      <c r="D801" s="67"/>
      <c r="E801" s="50"/>
      <c r="F801" s="64"/>
      <c r="G801" s="50"/>
      <c r="H801" s="50"/>
    </row>
    <row r="802" spans="1:8">
      <c r="A802" s="48"/>
      <c r="B802" s="49"/>
      <c r="C802" s="50"/>
      <c r="D802" s="67"/>
      <c r="E802" s="50"/>
      <c r="F802" s="64"/>
      <c r="G802" s="50"/>
      <c r="H802" s="50"/>
    </row>
    <row r="803" spans="1:8">
      <c r="A803" s="48"/>
      <c r="B803" s="49"/>
      <c r="C803" s="50"/>
      <c r="D803" s="67"/>
      <c r="E803" s="50"/>
      <c r="F803" s="64"/>
      <c r="G803" s="50"/>
      <c r="H803" s="50"/>
    </row>
    <row r="804" spans="1:8">
      <c r="A804" s="48"/>
      <c r="B804" s="49"/>
      <c r="C804" s="50"/>
      <c r="D804" s="67"/>
      <c r="E804" s="50"/>
      <c r="F804" s="64"/>
      <c r="G804" s="50"/>
      <c r="H804" s="50"/>
    </row>
    <row r="805" spans="1:8">
      <c r="A805" s="48"/>
      <c r="B805" s="49"/>
      <c r="C805" s="50"/>
      <c r="D805" s="67"/>
      <c r="E805" s="50"/>
      <c r="F805" s="64"/>
      <c r="G805" s="50"/>
      <c r="H805" s="50"/>
    </row>
    <row r="806" spans="1:8">
      <c r="A806" s="48"/>
      <c r="B806" s="49"/>
      <c r="C806" s="50"/>
      <c r="D806" s="67"/>
      <c r="E806" s="50"/>
      <c r="F806" s="64"/>
      <c r="G806" s="50"/>
      <c r="H806" s="50"/>
    </row>
    <row r="807" spans="1:8">
      <c r="A807" s="48"/>
      <c r="B807" s="49"/>
      <c r="C807" s="50"/>
      <c r="D807" s="67"/>
      <c r="E807" s="50"/>
      <c r="F807" s="64"/>
      <c r="G807" s="50"/>
      <c r="H807" s="50"/>
    </row>
    <row r="808" spans="1:8">
      <c r="A808" s="48"/>
      <c r="B808" s="49"/>
      <c r="C808" s="50"/>
      <c r="D808" s="67"/>
      <c r="E808" s="50"/>
      <c r="F808" s="64"/>
      <c r="G808" s="50"/>
      <c r="H808" s="50"/>
    </row>
    <row r="809" spans="1:8">
      <c r="A809" s="48"/>
      <c r="B809" s="49"/>
      <c r="C809" s="50"/>
      <c r="D809" s="67"/>
      <c r="E809" s="50"/>
      <c r="F809" s="64"/>
      <c r="G809" s="50"/>
      <c r="H809" s="50"/>
    </row>
    <row r="810" spans="1:8">
      <c r="A810" s="48"/>
      <c r="B810" s="49"/>
      <c r="C810" s="50"/>
      <c r="D810" s="67"/>
      <c r="E810" s="50"/>
      <c r="F810" s="64"/>
      <c r="G810" s="50"/>
      <c r="H810" s="50"/>
    </row>
    <row r="811" spans="1:8">
      <c r="A811" s="48"/>
      <c r="B811" s="49"/>
      <c r="C811" s="50"/>
      <c r="D811" s="67"/>
      <c r="E811" s="50"/>
      <c r="F811" s="64"/>
      <c r="G811" s="50"/>
      <c r="H811" s="50"/>
    </row>
    <row r="812" spans="1:8">
      <c r="A812" s="48"/>
      <c r="B812" s="49"/>
      <c r="C812" s="50"/>
      <c r="D812" s="67"/>
      <c r="E812" s="50"/>
      <c r="F812" s="64"/>
      <c r="G812" s="50"/>
      <c r="H812" s="50"/>
    </row>
    <row r="813" spans="1:8">
      <c r="A813" s="48"/>
      <c r="B813" s="49"/>
      <c r="C813" s="50"/>
      <c r="D813" s="67"/>
      <c r="E813" s="50"/>
      <c r="F813" s="64"/>
      <c r="G813" s="50"/>
      <c r="H813" s="50"/>
    </row>
    <row r="814" spans="1:8">
      <c r="A814" s="48"/>
      <c r="B814" s="49"/>
      <c r="C814" s="50"/>
      <c r="D814" s="67"/>
      <c r="E814" s="50"/>
      <c r="F814" s="64"/>
      <c r="G814" s="50"/>
      <c r="H814" s="50"/>
    </row>
    <row r="815" spans="1:8">
      <c r="A815" s="48"/>
      <c r="B815" s="49"/>
      <c r="C815" s="50"/>
      <c r="D815" s="67"/>
      <c r="E815" s="50"/>
      <c r="F815" s="64"/>
      <c r="G815" s="50"/>
      <c r="H815" s="50"/>
    </row>
    <row r="816" spans="1:8">
      <c r="A816" s="48"/>
      <c r="B816" s="49"/>
      <c r="C816" s="50"/>
      <c r="D816" s="67"/>
      <c r="E816" s="50"/>
      <c r="F816" s="64"/>
      <c r="G816" s="50"/>
      <c r="H816" s="50"/>
    </row>
    <row r="817" spans="1:8">
      <c r="A817" s="48"/>
      <c r="B817" s="49"/>
      <c r="C817" s="50"/>
      <c r="D817" s="67"/>
      <c r="E817" s="50"/>
      <c r="F817" s="64"/>
      <c r="G817" s="50"/>
      <c r="H817" s="50"/>
    </row>
    <row r="818" spans="1:8">
      <c r="A818" s="48"/>
      <c r="B818" s="49"/>
      <c r="C818" s="50"/>
      <c r="D818" s="67"/>
      <c r="E818" s="50"/>
      <c r="F818" s="64"/>
      <c r="G818" s="50"/>
      <c r="H818" s="50"/>
    </row>
    <row r="819" spans="1:8">
      <c r="A819" s="48"/>
      <c r="B819" s="49"/>
      <c r="C819" s="50"/>
      <c r="D819" s="67"/>
      <c r="E819" s="50"/>
      <c r="F819" s="64"/>
      <c r="G819" s="50"/>
      <c r="H819" s="50"/>
    </row>
    <row r="820" spans="1:8">
      <c r="A820" s="48"/>
      <c r="B820" s="49"/>
      <c r="C820" s="50"/>
      <c r="D820" s="67"/>
      <c r="E820" s="50"/>
      <c r="F820" s="64"/>
      <c r="G820" s="50"/>
      <c r="H820" s="50"/>
    </row>
    <row r="821" spans="1:8">
      <c r="A821" s="48"/>
      <c r="B821" s="49"/>
      <c r="C821" s="50"/>
      <c r="D821" s="67"/>
      <c r="E821" s="50"/>
      <c r="F821" s="64"/>
      <c r="G821" s="50"/>
      <c r="H821" s="50"/>
    </row>
    <row r="822" spans="1:8">
      <c r="A822" s="48"/>
      <c r="B822" s="49"/>
      <c r="C822" s="50"/>
      <c r="D822" s="67"/>
      <c r="E822" s="50"/>
      <c r="F822" s="64"/>
      <c r="G822" s="50"/>
      <c r="H822" s="50"/>
    </row>
    <row r="823" spans="1:8">
      <c r="A823" s="48"/>
      <c r="B823" s="49"/>
      <c r="C823" s="50"/>
      <c r="D823" s="67"/>
      <c r="E823" s="50"/>
      <c r="F823" s="64"/>
      <c r="G823" s="50"/>
      <c r="H823" s="50"/>
    </row>
    <row r="824" spans="1:8">
      <c r="A824" s="48"/>
      <c r="B824" s="49"/>
      <c r="C824" s="50"/>
      <c r="D824" s="67"/>
      <c r="E824" s="50"/>
      <c r="F824" s="64"/>
      <c r="G824" s="50"/>
      <c r="H824" s="50"/>
    </row>
    <row r="825" spans="1:8">
      <c r="A825" s="48"/>
      <c r="B825" s="49"/>
      <c r="C825" s="50"/>
      <c r="D825" s="67"/>
      <c r="E825" s="50"/>
      <c r="F825" s="64"/>
      <c r="G825" s="50"/>
      <c r="H825" s="50"/>
    </row>
    <row r="826" spans="1:8">
      <c r="A826" s="48"/>
      <c r="B826" s="49"/>
      <c r="C826" s="50"/>
      <c r="D826" s="67"/>
      <c r="E826" s="50"/>
      <c r="F826" s="64"/>
      <c r="G826" s="50"/>
      <c r="H826" s="50"/>
    </row>
    <row r="827" spans="1:8">
      <c r="A827" s="48"/>
      <c r="B827" s="49"/>
      <c r="C827" s="50"/>
      <c r="D827" s="67"/>
      <c r="E827" s="50"/>
      <c r="F827" s="64"/>
      <c r="G827" s="50"/>
      <c r="H827" s="50"/>
    </row>
    <row r="828" spans="1:8">
      <c r="A828" s="48"/>
      <c r="B828" s="49"/>
      <c r="C828" s="50"/>
      <c r="D828" s="67"/>
      <c r="E828" s="50"/>
      <c r="F828" s="64"/>
      <c r="G828" s="50"/>
      <c r="H828" s="50"/>
    </row>
    <row r="829" spans="1:8">
      <c r="A829" s="48"/>
      <c r="B829" s="49"/>
      <c r="C829" s="50"/>
      <c r="D829" s="67"/>
      <c r="E829" s="50"/>
      <c r="F829" s="64"/>
      <c r="G829" s="50"/>
      <c r="H829" s="50"/>
    </row>
    <row r="830" spans="1:8">
      <c r="A830" s="48"/>
      <c r="B830" s="49"/>
      <c r="C830" s="50"/>
      <c r="D830" s="67"/>
      <c r="E830" s="50"/>
      <c r="F830" s="64"/>
      <c r="G830" s="50"/>
      <c r="H830" s="50"/>
    </row>
    <row r="831" spans="1:8">
      <c r="A831" s="48"/>
      <c r="B831" s="49"/>
      <c r="C831" s="50"/>
      <c r="D831" s="67"/>
      <c r="E831" s="50"/>
      <c r="F831" s="64"/>
      <c r="G831" s="50"/>
      <c r="H831" s="50"/>
    </row>
    <row r="832" spans="1:8">
      <c r="A832" s="48"/>
      <c r="B832" s="49"/>
      <c r="C832" s="50"/>
      <c r="D832" s="67"/>
      <c r="E832" s="50"/>
      <c r="F832" s="64"/>
      <c r="G832" s="50"/>
      <c r="H832" s="50"/>
    </row>
    <row r="833" spans="1:8">
      <c r="A833" s="48"/>
      <c r="B833" s="49"/>
      <c r="C833" s="50"/>
      <c r="D833" s="67"/>
      <c r="E833" s="50"/>
      <c r="F833" s="64"/>
      <c r="G833" s="50"/>
      <c r="H833" s="50"/>
    </row>
    <row r="834" spans="1:8">
      <c r="A834" s="48"/>
      <c r="B834" s="49"/>
      <c r="C834" s="50"/>
      <c r="D834" s="67"/>
      <c r="E834" s="50"/>
      <c r="F834" s="64"/>
      <c r="G834" s="50"/>
      <c r="H834" s="50"/>
    </row>
    <row r="835" spans="1:8">
      <c r="A835" s="48"/>
      <c r="B835" s="49"/>
      <c r="C835" s="50"/>
      <c r="D835" s="67"/>
      <c r="E835" s="50"/>
      <c r="F835" s="64"/>
      <c r="G835" s="50"/>
      <c r="H835" s="50"/>
    </row>
    <row r="836" spans="1:8">
      <c r="A836" s="48"/>
      <c r="B836" s="49"/>
      <c r="C836" s="50"/>
      <c r="D836" s="67"/>
      <c r="E836" s="50"/>
      <c r="F836" s="64"/>
      <c r="G836" s="50"/>
      <c r="H836" s="50"/>
    </row>
    <row r="837" spans="1:8">
      <c r="A837" s="48"/>
      <c r="B837" s="49"/>
      <c r="C837" s="50"/>
      <c r="D837" s="67"/>
      <c r="E837" s="50"/>
      <c r="F837" s="64"/>
      <c r="G837" s="50"/>
      <c r="H837" s="50"/>
    </row>
    <row r="838" spans="1:8">
      <c r="A838" s="48"/>
      <c r="B838" s="49"/>
      <c r="C838" s="50"/>
      <c r="D838" s="67"/>
      <c r="E838" s="50"/>
      <c r="F838" s="64"/>
      <c r="G838" s="50"/>
      <c r="H838" s="50"/>
    </row>
    <row r="839" spans="1:8">
      <c r="A839" s="48"/>
      <c r="B839" s="49"/>
      <c r="C839" s="50"/>
      <c r="D839" s="67"/>
      <c r="E839" s="50"/>
      <c r="F839" s="64"/>
      <c r="G839" s="50"/>
      <c r="H839" s="50"/>
    </row>
    <row r="840" spans="1:8">
      <c r="A840" s="48"/>
      <c r="B840" s="49"/>
      <c r="C840" s="50"/>
      <c r="D840" s="67"/>
      <c r="E840" s="50"/>
      <c r="F840" s="64"/>
      <c r="G840" s="50"/>
      <c r="H840" s="50"/>
    </row>
    <row r="841" spans="1:8">
      <c r="A841" s="48"/>
      <c r="B841" s="49"/>
      <c r="C841" s="50"/>
      <c r="D841" s="67"/>
      <c r="E841" s="50"/>
      <c r="F841" s="64"/>
      <c r="G841" s="50"/>
      <c r="H841" s="50"/>
    </row>
    <row r="842" spans="1:8">
      <c r="A842" s="48"/>
      <c r="B842" s="49"/>
      <c r="C842" s="50"/>
      <c r="D842" s="67"/>
      <c r="E842" s="50"/>
      <c r="F842" s="64"/>
      <c r="G842" s="50"/>
      <c r="H842" s="50"/>
    </row>
    <row r="843" spans="1:8">
      <c r="A843" s="48"/>
      <c r="B843" s="49"/>
      <c r="C843" s="50"/>
      <c r="D843" s="67"/>
      <c r="E843" s="50"/>
      <c r="F843" s="64"/>
      <c r="G843" s="50"/>
      <c r="H843" s="50"/>
    </row>
    <row r="844" spans="1:8">
      <c r="A844" s="48"/>
      <c r="B844" s="49"/>
      <c r="C844" s="50"/>
      <c r="D844" s="67"/>
      <c r="E844" s="50"/>
      <c r="F844" s="64"/>
      <c r="G844" s="50"/>
      <c r="H844" s="50"/>
    </row>
    <row r="845" spans="1:8">
      <c r="A845" s="48"/>
      <c r="B845" s="49"/>
      <c r="C845" s="50"/>
      <c r="D845" s="67"/>
      <c r="E845" s="50"/>
      <c r="F845" s="64"/>
      <c r="G845" s="50"/>
      <c r="H845" s="50"/>
    </row>
    <row r="846" spans="1:8">
      <c r="A846" s="48"/>
      <c r="B846" s="49"/>
      <c r="C846" s="50"/>
      <c r="D846" s="67"/>
      <c r="E846" s="50"/>
      <c r="F846" s="64"/>
      <c r="G846" s="50"/>
      <c r="H846" s="50"/>
    </row>
    <row r="847" spans="1:8">
      <c r="A847" s="48"/>
      <c r="B847" s="49"/>
      <c r="C847" s="50"/>
      <c r="D847" s="67"/>
      <c r="E847" s="50"/>
      <c r="F847" s="64"/>
      <c r="G847" s="50"/>
      <c r="H847" s="50"/>
    </row>
    <row r="848" spans="1:8">
      <c r="A848" s="48"/>
      <c r="B848" s="49"/>
      <c r="C848" s="50"/>
      <c r="D848" s="67"/>
      <c r="E848" s="50"/>
      <c r="F848" s="64"/>
      <c r="G848" s="50"/>
      <c r="H848" s="50"/>
    </row>
    <row r="849" spans="1:8">
      <c r="A849" s="48"/>
      <c r="B849" s="49"/>
      <c r="C849" s="50"/>
      <c r="D849" s="67"/>
      <c r="E849" s="50"/>
      <c r="F849" s="64"/>
      <c r="G849" s="50"/>
      <c r="H849" s="50"/>
    </row>
    <row r="850" spans="1:8">
      <c r="A850" s="48"/>
      <c r="B850" s="49"/>
      <c r="C850" s="50"/>
      <c r="D850" s="67"/>
      <c r="E850" s="50"/>
      <c r="F850" s="64"/>
      <c r="G850" s="50"/>
      <c r="H850" s="50"/>
    </row>
    <row r="851" spans="1:8">
      <c r="A851" s="48"/>
      <c r="B851" s="49"/>
      <c r="C851" s="50"/>
      <c r="D851" s="67"/>
      <c r="E851" s="50"/>
      <c r="F851" s="64"/>
      <c r="G851" s="50"/>
      <c r="H851" s="50"/>
    </row>
    <row r="852" spans="1:8">
      <c r="A852" s="48"/>
      <c r="B852" s="49"/>
      <c r="C852" s="50"/>
      <c r="D852" s="67"/>
      <c r="E852" s="50"/>
      <c r="F852" s="64"/>
      <c r="G852" s="50"/>
      <c r="H852" s="50"/>
    </row>
    <row r="853" spans="1:8">
      <c r="A853" s="48"/>
      <c r="B853" s="49"/>
      <c r="C853" s="50"/>
      <c r="D853" s="67"/>
      <c r="E853" s="50"/>
      <c r="F853" s="64"/>
      <c r="G853" s="50"/>
      <c r="H853" s="50"/>
    </row>
    <row r="854" spans="1:8">
      <c r="A854" s="48"/>
      <c r="B854" s="49"/>
      <c r="C854" s="50"/>
      <c r="D854" s="67"/>
      <c r="E854" s="50"/>
      <c r="F854" s="64"/>
      <c r="G854" s="50"/>
      <c r="H854" s="50"/>
    </row>
    <row r="855" spans="1:8">
      <c r="A855" s="48"/>
      <c r="B855" s="49"/>
      <c r="C855" s="50"/>
      <c r="D855" s="67"/>
      <c r="E855" s="50"/>
      <c r="F855" s="64"/>
      <c r="G855" s="50"/>
      <c r="H855" s="50"/>
    </row>
    <row r="856" spans="1:8">
      <c r="A856" s="48"/>
      <c r="B856" s="49"/>
      <c r="C856" s="50"/>
      <c r="D856" s="67"/>
      <c r="E856" s="50"/>
      <c r="F856" s="64"/>
      <c r="G856" s="50"/>
      <c r="H856" s="50"/>
    </row>
    <row r="857" spans="1:8">
      <c r="A857" s="48"/>
      <c r="B857" s="49"/>
      <c r="C857" s="50"/>
      <c r="D857" s="67"/>
      <c r="E857" s="50"/>
      <c r="F857" s="64"/>
      <c r="G857" s="50"/>
      <c r="H857" s="50"/>
    </row>
    <row r="858" spans="1:8">
      <c r="A858" s="48"/>
      <c r="B858" s="49"/>
      <c r="C858" s="50"/>
      <c r="D858" s="67"/>
      <c r="E858" s="50"/>
      <c r="F858" s="64"/>
      <c r="G858" s="50"/>
      <c r="H858" s="50"/>
    </row>
    <row r="859" spans="1:8">
      <c r="A859" s="48"/>
      <c r="B859" s="49"/>
      <c r="C859" s="50"/>
      <c r="D859" s="67"/>
      <c r="E859" s="50"/>
      <c r="F859" s="64"/>
      <c r="G859" s="50"/>
      <c r="H859" s="50"/>
    </row>
    <row r="860" spans="1:8">
      <c r="A860" s="48"/>
      <c r="B860" s="49"/>
      <c r="C860" s="50"/>
      <c r="D860" s="67"/>
      <c r="E860" s="50"/>
      <c r="F860" s="64"/>
      <c r="G860" s="50"/>
      <c r="H860" s="50"/>
    </row>
    <row r="861" spans="1:8">
      <c r="A861" s="48"/>
      <c r="B861" s="49"/>
      <c r="C861" s="50"/>
      <c r="D861" s="67"/>
      <c r="E861" s="50"/>
      <c r="F861" s="64"/>
      <c r="G861" s="50"/>
      <c r="H861" s="50"/>
    </row>
    <row r="862" spans="1:8">
      <c r="A862" s="48"/>
      <c r="B862" s="49"/>
      <c r="C862" s="50"/>
      <c r="D862" s="67"/>
      <c r="E862" s="50"/>
      <c r="F862" s="64"/>
      <c r="G862" s="50"/>
      <c r="H862" s="50"/>
    </row>
    <row r="863" spans="1:8">
      <c r="A863" s="48"/>
      <c r="B863" s="49"/>
      <c r="C863" s="50"/>
      <c r="D863" s="67"/>
      <c r="E863" s="50"/>
      <c r="F863" s="64"/>
      <c r="G863" s="50"/>
      <c r="H863" s="50"/>
    </row>
    <row r="864" spans="1:8">
      <c r="A864" s="48"/>
      <c r="B864" s="49"/>
      <c r="C864" s="50"/>
      <c r="D864" s="67"/>
      <c r="E864" s="50"/>
      <c r="F864" s="64"/>
      <c r="G864" s="50"/>
      <c r="H864" s="50"/>
    </row>
    <row r="865" spans="1:8">
      <c r="A865" s="48"/>
      <c r="B865" s="49"/>
      <c r="C865" s="50"/>
      <c r="D865" s="67"/>
      <c r="E865" s="50"/>
      <c r="F865" s="64"/>
      <c r="G865" s="50"/>
      <c r="H865" s="50"/>
    </row>
    <row r="866" spans="1:8">
      <c r="A866" s="48"/>
      <c r="B866" s="49"/>
      <c r="C866" s="50"/>
      <c r="D866" s="67"/>
      <c r="E866" s="50"/>
      <c r="F866" s="64"/>
      <c r="G866" s="50"/>
      <c r="H866" s="50"/>
    </row>
    <row r="867" spans="1:8">
      <c r="A867" s="48"/>
      <c r="B867" s="49"/>
      <c r="C867" s="50"/>
      <c r="D867" s="67"/>
      <c r="E867" s="50"/>
      <c r="F867" s="64"/>
      <c r="G867" s="50"/>
      <c r="H867" s="50"/>
    </row>
    <row r="868" spans="1:8">
      <c r="A868" s="48"/>
      <c r="B868" s="49"/>
      <c r="C868" s="50"/>
      <c r="D868" s="67"/>
      <c r="E868" s="50"/>
      <c r="F868" s="64"/>
      <c r="G868" s="50"/>
      <c r="H868" s="50"/>
    </row>
    <row r="869" spans="1:8">
      <c r="A869" s="48"/>
      <c r="B869" s="49"/>
      <c r="C869" s="50"/>
      <c r="D869" s="67"/>
      <c r="E869" s="50"/>
      <c r="F869" s="64"/>
      <c r="G869" s="50"/>
      <c r="H869" s="50"/>
    </row>
    <row r="870" spans="1:8">
      <c r="A870" s="48"/>
      <c r="B870" s="49"/>
      <c r="C870" s="50"/>
      <c r="D870" s="67"/>
      <c r="E870" s="50"/>
      <c r="F870" s="64"/>
      <c r="G870" s="50"/>
      <c r="H870" s="50"/>
    </row>
    <row r="871" spans="1:8">
      <c r="A871" s="48"/>
      <c r="B871" s="49"/>
      <c r="C871" s="50"/>
      <c r="D871" s="67"/>
      <c r="E871" s="50"/>
      <c r="F871" s="64"/>
      <c r="G871" s="50"/>
      <c r="H871" s="50"/>
    </row>
    <row r="872" spans="1:8">
      <c r="A872" s="48"/>
      <c r="B872" s="49"/>
      <c r="C872" s="50"/>
      <c r="D872" s="67"/>
      <c r="E872" s="50"/>
      <c r="F872" s="64"/>
      <c r="G872" s="50"/>
      <c r="H872" s="50"/>
    </row>
    <row r="873" spans="1:8">
      <c r="A873" s="48"/>
      <c r="B873" s="49"/>
      <c r="C873" s="50"/>
      <c r="D873" s="67"/>
      <c r="E873" s="50"/>
      <c r="F873" s="64"/>
      <c r="G873" s="50"/>
      <c r="H873" s="50"/>
    </row>
    <row r="874" spans="1:8">
      <c r="A874" s="48"/>
      <c r="B874" s="49"/>
      <c r="C874" s="50"/>
      <c r="D874" s="67"/>
      <c r="E874" s="50"/>
      <c r="F874" s="64"/>
      <c r="G874" s="50"/>
      <c r="H874" s="50"/>
    </row>
    <row r="875" spans="1:8">
      <c r="A875" s="48"/>
      <c r="B875" s="49"/>
      <c r="C875" s="50"/>
      <c r="D875" s="67"/>
      <c r="E875" s="50"/>
      <c r="F875" s="64"/>
      <c r="G875" s="50"/>
      <c r="H875" s="50"/>
    </row>
    <row r="876" spans="1:8">
      <c r="A876" s="48"/>
      <c r="B876" s="49"/>
      <c r="C876" s="50"/>
      <c r="D876" s="67"/>
      <c r="E876" s="50"/>
      <c r="F876" s="64"/>
      <c r="G876" s="50"/>
      <c r="H876" s="50"/>
    </row>
    <row r="877" spans="1:8">
      <c r="A877" s="48"/>
      <c r="B877" s="49"/>
      <c r="C877" s="50"/>
      <c r="D877" s="67"/>
      <c r="E877" s="50"/>
      <c r="F877" s="64"/>
      <c r="G877" s="50"/>
      <c r="H877" s="50"/>
    </row>
    <row r="878" spans="1:8">
      <c r="A878" s="48"/>
      <c r="B878" s="49"/>
      <c r="C878" s="50"/>
      <c r="D878" s="67"/>
      <c r="E878" s="50"/>
      <c r="F878" s="64"/>
      <c r="G878" s="50"/>
      <c r="H878" s="50"/>
    </row>
    <row r="879" spans="1:8">
      <c r="A879" s="48"/>
      <c r="B879" s="49"/>
      <c r="C879" s="50"/>
      <c r="D879" s="67"/>
      <c r="E879" s="50"/>
      <c r="F879" s="64"/>
      <c r="G879" s="50"/>
      <c r="H879" s="50"/>
    </row>
    <row r="880" spans="1:8">
      <c r="A880" s="48"/>
      <c r="B880" s="49"/>
      <c r="C880" s="50"/>
      <c r="D880" s="67"/>
      <c r="E880" s="50"/>
      <c r="F880" s="64"/>
      <c r="G880" s="50"/>
      <c r="H880" s="50"/>
    </row>
    <row r="881" spans="1:8">
      <c r="A881" s="48"/>
      <c r="B881" s="49"/>
      <c r="C881" s="50"/>
      <c r="D881" s="67"/>
      <c r="E881" s="50"/>
      <c r="F881" s="64"/>
      <c r="G881" s="50"/>
      <c r="H881" s="50"/>
    </row>
    <row r="882" spans="1:8">
      <c r="A882" s="48"/>
      <c r="B882" s="49"/>
      <c r="C882" s="50"/>
      <c r="D882" s="67"/>
      <c r="E882" s="50"/>
      <c r="F882" s="64"/>
      <c r="G882" s="50"/>
      <c r="H882" s="50"/>
    </row>
    <row r="883" spans="1:8">
      <c r="A883" s="48"/>
      <c r="B883" s="49"/>
      <c r="C883" s="50"/>
      <c r="D883" s="67"/>
      <c r="E883" s="50"/>
      <c r="F883" s="64"/>
      <c r="G883" s="50"/>
      <c r="H883" s="50"/>
    </row>
    <row r="884" spans="1:8">
      <c r="A884" s="48"/>
      <c r="B884" s="49"/>
      <c r="C884" s="50"/>
      <c r="D884" s="67"/>
      <c r="E884" s="50"/>
      <c r="F884" s="64"/>
      <c r="G884" s="50"/>
      <c r="H884" s="50"/>
    </row>
    <row r="885" spans="1:8">
      <c r="A885" s="48"/>
      <c r="B885" s="49"/>
      <c r="C885" s="50"/>
      <c r="D885" s="67"/>
      <c r="E885" s="50"/>
      <c r="F885" s="64"/>
      <c r="G885" s="50"/>
      <c r="H885" s="50"/>
    </row>
    <row r="886" spans="1:8">
      <c r="A886" s="48"/>
      <c r="B886" s="49"/>
      <c r="C886" s="50"/>
      <c r="D886" s="67"/>
      <c r="E886" s="50"/>
      <c r="F886" s="64"/>
      <c r="G886" s="50"/>
      <c r="H886" s="50"/>
    </row>
    <row r="887" spans="1:8">
      <c r="A887" s="48"/>
      <c r="B887" s="49"/>
      <c r="C887" s="50"/>
      <c r="D887" s="67"/>
      <c r="E887" s="50"/>
      <c r="F887" s="64"/>
      <c r="G887" s="50"/>
      <c r="H887" s="50"/>
    </row>
    <row r="888" spans="1:8">
      <c r="A888" s="48"/>
      <c r="B888" s="49"/>
      <c r="C888" s="50"/>
      <c r="D888" s="67"/>
      <c r="E888" s="50"/>
      <c r="F888" s="64"/>
      <c r="G888" s="50"/>
      <c r="H888" s="50"/>
    </row>
    <row r="889" spans="1:8">
      <c r="A889" s="48"/>
      <c r="B889" s="49"/>
      <c r="C889" s="50"/>
      <c r="D889" s="67"/>
      <c r="E889" s="50"/>
      <c r="F889" s="64"/>
      <c r="G889" s="50"/>
      <c r="H889" s="50"/>
    </row>
    <row r="890" spans="1:8">
      <c r="A890" s="48"/>
      <c r="B890" s="49"/>
      <c r="C890" s="50"/>
      <c r="D890" s="67"/>
      <c r="E890" s="50"/>
      <c r="F890" s="64"/>
      <c r="G890" s="50"/>
      <c r="H890" s="50"/>
    </row>
    <row r="891" spans="1:8">
      <c r="A891" s="48"/>
      <c r="B891" s="49"/>
      <c r="C891" s="50"/>
      <c r="D891" s="67"/>
      <c r="E891" s="50"/>
      <c r="F891" s="64"/>
      <c r="G891" s="50"/>
      <c r="H891" s="50"/>
    </row>
    <row r="892" spans="1:8">
      <c r="A892" s="48"/>
      <c r="B892" s="49"/>
      <c r="C892" s="50"/>
      <c r="D892" s="67"/>
      <c r="E892" s="50"/>
      <c r="F892" s="64"/>
      <c r="G892" s="50"/>
      <c r="H892" s="50"/>
    </row>
    <row r="893" spans="1:8">
      <c r="A893" s="48"/>
      <c r="B893" s="49"/>
      <c r="C893" s="50"/>
      <c r="D893" s="67"/>
      <c r="E893" s="50"/>
      <c r="F893" s="64"/>
      <c r="G893" s="50"/>
      <c r="H893" s="50"/>
    </row>
    <row r="894" spans="1:8">
      <c r="A894" s="48"/>
      <c r="B894" s="49"/>
      <c r="C894" s="50"/>
      <c r="D894" s="67"/>
      <c r="E894" s="50"/>
      <c r="F894" s="64"/>
      <c r="G894" s="50"/>
      <c r="H894" s="50"/>
    </row>
    <row r="895" spans="1:8">
      <c r="A895" s="48"/>
      <c r="B895" s="49"/>
      <c r="C895" s="50"/>
      <c r="D895" s="67"/>
      <c r="E895" s="50"/>
      <c r="F895" s="64"/>
      <c r="G895" s="50"/>
      <c r="H895" s="50"/>
    </row>
    <row r="896" spans="1:8">
      <c r="A896" s="48"/>
      <c r="B896" s="49"/>
      <c r="C896" s="50"/>
      <c r="D896" s="67"/>
      <c r="E896" s="50"/>
      <c r="F896" s="64"/>
      <c r="G896" s="50"/>
      <c r="H896" s="50"/>
    </row>
    <row r="897" spans="1:8">
      <c r="A897" s="48"/>
      <c r="B897" s="49"/>
      <c r="C897" s="50"/>
      <c r="D897" s="67"/>
      <c r="E897" s="50"/>
      <c r="F897" s="64"/>
      <c r="G897" s="50"/>
      <c r="H897" s="50"/>
    </row>
    <row r="898" spans="1:8">
      <c r="A898" s="48"/>
      <c r="B898" s="49"/>
      <c r="C898" s="50"/>
      <c r="D898" s="67"/>
      <c r="E898" s="50"/>
      <c r="F898" s="64"/>
      <c r="G898" s="50"/>
      <c r="H898" s="50"/>
    </row>
    <row r="899" spans="1:8">
      <c r="A899" s="48"/>
      <c r="B899" s="49"/>
      <c r="C899" s="50"/>
      <c r="D899" s="67"/>
      <c r="E899" s="50"/>
      <c r="F899" s="64"/>
      <c r="G899" s="50"/>
      <c r="H899" s="50"/>
    </row>
    <row r="900" spans="1:8">
      <c r="A900" s="48"/>
      <c r="B900" s="49"/>
      <c r="C900" s="50"/>
      <c r="D900" s="67"/>
      <c r="E900" s="50"/>
      <c r="F900" s="64"/>
      <c r="G900" s="50"/>
      <c r="H900" s="50"/>
    </row>
    <row r="901" spans="1:8">
      <c r="A901" s="48"/>
      <c r="B901" s="49"/>
      <c r="C901" s="50"/>
      <c r="D901" s="67"/>
      <c r="E901" s="50"/>
      <c r="F901" s="64"/>
      <c r="G901" s="50"/>
      <c r="H901" s="50"/>
    </row>
    <row r="902" spans="1:8">
      <c r="A902" s="48"/>
      <c r="B902" s="49"/>
      <c r="C902" s="50"/>
      <c r="D902" s="67"/>
      <c r="E902" s="50"/>
      <c r="F902" s="64"/>
      <c r="G902" s="50"/>
      <c r="H902" s="50"/>
    </row>
    <row r="903" spans="1:8">
      <c r="A903" s="48"/>
      <c r="B903" s="49"/>
      <c r="C903" s="50"/>
      <c r="D903" s="67"/>
      <c r="E903" s="50"/>
      <c r="F903" s="64"/>
      <c r="G903" s="50"/>
      <c r="H903" s="50"/>
    </row>
    <row r="904" spans="1:8">
      <c r="A904" s="48"/>
      <c r="B904" s="49"/>
      <c r="C904" s="50"/>
      <c r="D904" s="67"/>
      <c r="E904" s="50"/>
      <c r="F904" s="64"/>
      <c r="G904" s="50"/>
      <c r="H904" s="50"/>
    </row>
    <row r="905" spans="1:8">
      <c r="A905" s="48"/>
      <c r="B905" s="49"/>
      <c r="C905" s="50"/>
      <c r="D905" s="67"/>
      <c r="E905" s="50"/>
      <c r="F905" s="64"/>
      <c r="G905" s="50"/>
      <c r="H905" s="50"/>
    </row>
    <row r="906" spans="1:8">
      <c r="A906" s="48"/>
      <c r="B906" s="49"/>
      <c r="C906" s="50"/>
      <c r="D906" s="67"/>
      <c r="E906" s="50"/>
      <c r="F906" s="64"/>
      <c r="G906" s="50"/>
      <c r="H906" s="50"/>
    </row>
    <row r="907" spans="1:8">
      <c r="A907" s="48"/>
      <c r="B907" s="49"/>
      <c r="C907" s="50"/>
      <c r="D907" s="67"/>
      <c r="E907" s="50"/>
      <c r="F907" s="64"/>
      <c r="G907" s="50"/>
      <c r="H907" s="50"/>
    </row>
    <row r="908" spans="1:8">
      <c r="A908" s="48"/>
      <c r="B908" s="49"/>
      <c r="C908" s="50"/>
      <c r="D908" s="67"/>
      <c r="E908" s="50"/>
      <c r="F908" s="64"/>
      <c r="G908" s="50"/>
      <c r="H908" s="50"/>
    </row>
    <row r="909" spans="1:8">
      <c r="A909" s="48"/>
      <c r="B909" s="49"/>
      <c r="C909" s="50"/>
      <c r="D909" s="67"/>
      <c r="E909" s="50"/>
      <c r="F909" s="64"/>
      <c r="G909" s="50"/>
      <c r="H909" s="50"/>
    </row>
    <row r="910" spans="1:8">
      <c r="A910" s="48"/>
      <c r="B910" s="49"/>
      <c r="C910" s="50"/>
      <c r="D910" s="67"/>
      <c r="E910" s="50"/>
      <c r="F910" s="64"/>
      <c r="G910" s="50"/>
      <c r="H910" s="50"/>
    </row>
    <row r="911" spans="1:8">
      <c r="A911" s="48"/>
      <c r="B911" s="49"/>
      <c r="C911" s="50"/>
      <c r="D911" s="67"/>
      <c r="E911" s="50"/>
      <c r="F911" s="64"/>
      <c r="G911" s="50"/>
      <c r="H911" s="50"/>
    </row>
    <row r="912" spans="1:8">
      <c r="A912" s="48"/>
      <c r="B912" s="49"/>
      <c r="C912" s="50"/>
      <c r="D912" s="67"/>
      <c r="E912" s="50"/>
      <c r="F912" s="64"/>
      <c r="G912" s="50"/>
      <c r="H912" s="50"/>
    </row>
    <row r="913" spans="1:8">
      <c r="A913" s="48"/>
      <c r="B913" s="49"/>
      <c r="C913" s="50"/>
      <c r="D913" s="67"/>
      <c r="E913" s="50"/>
      <c r="F913" s="64"/>
      <c r="G913" s="50"/>
      <c r="H913" s="50"/>
    </row>
    <row r="914" spans="1:8">
      <c r="A914" s="48"/>
      <c r="B914" s="49"/>
      <c r="C914" s="50"/>
      <c r="D914" s="67"/>
      <c r="E914" s="50"/>
      <c r="F914" s="64"/>
      <c r="G914" s="50"/>
      <c r="H914" s="50"/>
    </row>
  </sheetData>
  <conditionalFormatting sqref="D2:D9">
    <cfRule type="expression" dxfId="38" priority="1">
      <formula>AND($D2&lt;&gt;"",$F2&lt;&gt;"",$D2&lt;$F2)</formula>
    </cfRule>
    <cfRule type="expression" dxfId="37" priority="2">
      <formula>AND($D2&lt;&gt;"",$K2&lt;&gt;"",$D2&lt;=$K2)</formula>
    </cfRule>
    <cfRule type="expression" dxfId="36" priority="3">
      <formula>AND($D2&lt;&gt;"",$K2&lt;&gt;"",$D2&gt;$K2)</formula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494E7772-54C9-4827-87CA-0BF2F48C14B9}">
          <x14:formula1>
            <xm:f>' CARGOS Y ESTADOS'!$B$5:$B$42</xm:f>
          </x14:formula1>
          <xm:sqref>B2:B1048576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97C6-F8F7-45C1-BF63-54B7D3642E4A}">
  <dimension ref="A1:R904"/>
  <sheetViews>
    <sheetView topLeftCell="A31" workbookViewId="0">
      <selection activeCell="A59" sqref="A59"/>
    </sheetView>
  </sheetViews>
  <sheetFormatPr baseColWidth="10" defaultColWidth="11.42578125" defaultRowHeight="12.75"/>
  <cols>
    <col min="1" max="1" width="46.42578125" style="119" customWidth="1"/>
    <col min="2" max="2" width="31.5703125" customWidth="1"/>
    <col min="3" max="3" width="16.5703125" style="8" customWidth="1"/>
    <col min="4" max="4" width="21.85546875" style="99" customWidth="1"/>
    <col min="5" max="5" width="11.85546875" style="8" customWidth="1"/>
    <col min="6" max="6" width="23.42578125" style="10" customWidth="1"/>
    <col min="7" max="7" width="24.85546875" style="8" customWidth="1"/>
    <col min="8" max="8" width="39.140625" style="8" bestFit="1" customWidth="1"/>
    <col min="9" max="9" width="23.140625" customWidth="1"/>
    <col min="10" max="10" width="12.28515625" customWidth="1"/>
    <col min="11" max="11" width="17.42578125" style="10" customWidth="1"/>
    <col min="12" max="12" width="21.7109375" style="76" bestFit="1" customWidth="1"/>
    <col min="13" max="13" width="22.85546875" style="10" bestFit="1" customWidth="1"/>
    <col min="14" max="14" width="12.85546875" bestFit="1" customWidth="1"/>
    <col min="15" max="15" width="25.7109375" style="76" bestFit="1" customWidth="1"/>
    <col min="16" max="16" width="25.28515625" bestFit="1" customWidth="1"/>
    <col min="17" max="17" width="11.7109375" bestFit="1" customWidth="1"/>
    <col min="18" max="19" width="12.7109375" bestFit="1" customWidth="1"/>
  </cols>
  <sheetData>
    <row r="1" spans="1:18">
      <c r="A1" s="109" t="s">
        <v>24</v>
      </c>
      <c r="B1" s="110" t="s">
        <v>25</v>
      </c>
      <c r="C1" s="111" t="s">
        <v>26</v>
      </c>
      <c r="D1" s="112" t="s">
        <v>27</v>
      </c>
      <c r="E1" s="109" t="s">
        <v>28</v>
      </c>
      <c r="F1" s="113" t="s">
        <v>29</v>
      </c>
      <c r="G1" s="114" t="s">
        <v>30</v>
      </c>
      <c r="H1" s="109" t="s">
        <v>31</v>
      </c>
      <c r="I1" s="136" t="s">
        <v>32</v>
      </c>
      <c r="J1" s="136" t="s">
        <v>33</v>
      </c>
      <c r="K1" s="137" t="s">
        <v>34</v>
      </c>
      <c r="L1" s="138" t="s">
        <v>35</v>
      </c>
      <c r="M1" s="139" t="s">
        <v>36</v>
      </c>
    </row>
    <row r="2" spans="1:18" ht="15">
      <c r="A2" s="86" t="s">
        <v>869</v>
      </c>
      <c r="B2" s="50" t="s">
        <v>53</v>
      </c>
      <c r="C2" s="85" t="s">
        <v>39</v>
      </c>
      <c r="D2" s="89">
        <v>45994</v>
      </c>
      <c r="E2" s="50" t="s">
        <v>870</v>
      </c>
      <c r="F2" s="83">
        <v>45992</v>
      </c>
      <c r="G2" s="84" t="s">
        <v>871</v>
      </c>
      <c r="H2" s="84" t="s">
        <v>872</v>
      </c>
      <c r="I2" s="50"/>
      <c r="J2" s="135"/>
      <c r="K2" s="70" cm="1">
        <f t="array" ref="K2">IF(OR($B2="",$F2=""),"",WORKDAY.INTL(IF(ISNUMBER($F2),$F2,FECHA.VALOR($F2)),IF(UPPER(TRIM($B2))="AUXILIAR DE COCINA",10,15),1,FESTIVOS!$A$3:$A$1000))</f>
        <v>46007</v>
      </c>
      <c r="L2" s="76">
        <f t="shared" ref="L2:L9" si="0">IF($F2="","",DATE(YEAR(EDATE($F2,IF(DAY($F2)&gt;=17,1,0))),MONTH(EDATE($F2,IF(DAY($F2)&gt;=17,1,0))),1))</f>
        <v>45992</v>
      </c>
      <c r="M2" s="89" t="str">
        <f>IF($K2="","",IF(OR($D2="",$D2&lt;$F2),"PENDIENTE",IF($D2&lt;=$K2,"A TIEMPO","FUERA DE TIEMPO")))</f>
        <v>A TIEMPO</v>
      </c>
      <c r="N2" s="13"/>
      <c r="O2" s="78" t="s">
        <v>43</v>
      </c>
      <c r="P2" s="75" t="s">
        <v>36</v>
      </c>
    </row>
    <row r="3" spans="1:18" ht="15">
      <c r="A3" s="86" t="s">
        <v>873</v>
      </c>
      <c r="B3" s="50" t="s">
        <v>38</v>
      </c>
      <c r="C3" s="85" t="s">
        <v>39</v>
      </c>
      <c r="D3" s="82">
        <v>46010</v>
      </c>
      <c r="E3" s="50" t="s">
        <v>870</v>
      </c>
      <c r="F3" s="83">
        <v>45995</v>
      </c>
      <c r="G3" s="84" t="s">
        <v>871</v>
      </c>
      <c r="H3" s="84" t="s">
        <v>874</v>
      </c>
      <c r="I3" s="50"/>
      <c r="J3" s="135"/>
      <c r="K3" s="70" cm="1">
        <f t="array" ref="K3">IF(OR($B3="",$F3=""),"",WORKDAY.INTL(IF(ISNUMBER($F3),$F3,FECHA.VALOR($F3)),IF(UPPER(TRIM($B3))="AUXILIAR DE COCINA",10,15),1,FESTIVOS!$A$3:$A$1000))</f>
        <v>46020</v>
      </c>
      <c r="L3" s="88">
        <f t="shared" si="0"/>
        <v>45992</v>
      </c>
      <c r="M3" s="89" t="str">
        <f t="shared" ref="M3:M9" si="1">IF($K3="","",IF(OR($D3="",$D3&lt;$F3),"PENDIENTE",IF($D3&lt;=$K3,"A TIEMPO","FUERA DE TIEMPO")))</f>
        <v>A TIEMPO</v>
      </c>
      <c r="N3" s="13"/>
      <c r="O3" s="78" t="s">
        <v>35</v>
      </c>
      <c r="P3" t="s">
        <v>47</v>
      </c>
      <c r="Q3" t="s">
        <v>49</v>
      </c>
      <c r="R3" t="s">
        <v>51</v>
      </c>
    </row>
    <row r="4" spans="1:18" ht="15" hidden="1">
      <c r="A4" s="47" t="s">
        <v>875</v>
      </c>
      <c r="B4" s="47" t="s">
        <v>53</v>
      </c>
      <c r="C4" s="47" t="s">
        <v>39</v>
      </c>
      <c r="D4" s="70">
        <v>46010</v>
      </c>
      <c r="E4" s="47" t="s">
        <v>876</v>
      </c>
      <c r="F4" s="83">
        <v>46000</v>
      </c>
      <c r="G4" s="135" t="s">
        <v>323</v>
      </c>
      <c r="H4" s="140" t="s">
        <v>877</v>
      </c>
      <c r="I4" s="74"/>
      <c r="J4" s="74"/>
      <c r="K4" s="70" cm="1">
        <f t="array" ref="K4">IF(OR($B4="",$F4=""),"",WORKDAY.INTL(IF(ISNUMBER($F4),$F4,FECHA.VALOR($F4)),IF(UPPER(TRIM($B4))="AUXILIAR DE COCINA",10,15),1,FESTIVOS!$A$3:$A$1000))</f>
        <v>46014</v>
      </c>
      <c r="L4" s="90">
        <f t="shared" si="0"/>
        <v>45992</v>
      </c>
      <c r="M4" s="89" t="str">
        <f t="shared" si="1"/>
        <v>A TIEMPO</v>
      </c>
      <c r="N4" s="13"/>
      <c r="O4" s="76">
        <v>45992</v>
      </c>
      <c r="P4">
        <v>5</v>
      </c>
      <c r="Q4">
        <v>1</v>
      </c>
      <c r="R4">
        <v>6</v>
      </c>
    </row>
    <row r="5" spans="1:18" ht="15" hidden="1">
      <c r="A5" s="47" t="s">
        <v>878</v>
      </c>
      <c r="B5" s="47" t="s">
        <v>53</v>
      </c>
      <c r="C5" s="47" t="s">
        <v>39</v>
      </c>
      <c r="D5" s="82">
        <v>46015</v>
      </c>
      <c r="E5" s="47" t="s">
        <v>876</v>
      </c>
      <c r="F5" s="83">
        <v>46001</v>
      </c>
      <c r="G5" s="87" t="s">
        <v>879</v>
      </c>
      <c r="H5" s="87" t="s">
        <v>880</v>
      </c>
      <c r="I5" s="74"/>
      <c r="J5" s="74"/>
      <c r="K5" s="70" cm="1">
        <f t="array" ref="K5">IF(OR($B5="",$F5=""),"",WORKDAY.INTL(IF(ISNUMBER($F5),$F5,FECHA.VALOR($F5)),IF(UPPER(TRIM($B5))="AUXILIAR DE COCINA",10,15),1,FESTIVOS!$A$3:$A$1000))</f>
        <v>46015</v>
      </c>
      <c r="L5" s="90">
        <f t="shared" si="0"/>
        <v>45992</v>
      </c>
      <c r="M5" s="89" t="str">
        <f t="shared" si="1"/>
        <v>A TIEMPO</v>
      </c>
      <c r="N5" s="13"/>
      <c r="O5" s="76">
        <v>46023</v>
      </c>
      <c r="P5">
        <v>6</v>
      </c>
      <c r="Q5">
        <v>3</v>
      </c>
      <c r="R5">
        <v>9</v>
      </c>
    </row>
    <row r="6" spans="1:18" ht="15" hidden="1">
      <c r="A6" s="47" t="s">
        <v>881</v>
      </c>
      <c r="B6" s="47" t="s">
        <v>53</v>
      </c>
      <c r="C6" s="47" t="s">
        <v>39</v>
      </c>
      <c r="D6" s="141">
        <v>46015</v>
      </c>
      <c r="E6" s="47" t="s">
        <v>876</v>
      </c>
      <c r="F6" s="83">
        <v>46001</v>
      </c>
      <c r="G6" s="87" t="s">
        <v>882</v>
      </c>
      <c r="H6" s="87" t="s">
        <v>883</v>
      </c>
      <c r="I6" s="74"/>
      <c r="J6" s="74"/>
      <c r="K6" s="70" cm="1">
        <f t="array" ref="K6">IF(OR($B6="",$F6=""),"",WORKDAY.INTL(IF(ISNUMBER($F6),$F6,FECHA.VALOR($F6)),IF(UPPER(TRIM($B6))="AUXILIAR DE COCINA",10,15),1,FESTIVOS!$A$3:$A$1000))</f>
        <v>46015</v>
      </c>
      <c r="L6" s="90">
        <f t="shared" si="0"/>
        <v>45992</v>
      </c>
      <c r="M6" s="89" t="str">
        <f t="shared" si="1"/>
        <v>A TIEMPO</v>
      </c>
      <c r="N6" s="13"/>
      <c r="O6" s="76">
        <v>46054</v>
      </c>
      <c r="Q6">
        <v>1</v>
      </c>
      <c r="R6">
        <v>1</v>
      </c>
    </row>
    <row r="7" spans="1:18" ht="15" hidden="1">
      <c r="A7" s="231" t="str">
        <f>UPPER("Jhonatan Andrés Rivera Otero")</f>
        <v>JHONATAN ANDRÉS RIVERA OTERO</v>
      </c>
      <c r="B7" s="47" t="s">
        <v>53</v>
      </c>
      <c r="C7" s="47" t="s">
        <v>39</v>
      </c>
      <c r="D7" s="141">
        <v>46058</v>
      </c>
      <c r="E7" s="47" t="s">
        <v>876</v>
      </c>
      <c r="F7" s="83">
        <v>46004</v>
      </c>
      <c r="G7" s="87" t="s">
        <v>884</v>
      </c>
      <c r="H7" s="87" t="s">
        <v>885</v>
      </c>
      <c r="I7" s="74"/>
      <c r="J7" s="74"/>
      <c r="K7" s="70" cm="1">
        <f t="array" ref="K7">IF(OR($B7="",$F7=""),"",WORKDAY.INTL(IF(ISNUMBER($F7),$F7,FECHA.VALOR($F7)),IF(UPPER(TRIM($B7))="AUXILIAR DE COCINA",10,15),1,FESTIVOS!$A$3:$A$1000))</f>
        <v>46020</v>
      </c>
      <c r="L7" s="90">
        <f t="shared" si="0"/>
        <v>45992</v>
      </c>
      <c r="M7" s="89" t="str">
        <f t="shared" si="1"/>
        <v>FUERA DE TIEMPO</v>
      </c>
      <c r="N7" s="13"/>
      <c r="O7" s="76" t="s">
        <v>51</v>
      </c>
      <c r="P7">
        <v>11</v>
      </c>
      <c r="Q7">
        <v>5</v>
      </c>
      <c r="R7">
        <v>16</v>
      </c>
    </row>
    <row r="8" spans="1:18" ht="15">
      <c r="A8" s="47" t="s">
        <v>886</v>
      </c>
      <c r="B8" s="47" t="s">
        <v>53</v>
      </c>
      <c r="C8" s="47" t="s">
        <v>39</v>
      </c>
      <c r="D8" s="82">
        <v>46021</v>
      </c>
      <c r="E8" s="47" t="s">
        <v>870</v>
      </c>
      <c r="F8" s="83">
        <v>46017</v>
      </c>
      <c r="G8" s="84" t="s">
        <v>887</v>
      </c>
      <c r="H8" s="84" t="s">
        <v>888</v>
      </c>
      <c r="I8" s="74"/>
      <c r="J8" s="74"/>
      <c r="K8" s="70" cm="1">
        <f t="array" ref="K8">IF(OR($B8="",$F8=""),"",WORKDAY.INTL(IF(ISNUMBER($F8),$F8,FECHA.VALOR($F8)),IF(UPPER(TRIM($B8))="AUXILIAR DE COCINA",10,15),1,FESTIVOS!$A$3:$A$1000))</f>
        <v>46035</v>
      </c>
      <c r="L8" s="90">
        <f t="shared" si="0"/>
        <v>46023</v>
      </c>
      <c r="M8" s="89" t="str">
        <f t="shared" si="1"/>
        <v>A TIEMPO</v>
      </c>
      <c r="N8" s="13"/>
    </row>
    <row r="9" spans="1:18" ht="15">
      <c r="A9" s="47" t="s">
        <v>889</v>
      </c>
      <c r="B9" s="47" t="s">
        <v>53</v>
      </c>
      <c r="C9" s="47" t="s">
        <v>39</v>
      </c>
      <c r="D9" s="82">
        <v>46021</v>
      </c>
      <c r="E9" s="47" t="s">
        <v>870</v>
      </c>
      <c r="F9" s="83">
        <v>46017</v>
      </c>
      <c r="G9" s="84" t="s">
        <v>871</v>
      </c>
      <c r="H9" s="84" t="s">
        <v>890</v>
      </c>
      <c r="I9" s="74"/>
      <c r="J9" s="74"/>
      <c r="K9" s="70" cm="1">
        <f t="array" ref="K9">IF(OR($B9="",$F9=""),"",WORKDAY.INTL(IF(ISNUMBER($F9),$F9,FECHA.VALOR($F9)),IF(UPPER(TRIM($B9))="AUXILIAR DE COCINA",10,15),1,FESTIVOS!$A$3:$A$1000))</f>
        <v>46035</v>
      </c>
      <c r="L9" s="90">
        <f t="shared" si="0"/>
        <v>46023</v>
      </c>
      <c r="M9" s="89" t="str">
        <f t="shared" si="1"/>
        <v>A TIEMPO</v>
      </c>
      <c r="N9" s="13"/>
    </row>
    <row r="10" spans="1:18" ht="15" hidden="1">
      <c r="A10" s="231" t="s">
        <v>891</v>
      </c>
      <c r="B10" s="123" t="s">
        <v>53</v>
      </c>
      <c r="C10" s="47" t="s">
        <v>39</v>
      </c>
      <c r="D10" s="141">
        <v>46042</v>
      </c>
      <c r="E10" s="123" t="s">
        <v>876</v>
      </c>
      <c r="F10" s="83">
        <v>46030</v>
      </c>
      <c r="G10" s="238" t="s">
        <v>892</v>
      </c>
      <c r="H10" s="123" t="s">
        <v>893</v>
      </c>
      <c r="I10" s="74"/>
      <c r="J10" s="74"/>
      <c r="K10" s="70" cm="1">
        <f t="array" ref="K10">IF(OR($B10="",$F10=""),"",WORKDAY.INTL(IF(ISNUMBER($F10),$F10,FECHA.VALOR($F10)),IF(UPPER(TRIM($B10))="AUXILIAR DE COCINA",10,15),1,FESTIVOS!$A$3:$A$1000))</f>
        <v>46045</v>
      </c>
      <c r="L10" s="90">
        <f t="shared" ref="L10:L15" si="2">IF($F10="","",DATE(YEAR(EDATE($F10,IF(DAY($F10)&gt;=17,1,0))),MONTH(EDATE($F10,IF(DAY($F10)&gt;=17,1,0))),1))</f>
        <v>46023</v>
      </c>
      <c r="M10" s="70" t="str">
        <f t="shared" ref="M10:M15" si="3">IF($K10="","",IF(OR($D10="",$D10&lt;$F10),"PENDIENTE",IF($D10&lt;=$K10,"A TIEMPO","FUERA DE TIEMPO")))</f>
        <v>A TIEMPO</v>
      </c>
    </row>
    <row r="11" spans="1:18" ht="15" hidden="1">
      <c r="A11" s="123" t="s">
        <v>894</v>
      </c>
      <c r="B11" s="123" t="s">
        <v>53</v>
      </c>
      <c r="C11" s="123" t="s">
        <v>39</v>
      </c>
      <c r="D11" s="242">
        <v>46054</v>
      </c>
      <c r="E11" s="123" t="s">
        <v>876</v>
      </c>
      <c r="F11" s="83">
        <v>46030</v>
      </c>
      <c r="G11" s="238" t="s">
        <v>323</v>
      </c>
      <c r="H11" s="123" t="s">
        <v>895</v>
      </c>
      <c r="I11" s="8"/>
      <c r="J11" s="8"/>
      <c r="K11" s="99" cm="1">
        <f t="array" ref="K11">IF(OR($B11="",$F11=""),"",WORKDAY.INTL(IF(ISNUMBER($F11),$F11,FECHA.VALOR($F11)),IF(UPPER(TRIM($B11))="AUXILIAR DE COCINA",10,15),1,FESTIVOS!$A$3:$A$1000))</f>
        <v>46045</v>
      </c>
      <c r="L11" s="134">
        <f t="shared" si="2"/>
        <v>46023</v>
      </c>
      <c r="M11" s="99" t="str">
        <f t="shared" si="3"/>
        <v>FUERA DE TIEMPO</v>
      </c>
    </row>
    <row r="12" spans="1:18" ht="15">
      <c r="A12" s="239" t="s">
        <v>896</v>
      </c>
      <c r="B12" s="123" t="s">
        <v>53</v>
      </c>
      <c r="C12" s="47" t="s">
        <v>39</v>
      </c>
      <c r="D12" s="141">
        <v>46035</v>
      </c>
      <c r="E12" s="123" t="s">
        <v>870</v>
      </c>
      <c r="F12" s="83">
        <v>46030</v>
      </c>
      <c r="G12" s="238" t="s">
        <v>323</v>
      </c>
      <c r="H12" s="123" t="s">
        <v>897</v>
      </c>
      <c r="I12" s="8"/>
      <c r="J12" s="8"/>
      <c r="K12" s="99" cm="1">
        <f t="array" ref="K12">IF(OR($B12="",$F12=""),"",WORKDAY.INTL(IF(ISNUMBER($F12),$F12,FECHA.VALOR($F12)),IF(UPPER(TRIM($B12))="AUXILIAR DE COCINA",10,15),1,FESTIVOS!$A$3:$A$1000))</f>
        <v>46045</v>
      </c>
      <c r="L12" s="134">
        <f t="shared" si="2"/>
        <v>46023</v>
      </c>
      <c r="M12" s="99" t="str">
        <f t="shared" si="3"/>
        <v>A TIEMPO</v>
      </c>
    </row>
    <row r="13" spans="1:18" ht="15" hidden="1">
      <c r="A13" s="123" t="s">
        <v>898</v>
      </c>
      <c r="B13" s="123" t="s">
        <v>53</v>
      </c>
      <c r="C13" s="123" t="s">
        <v>39</v>
      </c>
      <c r="D13" s="242">
        <v>46054</v>
      </c>
      <c r="E13" s="123" t="s">
        <v>876</v>
      </c>
      <c r="F13" s="83">
        <v>46031</v>
      </c>
      <c r="G13" s="238"/>
      <c r="H13" s="123" t="s">
        <v>899</v>
      </c>
      <c r="I13" s="8"/>
      <c r="J13" s="8"/>
      <c r="K13" s="99" cm="1">
        <f t="array" ref="K13">IF(OR($B13="",$F13=""),"",WORKDAY.INTL(IF(ISNUMBER($F13),$F13,FECHA.VALOR($F13)),IF(UPPER(TRIM($B13))="AUXILIAR DE COCINA",10,15),1,FESTIVOS!$A$3:$A$1000))</f>
        <v>46048</v>
      </c>
      <c r="L13" s="134">
        <f t="shared" si="2"/>
        <v>46023</v>
      </c>
      <c r="M13" s="99" t="str">
        <f t="shared" si="3"/>
        <v>FUERA DE TIEMPO</v>
      </c>
    </row>
    <row r="14" spans="1:18" ht="15" hidden="1">
      <c r="A14" s="231" t="s">
        <v>900</v>
      </c>
      <c r="B14" s="123" t="s">
        <v>38</v>
      </c>
      <c r="C14" s="47" t="s">
        <v>39</v>
      </c>
      <c r="D14" s="242">
        <v>46045</v>
      </c>
      <c r="E14" s="123" t="s">
        <v>876</v>
      </c>
      <c r="F14" s="83">
        <v>46034</v>
      </c>
      <c r="G14" s="238" t="s">
        <v>901</v>
      </c>
      <c r="H14" s="123" t="s">
        <v>902</v>
      </c>
      <c r="I14" s="8"/>
      <c r="J14" s="8"/>
      <c r="K14" s="99" cm="1">
        <f t="array" ref="K14">IF(OR($B14="",$F14=""),"",WORKDAY.INTL(IF(ISNUMBER($F14),$F14,FECHA.VALOR($F14)),IF(UPPER(TRIM($B14))="AUXILIAR DE COCINA",10,15),1,FESTIVOS!$A$3:$A$1000))</f>
        <v>46055</v>
      </c>
      <c r="L14" s="134">
        <f t="shared" si="2"/>
        <v>46023</v>
      </c>
      <c r="M14" s="99" t="str">
        <f t="shared" si="3"/>
        <v>A TIEMPO</v>
      </c>
    </row>
    <row r="15" spans="1:18" ht="15" hidden="1">
      <c r="A15" s="47" t="s">
        <v>903</v>
      </c>
      <c r="B15" s="47" t="s">
        <v>539</v>
      </c>
      <c r="C15" s="47" t="s">
        <v>39</v>
      </c>
      <c r="D15" s="242">
        <v>46045</v>
      </c>
      <c r="E15" s="123" t="s">
        <v>876</v>
      </c>
      <c r="F15" s="83">
        <v>46037</v>
      </c>
      <c r="G15" s="123"/>
      <c r="H15" s="123" t="s">
        <v>904</v>
      </c>
      <c r="I15" s="74"/>
      <c r="J15" s="74"/>
      <c r="K15" s="70" cm="1">
        <f t="array" ref="K15">IF(OR($B15="",$F15=""),"",WORKDAY.INTL(IF(ISNUMBER($F15),$F15,FECHA.VALOR($F15)),IF(UPPER(TRIM($B15))="AUXILIAR DE COCINA",10,15),1,FESTIVOS!$A$3:$A$1000))</f>
        <v>46058</v>
      </c>
      <c r="L15" s="90">
        <f t="shared" si="2"/>
        <v>46023</v>
      </c>
      <c r="M15" s="70" t="str">
        <f t="shared" si="3"/>
        <v>A TIEMPO</v>
      </c>
    </row>
    <row r="16" spans="1:18" ht="15" hidden="1">
      <c r="A16" s="163" t="s">
        <v>900</v>
      </c>
      <c r="B16" s="163" t="s">
        <v>38</v>
      </c>
      <c r="C16" s="47" t="s">
        <v>39</v>
      </c>
      <c r="D16" s="141">
        <v>46045</v>
      </c>
      <c r="E16" s="123" t="s">
        <v>876</v>
      </c>
      <c r="F16" s="83">
        <v>46035</v>
      </c>
      <c r="G16" s="123"/>
      <c r="H16" s="123" t="s">
        <v>902</v>
      </c>
      <c r="I16" s="8"/>
      <c r="J16" s="8"/>
      <c r="K16" s="99" cm="1">
        <f t="array" ref="K16">IF(OR($B16="",$F16=""),"",WORKDAY.INTL(IF(ISNUMBER($F16),$F16,FECHA.VALOR($F16)),IF(UPPER(TRIM($B16))="AUXILIAR DE COCINA",10,15),1,FESTIVOS!$A$3:$A$1000))</f>
        <v>46056</v>
      </c>
      <c r="L16" s="134">
        <f t="shared" ref="L16:L17" si="4">IF($F16="","",DATE(YEAR(EDATE($F16,IF(DAY($F16)&gt;=17,1,0))),MONTH(EDATE($F16,IF(DAY($F16)&gt;=17,1,0))),1))</f>
        <v>46023</v>
      </c>
      <c r="M16" s="99" t="str">
        <f t="shared" ref="M16:M17" si="5">IF($K16="","",IF(OR($D16="",$D16&lt;$F16),"PENDIENTE",IF($D16&lt;=$K16,"A TIEMPO","FUERA DE TIEMPO")))</f>
        <v>A TIEMPO</v>
      </c>
    </row>
    <row r="17" spans="1:13" ht="15">
      <c r="A17" s="239" t="s">
        <v>905</v>
      </c>
      <c r="B17" s="240" t="s">
        <v>38</v>
      </c>
      <c r="C17" s="47" t="s">
        <v>39</v>
      </c>
      <c r="D17" s="141">
        <v>46046</v>
      </c>
      <c r="E17" s="123" t="s">
        <v>870</v>
      </c>
      <c r="F17" s="83">
        <v>46048</v>
      </c>
      <c r="G17" s="47"/>
      <c r="H17" s="123" t="s">
        <v>906</v>
      </c>
      <c r="I17" s="74"/>
      <c r="J17" s="74"/>
      <c r="K17" s="70" cm="1">
        <f t="array" ref="K17">IF(OR($B17="",$F17=""),"",WORKDAY.INTL(IF(ISNUMBER($F17),$F17,FECHA.VALOR($F17)),IF(UPPER(TRIM($B17))="AUXILIAR DE COCINA",10,15),1,FESTIVOS!$A$3:$A$1000))</f>
        <v>46069</v>
      </c>
      <c r="L17" s="90">
        <f t="shared" si="4"/>
        <v>46054</v>
      </c>
      <c r="M17" s="70" t="str">
        <f t="shared" si="5"/>
        <v>PENDIENTE</v>
      </c>
    </row>
    <row r="18" spans="1:13" ht="15">
      <c r="A18" s="123" t="s">
        <v>907</v>
      </c>
      <c r="B18" s="123" t="s">
        <v>53</v>
      </c>
      <c r="C18" s="123" t="s">
        <v>39</v>
      </c>
      <c r="D18" s="141">
        <v>46047</v>
      </c>
      <c r="E18" s="123" t="s">
        <v>870</v>
      </c>
      <c r="F18" s="142">
        <v>46056</v>
      </c>
      <c r="G18" s="123" t="s">
        <v>323</v>
      </c>
      <c r="H18" s="123" t="s">
        <v>908</v>
      </c>
      <c r="I18" s="8"/>
      <c r="J18" s="8"/>
      <c r="K18" s="99" cm="1">
        <f t="array" ref="K18">IF(OR($B18="",$F18=""),"",WORKDAY.INTL(IF(ISNUMBER($F18),$F18,FECHA.VALOR($F18)),IF(UPPER(TRIM($B18))="AUXILIAR DE COCINA",10,15),1,FESTIVOS!$A$3:$A$1000))</f>
        <v>46070</v>
      </c>
      <c r="L18" s="134">
        <f>IF($F18="","",DATE(YEAR(EDATE($F18,IF(DAY($F18)&gt;=17,1,0))),MONTH(EDATE($F18,IF(DAY($F18)&gt;=17,1,0))),1))</f>
        <v>46054</v>
      </c>
      <c r="M18" s="99" t="str">
        <f>IF($K18="","",IF(OR($D18="",$D18&lt;$F18),"PENDIENTE",IF($D18&lt;=$K18,"A TIEMPO","FUERA DE TIEMPO")))</f>
        <v>PENDIENTE</v>
      </c>
    </row>
    <row r="19" spans="1:13" ht="15" hidden="1">
      <c r="A19" s="123" t="s">
        <v>909</v>
      </c>
      <c r="B19" s="163" t="s">
        <v>38</v>
      </c>
      <c r="C19" s="277" t="s">
        <v>39</v>
      </c>
      <c r="D19" s="141">
        <v>46048</v>
      </c>
      <c r="E19" s="278" t="s">
        <v>876</v>
      </c>
      <c r="F19" s="266">
        <v>46057</v>
      </c>
      <c r="G19" s="280" t="s">
        <v>910</v>
      </c>
      <c r="H19" s="280" t="s">
        <v>911</v>
      </c>
      <c r="I19" s="8"/>
      <c r="J19" s="8"/>
      <c r="K19" s="99" cm="1">
        <f t="array" ref="K19">IF(OR($B19="",$F19=""),"",WORKDAY.INTL(IF(ISNUMBER($F19),$F19,FECHA.VALOR($F19)),IF(UPPER(TRIM($B19))="AUXILIAR DE COCINA",10,15),1,FESTIVOS!$A$3:$A$1000))</f>
        <v>46078</v>
      </c>
      <c r="L19" s="134">
        <f t="shared" ref="L19:L22" si="6">IF($F19="","",DATE(YEAR(EDATE($F19,IF(DAY($F19)&gt;=17,1,0))),MONTH(EDATE($F19,IF(DAY($F19)&gt;=17,1,0))),1))</f>
        <v>46054</v>
      </c>
      <c r="M19" s="99" t="str">
        <f t="shared" ref="M19:M22" si="7">IF($K19="","",IF(OR($D19="",$D19&lt;$F19),"PENDIENTE",IF($D19&lt;=$K19,"A TIEMPO","FUERA DE TIEMPO")))</f>
        <v>PENDIENTE</v>
      </c>
    </row>
    <row r="20" spans="1:13" ht="15">
      <c r="A20" s="123" t="s">
        <v>912</v>
      </c>
      <c r="B20" s="163" t="s">
        <v>38</v>
      </c>
      <c r="C20" s="277" t="s">
        <v>39</v>
      </c>
      <c r="D20" s="141">
        <v>46084</v>
      </c>
      <c r="E20" s="278" t="s">
        <v>870</v>
      </c>
      <c r="F20" s="266">
        <v>46064</v>
      </c>
      <c r="G20" s="123" t="s">
        <v>323</v>
      </c>
      <c r="H20" s="280" t="s">
        <v>908</v>
      </c>
      <c r="I20" s="8"/>
      <c r="J20" s="8"/>
      <c r="K20" s="99" cm="1">
        <f t="array" ref="K20">IF(OR($B20="",$F20=""),"",WORKDAY.INTL(IF(ISNUMBER($F20),$F20,FECHA.VALOR($F20)),IF(UPPER(TRIM($B20))="AUXILIAR DE COCINA",10,15),1,FESTIVOS!$A$3:$A$1000))</f>
        <v>46085</v>
      </c>
      <c r="L20" s="134">
        <f t="shared" si="6"/>
        <v>46054</v>
      </c>
      <c r="M20" s="99" t="str">
        <f t="shared" si="7"/>
        <v>A TIEMPO</v>
      </c>
    </row>
    <row r="21" spans="1:13" ht="15" hidden="1">
      <c r="A21" s="123" t="s">
        <v>913</v>
      </c>
      <c r="B21" s="163" t="s">
        <v>38</v>
      </c>
      <c r="C21" s="277" t="s">
        <v>39</v>
      </c>
      <c r="D21" s="141">
        <v>46050</v>
      </c>
      <c r="E21" s="278" t="s">
        <v>876</v>
      </c>
      <c r="F21" s="279">
        <v>46064</v>
      </c>
      <c r="G21" s="280" t="s">
        <v>910</v>
      </c>
      <c r="H21" s="283" t="s">
        <v>914</v>
      </c>
      <c r="I21" s="8"/>
      <c r="J21" s="8"/>
      <c r="K21" s="99" cm="1">
        <f t="array" ref="K21">IF(OR($B21="",$F21=""),"",WORKDAY.INTL(IF(ISNUMBER($F21),$F21,FECHA.VALOR($F21)),IF(UPPER(TRIM($B21))="AUXILIAR DE COCINA",10,15),1,FESTIVOS!$A$3:$A$1000))</f>
        <v>46085</v>
      </c>
      <c r="L21" s="134">
        <f t="shared" si="6"/>
        <v>46054</v>
      </c>
      <c r="M21" s="99" t="str">
        <f t="shared" si="7"/>
        <v>PENDIENTE</v>
      </c>
    </row>
    <row r="22" spans="1:13" ht="15" hidden="1">
      <c r="A22" s="123" t="s">
        <v>915</v>
      </c>
      <c r="B22" s="163" t="s">
        <v>539</v>
      </c>
      <c r="C22" s="277" t="s">
        <v>39</v>
      </c>
      <c r="D22" s="141">
        <v>46051</v>
      </c>
      <c r="E22" s="278" t="s">
        <v>876</v>
      </c>
      <c r="F22" s="266">
        <v>46076</v>
      </c>
      <c r="G22" s="280" t="s">
        <v>910</v>
      </c>
      <c r="H22" s="281" t="s">
        <v>916</v>
      </c>
      <c r="I22" s="8"/>
      <c r="J22" s="8"/>
      <c r="K22" s="99" cm="1">
        <f t="array" ref="K22">IF(OR($B22="",$F22=""),"",WORKDAY.INTL(IF(ISNUMBER($F22),$F22,FECHA.VALOR($F22)),IF(UPPER(TRIM($B22))="AUXILIAR DE COCINA",10,15),1,FESTIVOS!$A$3:$A$1000))</f>
        <v>46097</v>
      </c>
      <c r="L22" s="134">
        <f t="shared" si="6"/>
        <v>46082</v>
      </c>
      <c r="M22" s="99" t="str">
        <f t="shared" si="7"/>
        <v>PENDIENTE</v>
      </c>
    </row>
    <row r="23" spans="1:13" ht="15" hidden="1">
      <c r="A23" s="47" t="s">
        <v>917</v>
      </c>
      <c r="B23" s="240" t="s">
        <v>539</v>
      </c>
      <c r="C23" s="277" t="s">
        <v>39</v>
      </c>
      <c r="D23" s="141">
        <v>46052</v>
      </c>
      <c r="E23" s="278" t="s">
        <v>876</v>
      </c>
      <c r="F23" s="266">
        <v>46097</v>
      </c>
      <c r="G23" s="280" t="s">
        <v>910</v>
      </c>
      <c r="H23" s="284" t="s">
        <v>918</v>
      </c>
      <c r="I23" s="74"/>
      <c r="J23" s="74"/>
      <c r="K23" s="70"/>
      <c r="L23" s="90"/>
      <c r="M23" s="70"/>
    </row>
    <row r="24" spans="1:13" ht="15" hidden="1">
      <c r="A24" s="47" t="s">
        <v>919</v>
      </c>
      <c r="B24" s="47" t="s">
        <v>38</v>
      </c>
      <c r="C24" s="47" t="s">
        <v>39</v>
      </c>
      <c r="D24" s="141">
        <v>46113</v>
      </c>
      <c r="E24" s="47" t="s">
        <v>876</v>
      </c>
      <c r="F24" s="266">
        <v>46097</v>
      </c>
      <c r="G24" s="280" t="s">
        <v>910</v>
      </c>
      <c r="H24" s="47" t="s">
        <v>920</v>
      </c>
      <c r="I24" s="74"/>
      <c r="J24" s="74"/>
      <c r="K24" s="70" cm="1">
        <f t="array" ref="K24">IF(OR($B24="",$F24=""),"",WORKDAY.INTL(IF(ISNUMBER($F24),$F24,FECHA.VALOR($F24)),IF(UPPER(TRIM($B24))="AUXILIAR DE COCINA",10,15),1,FESTIVOS!$A$3:$A$1000))</f>
        <v>46121</v>
      </c>
      <c r="L24" s="90">
        <f t="shared" ref="L24:L31" si="8">IF($F24="","",DATE(YEAR(EDATE($F24,IF(DAY($F24)&gt;=17,1,0))),MONTH(EDATE($F24,IF(DAY($F24)&gt;=17,1,0))),1))</f>
        <v>46082</v>
      </c>
      <c r="M24" s="70" t="str">
        <f t="shared" ref="M24:M31" si="9">IF($K24="","",IF(OR($D24="",$D24&lt;$F24),"PENDIENTE",IF($D24&lt;=$K24,"A TIEMPO","FUERA DE TIEMPO")))</f>
        <v>A TIEMPO</v>
      </c>
    </row>
    <row r="25" spans="1:13" ht="15" hidden="1">
      <c r="A25" s="123" t="s">
        <v>921</v>
      </c>
      <c r="B25" s="123" t="s">
        <v>53</v>
      </c>
      <c r="C25" s="47" t="s">
        <v>39</v>
      </c>
      <c r="D25" s="143">
        <v>46125</v>
      </c>
      <c r="E25" s="123" t="s">
        <v>876</v>
      </c>
      <c r="F25" s="266">
        <v>46106</v>
      </c>
      <c r="G25" s="123" t="s">
        <v>922</v>
      </c>
      <c r="H25" s="123" t="s">
        <v>923</v>
      </c>
      <c r="I25" s="8"/>
      <c r="J25" s="8"/>
      <c r="K25" s="99" cm="1">
        <f t="array" ref="K25">IF(OR($B25="",$F25=""),"",WORKDAY.INTL(IF(ISNUMBER($F25),$F25,FECHA.VALOR($F25)),IF(UPPER(TRIM($B25))="AUXILIAR DE COCINA",10,15),1,FESTIVOS!$A$3:$A$1000))</f>
        <v>46122</v>
      </c>
      <c r="L25" s="134">
        <f t="shared" si="8"/>
        <v>46113</v>
      </c>
      <c r="M25" s="99" t="str">
        <f t="shared" si="9"/>
        <v>FUERA DE TIEMPO</v>
      </c>
    </row>
    <row r="26" spans="1:13" ht="15">
      <c r="A26" s="123" t="s">
        <v>924</v>
      </c>
      <c r="B26" s="47" t="s">
        <v>53</v>
      </c>
      <c r="C26" s="47" t="s">
        <v>39</v>
      </c>
      <c r="D26" s="141">
        <v>46139</v>
      </c>
      <c r="E26" s="47" t="s">
        <v>870</v>
      </c>
      <c r="F26" s="83">
        <v>46099</v>
      </c>
      <c r="G26" s="47" t="s">
        <v>925</v>
      </c>
      <c r="H26" s="329" t="s">
        <v>926</v>
      </c>
      <c r="I26" s="74"/>
      <c r="J26" s="74"/>
      <c r="K26" s="70" cm="1">
        <f t="array" ref="K26">IF(OR($B26="",$F26=""),"",WORKDAY.INTL(IF(ISNUMBER($F26),$F26,FECHA.VALOR($F26)),IF(UPPER(TRIM($B26))="AUXILIAR DE COCINA",10,15),1,FESTIVOS!$A$3:$A$1000))</f>
        <v>46118</v>
      </c>
      <c r="L26" s="90">
        <f t="shared" si="8"/>
        <v>46113</v>
      </c>
      <c r="M26" s="70" t="str">
        <f t="shared" si="9"/>
        <v>FUERA DE TIEMPO</v>
      </c>
    </row>
    <row r="27" spans="1:13" ht="15" hidden="1">
      <c r="A27" s="123" t="s">
        <v>927</v>
      </c>
      <c r="B27" s="47" t="s">
        <v>38</v>
      </c>
      <c r="C27" s="123" t="s">
        <v>39</v>
      </c>
      <c r="D27" s="143">
        <v>46128</v>
      </c>
      <c r="E27" s="123" t="s">
        <v>876</v>
      </c>
      <c r="F27" s="142">
        <v>46106</v>
      </c>
      <c r="G27" s="123" t="s">
        <v>910</v>
      </c>
      <c r="H27" s="123" t="s">
        <v>928</v>
      </c>
      <c r="I27" s="8"/>
      <c r="J27" s="8"/>
      <c r="K27" s="99" cm="1">
        <f t="array" ref="K27">IF(OR($B27="",$F27=""),"",WORKDAY.INTL(IF(ISNUMBER($F27),$F27,FECHA.VALOR($F27)),IF(UPPER(TRIM($B27))="AUXILIAR DE COCINA",10,15),1,FESTIVOS!$A$3:$A$1000))</f>
        <v>46129</v>
      </c>
      <c r="L27" s="134">
        <f t="shared" si="8"/>
        <v>46113</v>
      </c>
      <c r="M27" s="99" t="str">
        <f t="shared" si="9"/>
        <v>A TIEMPO</v>
      </c>
    </row>
    <row r="28" spans="1:13" ht="15" hidden="1">
      <c r="A28" s="123" t="s">
        <v>929</v>
      </c>
      <c r="B28" s="123" t="s">
        <v>53</v>
      </c>
      <c r="C28" s="47" t="s">
        <v>39</v>
      </c>
      <c r="D28" s="143">
        <v>46125</v>
      </c>
      <c r="E28" s="123" t="s">
        <v>876</v>
      </c>
      <c r="F28" s="142">
        <v>46106</v>
      </c>
      <c r="G28" s="123" t="s">
        <v>910</v>
      </c>
      <c r="H28" s="123" t="s">
        <v>930</v>
      </c>
      <c r="I28" s="8"/>
      <c r="J28" s="8"/>
      <c r="K28" s="99" cm="1">
        <f t="array" ref="K28">IF(OR($B28="",$F28=""),"",WORKDAY.INTL(IF(ISNUMBER($F28),$F28,FECHA.VALOR($F28)),IF(UPPER(TRIM($B28))="AUXILIAR DE COCINA",10,15),1,FESTIVOS!$A$3:$A$1000))</f>
        <v>46122</v>
      </c>
      <c r="L28" s="134">
        <f t="shared" si="8"/>
        <v>46113</v>
      </c>
      <c r="M28" s="99" t="str">
        <f t="shared" si="9"/>
        <v>FUERA DE TIEMPO</v>
      </c>
    </row>
    <row r="29" spans="1:13" ht="15">
      <c r="A29" s="123" t="s">
        <v>931</v>
      </c>
      <c r="B29" s="123" t="s">
        <v>38</v>
      </c>
      <c r="C29" s="123" t="s">
        <v>39</v>
      </c>
      <c r="D29" s="143">
        <v>46128</v>
      </c>
      <c r="E29" s="123" t="s">
        <v>870</v>
      </c>
      <c r="F29" s="142">
        <v>46120</v>
      </c>
      <c r="G29" s="123" t="s">
        <v>871</v>
      </c>
      <c r="H29" s="123" t="s">
        <v>932</v>
      </c>
      <c r="I29" s="8"/>
      <c r="J29" s="8"/>
      <c r="K29" s="99" cm="1">
        <f t="array" ref="K29">IF(OR($B29="",$F29=""),"",WORKDAY.INTL(IF(ISNUMBER($F29),$F29,FECHA.VALOR($F29)),IF(UPPER(TRIM($B29))="AUXILIAR DE COCINA",10,15),1,FESTIVOS!$A$3:$A$1000))</f>
        <v>46141</v>
      </c>
      <c r="L29" s="134">
        <f t="shared" si="8"/>
        <v>46113</v>
      </c>
      <c r="M29" s="99" t="str">
        <f t="shared" si="9"/>
        <v>A TIEMPO</v>
      </c>
    </row>
    <row r="30" spans="1:13" ht="15">
      <c r="A30" s="47" t="s">
        <v>933</v>
      </c>
      <c r="B30" s="47" t="s">
        <v>38</v>
      </c>
      <c r="C30" s="47" t="s">
        <v>39</v>
      </c>
      <c r="D30" s="141">
        <v>46141</v>
      </c>
      <c r="E30" s="47" t="s">
        <v>870</v>
      </c>
      <c r="F30" s="83">
        <v>46125</v>
      </c>
      <c r="G30" s="47" t="s">
        <v>220</v>
      </c>
      <c r="H30" s="329" t="s">
        <v>934</v>
      </c>
      <c r="I30" s="74"/>
      <c r="J30" s="74"/>
      <c r="K30" s="70" cm="1">
        <f t="array" ref="K30">IF(OR($B30="",$F30=""),"",WORKDAY.INTL(IF(ISNUMBER($F30),$F30,FECHA.VALOR($F30)),IF(UPPER(TRIM($B30))="AUXILIAR DE COCINA",10,15),1,FESTIVOS!$A$3:$A$1000))</f>
        <v>46147</v>
      </c>
      <c r="L30" s="90">
        <f t="shared" si="8"/>
        <v>46113</v>
      </c>
      <c r="M30" s="70" t="str">
        <f t="shared" si="9"/>
        <v>A TIEMPO</v>
      </c>
    </row>
    <row r="31" spans="1:13" ht="15">
      <c r="A31" s="123" t="s">
        <v>935</v>
      </c>
      <c r="B31" s="47" t="s">
        <v>53</v>
      </c>
      <c r="C31" s="123" t="s">
        <v>39</v>
      </c>
      <c r="D31" s="143">
        <v>46144</v>
      </c>
      <c r="E31" s="47" t="s">
        <v>870</v>
      </c>
      <c r="F31" s="142">
        <v>46150</v>
      </c>
      <c r="G31" s="123" t="s">
        <v>936</v>
      </c>
      <c r="H31" s="123" t="s">
        <v>937</v>
      </c>
      <c r="I31" s="8"/>
      <c r="J31" s="8"/>
      <c r="K31" s="99" cm="1">
        <f t="array" ref="K31">IF(OR($B31="",$F31=""),"",WORKDAY.INTL(IF(ISNUMBER($F31),$F31,FECHA.VALOR($F31)),IF(UPPER(TRIM($B31))="AUXILIAR DE COCINA",10,15),1,FESTIVOS!$A$3:$A$1000))</f>
        <v>46167</v>
      </c>
      <c r="L31" s="134">
        <f t="shared" si="8"/>
        <v>46143</v>
      </c>
      <c r="M31" s="99" t="str">
        <f t="shared" si="9"/>
        <v>PENDIENTE</v>
      </c>
    </row>
    <row r="32" spans="1:13" ht="15">
      <c r="A32" s="123" t="s">
        <v>938</v>
      </c>
      <c r="B32" s="47" t="s">
        <v>53</v>
      </c>
      <c r="C32" s="123" t="s">
        <v>39</v>
      </c>
      <c r="D32" s="143">
        <v>46148</v>
      </c>
      <c r="E32" s="47" t="s">
        <v>870</v>
      </c>
      <c r="F32" s="142">
        <v>46150</v>
      </c>
      <c r="G32" s="123" t="s">
        <v>936</v>
      </c>
      <c r="H32" s="123" t="s">
        <v>937</v>
      </c>
      <c r="I32" s="8"/>
      <c r="J32" s="8"/>
      <c r="K32" s="99" cm="1">
        <f t="array" ref="K32">IF(OR($B32="",$F32=""),"",WORKDAY.INTL(IF(ISNUMBER($F32),$F32,FECHA.VALOR($F32)),IF(UPPER(TRIM($B32))="AUXILIAR DE COCINA",10,15),1,FESTIVOS!$A$3:$A$1000))</f>
        <v>46167</v>
      </c>
      <c r="L32" s="134">
        <f t="shared" ref="L32:L39" si="10">IF($F32="","",DATE(YEAR(EDATE($F32,IF(DAY($F32)&gt;=17,1,0))),MONTH(EDATE($F32,IF(DAY($F32)&gt;=17,1,0))),1))</f>
        <v>46143</v>
      </c>
      <c r="M32" s="99" t="str">
        <f t="shared" ref="M32:M39" si="11">IF($K32="","",IF(OR($D32="",$D32&lt;$F32),"PENDIENTE",IF($D32&lt;=$K32,"A TIEMPO","FUERA DE TIEMPO")))</f>
        <v>PENDIENTE</v>
      </c>
    </row>
    <row r="33" spans="1:13" ht="15">
      <c r="A33" s="123" t="s">
        <v>939</v>
      </c>
      <c r="B33" s="47" t="s">
        <v>53</v>
      </c>
      <c r="C33" s="123" t="s">
        <v>39</v>
      </c>
      <c r="D33" s="143">
        <v>46162</v>
      </c>
      <c r="E33" s="47" t="s">
        <v>870</v>
      </c>
      <c r="F33" s="142">
        <v>46150</v>
      </c>
      <c r="G33" s="123" t="s">
        <v>936</v>
      </c>
      <c r="H33" s="123" t="s">
        <v>937</v>
      </c>
      <c r="I33" s="8"/>
      <c r="J33" s="8"/>
      <c r="K33" s="99" cm="1">
        <f t="array" ref="K33">IF(OR($B33="",$F33=""),"",WORKDAY.INTL(IF(ISNUMBER($F33),$F33,FECHA.VALOR($F33)),IF(UPPER(TRIM($B33))="AUXILIAR DE COCINA",10,15),1,FESTIVOS!$A$3:$A$1000))</f>
        <v>46167</v>
      </c>
      <c r="L33" s="134">
        <f t="shared" si="10"/>
        <v>46143</v>
      </c>
      <c r="M33" s="99" t="str">
        <f t="shared" si="11"/>
        <v>A TIEMPO</v>
      </c>
    </row>
    <row r="34" spans="1:13" ht="15">
      <c r="A34" s="123" t="s">
        <v>940</v>
      </c>
      <c r="B34" s="47" t="s">
        <v>53</v>
      </c>
      <c r="C34" s="123" t="s">
        <v>39</v>
      </c>
      <c r="D34" s="143">
        <v>46162</v>
      </c>
      <c r="E34" s="47" t="s">
        <v>870</v>
      </c>
      <c r="F34" s="142">
        <v>46150</v>
      </c>
      <c r="G34" s="123" t="s">
        <v>936</v>
      </c>
      <c r="H34" s="123" t="s">
        <v>937</v>
      </c>
      <c r="I34" s="8"/>
      <c r="J34" s="8"/>
      <c r="K34" s="99" cm="1">
        <f t="array" ref="K34">IF(OR($B34="",$F34=""),"",WORKDAY.INTL(IF(ISNUMBER($F34),$F34,FECHA.VALOR($F34)),IF(UPPER(TRIM($B34))="AUXILIAR DE COCINA",10,15),1,FESTIVOS!$A$3:$A$1000))</f>
        <v>46167</v>
      </c>
      <c r="L34" s="134">
        <f t="shared" si="10"/>
        <v>46143</v>
      </c>
      <c r="M34" s="99" t="str">
        <f t="shared" si="11"/>
        <v>A TIEMPO</v>
      </c>
    </row>
    <row r="35" spans="1:13" ht="15">
      <c r="A35" s="123" t="s">
        <v>941</v>
      </c>
      <c r="B35" s="47" t="s">
        <v>53</v>
      </c>
      <c r="C35" s="123" t="s">
        <v>39</v>
      </c>
      <c r="D35" s="143">
        <v>46169</v>
      </c>
      <c r="E35" s="47" t="s">
        <v>870</v>
      </c>
      <c r="F35" s="142">
        <v>46150</v>
      </c>
      <c r="G35" s="123" t="s">
        <v>936</v>
      </c>
      <c r="H35" s="123" t="s">
        <v>937</v>
      </c>
      <c r="I35" s="8"/>
      <c r="J35" s="8"/>
      <c r="K35" s="99" cm="1">
        <f t="array" ref="K35">IF(OR($B35="",$F35=""),"",WORKDAY.INTL(IF(ISNUMBER($F35),$F35,FECHA.VALOR($F35)),IF(UPPER(TRIM($B35))="AUXILIAR DE COCINA",10,15),1,FESTIVOS!$A$3:$A$1000))</f>
        <v>46167</v>
      </c>
      <c r="L35" s="134">
        <f t="shared" si="10"/>
        <v>46143</v>
      </c>
      <c r="M35" s="99" t="str">
        <f t="shared" si="11"/>
        <v>FUERA DE TIEMPO</v>
      </c>
    </row>
    <row r="36" spans="1:13" ht="15">
      <c r="A36" s="123" t="s">
        <v>942</v>
      </c>
      <c r="B36" s="47" t="s">
        <v>600</v>
      </c>
      <c r="C36" s="123" t="s">
        <v>39</v>
      </c>
      <c r="D36" s="143">
        <v>46175</v>
      </c>
      <c r="E36" s="47" t="s">
        <v>870</v>
      </c>
      <c r="F36" s="142">
        <v>46150</v>
      </c>
      <c r="G36" s="123" t="s">
        <v>936</v>
      </c>
      <c r="H36" s="123" t="s">
        <v>937</v>
      </c>
      <c r="I36" s="8"/>
      <c r="J36" s="8"/>
      <c r="K36" s="99" cm="1">
        <f t="array" ref="K36">IF(OR($B36="",$F36=""),"",WORKDAY.INTL(IF(ISNUMBER($F36),$F36,FECHA.VALOR($F36)),IF(UPPER(TRIM($B36))="AUXILIAR DE COCINA",10,15),1,FESTIVOS!$A$3:$A$1000))</f>
        <v>46174</v>
      </c>
      <c r="L36" s="134">
        <f t="shared" si="10"/>
        <v>46143</v>
      </c>
      <c r="M36" s="99" t="str">
        <f t="shared" si="11"/>
        <v>FUERA DE TIEMPO</v>
      </c>
    </row>
    <row r="37" spans="1:13" ht="15">
      <c r="A37" s="351" t="str">
        <f>UPPER("Diego Alejandro patiño romero")</f>
        <v>DIEGO ALEJANDRO PATIÑO ROMERO</v>
      </c>
      <c r="B37" s="47" t="s">
        <v>600</v>
      </c>
      <c r="C37" s="123" t="s">
        <v>39</v>
      </c>
      <c r="D37" s="143">
        <v>46189</v>
      </c>
      <c r="E37" s="47" t="s">
        <v>870</v>
      </c>
      <c r="F37" s="142">
        <v>46150</v>
      </c>
      <c r="G37" s="123" t="s">
        <v>936</v>
      </c>
      <c r="H37" s="123" t="s">
        <v>937</v>
      </c>
      <c r="I37" s="8"/>
      <c r="J37" s="8"/>
      <c r="K37" s="99" cm="1">
        <f t="array" ref="K37">IF(OR($B37="",$F37=""),"",WORKDAY.INTL(IF(ISNUMBER($F37),$F37,FECHA.VALOR($F37)),IF(UPPER(TRIM($B37))="AUXILIAR DE COCINA",10,15),1,FESTIVOS!$A$3:$A$1000))</f>
        <v>46174</v>
      </c>
      <c r="L37" s="134">
        <f t="shared" si="10"/>
        <v>46143</v>
      </c>
      <c r="M37" s="99" t="str">
        <f t="shared" si="11"/>
        <v>FUERA DE TIEMPO</v>
      </c>
    </row>
    <row r="38" spans="1:13" ht="15">
      <c r="A38" s="123" t="s">
        <v>943</v>
      </c>
      <c r="B38" s="123" t="s">
        <v>38</v>
      </c>
      <c r="C38" s="123" t="s">
        <v>39</v>
      </c>
      <c r="D38" s="143">
        <v>46169</v>
      </c>
      <c r="E38" s="47" t="s">
        <v>870</v>
      </c>
      <c r="F38" s="142">
        <v>46150</v>
      </c>
      <c r="G38" s="123" t="s">
        <v>936</v>
      </c>
      <c r="H38" s="123" t="s">
        <v>937</v>
      </c>
      <c r="I38" s="8"/>
      <c r="J38" s="8"/>
      <c r="K38" s="99" cm="1">
        <f t="array" ref="K38">IF(OR($B38="",$F38=""),"",WORKDAY.INTL(IF(ISNUMBER($F38),$F38,FECHA.VALOR($F38)),IF(UPPER(TRIM($B38))="AUXILIAR DE COCINA",10,15),1,FESTIVOS!$A$3:$A$1000))</f>
        <v>46174</v>
      </c>
      <c r="L38" s="134">
        <f t="shared" si="10"/>
        <v>46143</v>
      </c>
      <c r="M38" s="99" t="str">
        <f t="shared" si="11"/>
        <v>A TIEMPO</v>
      </c>
    </row>
    <row r="39" spans="1:13" ht="15">
      <c r="A39" s="123" t="s">
        <v>944</v>
      </c>
      <c r="B39" s="123" t="s">
        <v>38</v>
      </c>
      <c r="C39" s="123" t="s">
        <v>39</v>
      </c>
      <c r="D39" s="143">
        <v>46169</v>
      </c>
      <c r="E39" s="47" t="s">
        <v>870</v>
      </c>
      <c r="F39" s="142">
        <v>46150</v>
      </c>
      <c r="G39" s="123" t="s">
        <v>936</v>
      </c>
      <c r="H39" s="123" t="s">
        <v>937</v>
      </c>
      <c r="I39" s="8"/>
      <c r="J39" s="8"/>
      <c r="K39" s="99" cm="1">
        <f t="array" ref="K39">IF(OR($B39="",$F39=""),"",WORKDAY.INTL(IF(ISNUMBER($F39),$F39,FECHA.VALOR($F39)),IF(UPPER(TRIM($B39))="AUXILIAR DE COCINA",10,15),1,FESTIVOS!$A$3:$A$1000))</f>
        <v>46174</v>
      </c>
      <c r="L39" s="134">
        <f t="shared" si="10"/>
        <v>46143</v>
      </c>
      <c r="M39" s="99" t="str">
        <f t="shared" si="11"/>
        <v>A TIEMPO</v>
      </c>
    </row>
    <row r="40" spans="1:13" ht="15" hidden="1">
      <c r="A40" s="123" t="s">
        <v>945</v>
      </c>
      <c r="B40" s="123" t="s">
        <v>53</v>
      </c>
      <c r="C40" s="123" t="s">
        <v>39</v>
      </c>
      <c r="D40" s="143">
        <v>46156</v>
      </c>
      <c r="E40" s="123" t="s">
        <v>876</v>
      </c>
      <c r="F40" s="142">
        <v>46149</v>
      </c>
      <c r="G40" s="123" t="s">
        <v>946</v>
      </c>
      <c r="H40" s="123" t="s">
        <v>947</v>
      </c>
      <c r="I40" s="8"/>
      <c r="J40" s="8"/>
      <c r="K40" s="99" cm="1">
        <f t="array" ref="K40">IF(OR($B40="",$F40=""),"",WORKDAY.INTL(IF(ISNUMBER($F40),$F40,FECHA.VALOR($F40)),IF(UPPER(TRIM($B40))="AUXILIAR DE COCINA",10,15),1,FESTIVOS!$A$3:$A$1000))</f>
        <v>46164</v>
      </c>
      <c r="L40" s="134">
        <f>IF($F40="","",DATE(YEAR(EDATE($F40,IF(DAY($F40)&gt;=17,1,0))),MONTH(EDATE($F40,IF(DAY($F40)&gt;=17,1,0))),1))</f>
        <v>46143</v>
      </c>
      <c r="M40" s="99" t="str">
        <f>IF($K40="","",IF(OR($D40="",$D40&lt;$F40),"PENDIENTE",IF($D40&lt;=$K40,"A TIEMPO","FUERA DE TIEMPO")))</f>
        <v>A TIEMPO</v>
      </c>
    </row>
    <row r="41" spans="1:13" ht="15" hidden="1">
      <c r="A41" s="123" t="s">
        <v>948</v>
      </c>
      <c r="B41" s="123" t="s">
        <v>53</v>
      </c>
      <c r="C41" s="123" t="s">
        <v>39</v>
      </c>
      <c r="D41" s="143">
        <v>46162</v>
      </c>
      <c r="E41" s="123" t="s">
        <v>876</v>
      </c>
      <c r="F41" s="142">
        <v>46150</v>
      </c>
      <c r="G41" s="123" t="s">
        <v>946</v>
      </c>
      <c r="H41" s="123" t="s">
        <v>929</v>
      </c>
      <c r="I41" s="8"/>
      <c r="J41" s="8"/>
      <c r="K41" s="99" cm="1">
        <f t="array" ref="K41">IF(OR($B41="",$F41=""),"",WORKDAY.INTL(IF(ISNUMBER($F41),$F41,FECHA.VALOR($F41)),IF(UPPER(TRIM($B41))="AUXILIAR DE COCINA",10,15),1,FESTIVOS!$A$3:$A$1000))</f>
        <v>46167</v>
      </c>
      <c r="L41" s="134">
        <f>IF($F41="","",DATE(YEAR(EDATE($F41,IF(DAY($F41)&gt;=17,1,0))),MONTH(EDATE($F41,IF(DAY($F41)&gt;=17,1,0))),1))</f>
        <v>46143</v>
      </c>
      <c r="M41" s="99" t="str">
        <f>IF($K41="","",IF(OR($D41="",$D41&lt;$F41),"PENDIENTE",IF($D41&lt;=$K41,"A TIEMPO","FUERA DE TIEMPO")))</f>
        <v>A TIEMPO</v>
      </c>
    </row>
    <row r="42" spans="1:13" ht="15" hidden="1">
      <c r="A42" s="123" t="s">
        <v>949</v>
      </c>
      <c r="B42" s="123" t="s">
        <v>53</v>
      </c>
      <c r="C42" s="123" t="s">
        <v>39</v>
      </c>
      <c r="D42" s="143">
        <v>46177</v>
      </c>
      <c r="E42" s="123" t="s">
        <v>876</v>
      </c>
      <c r="F42" s="142">
        <v>46161</v>
      </c>
      <c r="G42" s="123" t="s">
        <v>946</v>
      </c>
      <c r="H42" s="123" t="s">
        <v>877</v>
      </c>
      <c r="I42" s="8"/>
      <c r="J42" s="8"/>
      <c r="K42" s="99" cm="1">
        <f t="array" ref="K42">IF(OR($B42="",$F42=""),"",WORKDAY.INTL(IF(ISNUMBER($F42),$F42,FECHA.VALOR($F42)),IF(UPPER(TRIM($B42))="AUXILIAR DE COCINA",10,15),1,FESTIVOS!$A$3:$A$1000))</f>
        <v>46175</v>
      </c>
      <c r="L42" s="134">
        <f>IF($F42="","",DATE(YEAR(EDATE($F42,IF(DAY($F42)&gt;=17,1,0))),MONTH(EDATE($F42,IF(DAY($F42)&gt;=17,1,0))),1))</f>
        <v>46174</v>
      </c>
      <c r="M42" s="99" t="str">
        <f>IF($K42="","",IF(OR($D42="",$D42&lt;$F42),"PENDIENTE",IF($D42&lt;=$K42,"A TIEMPO","FUERA DE TIEMPO")))</f>
        <v>FUERA DE TIEMPO</v>
      </c>
    </row>
    <row r="43" spans="1:13" ht="15">
      <c r="A43" s="123" t="s">
        <v>950</v>
      </c>
      <c r="B43" s="123" t="s">
        <v>53</v>
      </c>
      <c r="C43" s="123" t="s">
        <v>39</v>
      </c>
      <c r="D43" s="143">
        <v>46149</v>
      </c>
      <c r="E43" s="123" t="s">
        <v>870</v>
      </c>
      <c r="F43" s="142">
        <v>46136</v>
      </c>
      <c r="G43" s="123" t="s">
        <v>871</v>
      </c>
      <c r="H43" s="123"/>
      <c r="I43" s="8"/>
      <c r="J43" s="8"/>
      <c r="K43" s="99" cm="1">
        <f t="array" ref="K43">IF(OR($B43="",$F43=""),"",WORKDAY.INTL(IF(ISNUMBER($F43),$F43,FECHA.VALOR($F43)),IF(UPPER(TRIM($B43))="AUXILIAR DE COCINA",10,15),1,FESTIVOS!$A$3:$A$1000))</f>
        <v>46153</v>
      </c>
      <c r="L43" s="134">
        <f t="shared" ref="L43" si="12">IF($F43="","",DATE(YEAR(EDATE($F43,IF(DAY($F43)&gt;=17,1,0))),MONTH(EDATE($F43,IF(DAY($F43)&gt;=17,1,0))),1))</f>
        <v>46143</v>
      </c>
      <c r="M43" s="99" t="str">
        <f t="shared" ref="M43" si="13">IF($K43="","",IF(OR($D43="",$D43&lt;$F43),"PENDIENTE",IF($D43&lt;=$K43,"A TIEMPO","FUERA DE TIEMPO")))</f>
        <v>A TIEMPO</v>
      </c>
    </row>
    <row r="44" spans="1:13" ht="15" hidden="1">
      <c r="A44" s="123" t="s">
        <v>951</v>
      </c>
      <c r="B44" s="123" t="s">
        <v>539</v>
      </c>
      <c r="C44" s="123" t="s">
        <v>39</v>
      </c>
      <c r="D44" s="143">
        <v>46189</v>
      </c>
      <c r="E44" s="123" t="s">
        <v>876</v>
      </c>
      <c r="F44" s="142">
        <v>46170</v>
      </c>
      <c r="G44" s="123" t="s">
        <v>946</v>
      </c>
      <c r="H44" s="123" t="s">
        <v>952</v>
      </c>
      <c r="I44" s="8"/>
      <c r="J44" s="8"/>
      <c r="K44" s="99" cm="1">
        <f t="array" ref="K44">IF(OR($B44="",$F44=""),"",WORKDAY.INTL(IF(ISNUMBER($F44),$F44,FECHA.VALOR($F44)),IF(UPPER(TRIM($B44))="AUXILIAR DE COCINA",10,15),1,FESTIVOS!$A$3:$A$1000))</f>
        <v>46195</v>
      </c>
      <c r="L44" s="134">
        <f t="shared" ref="L44:L63" si="14">IF($F44="","",DATE(YEAR(EDATE($F44,IF(DAY($F44)&gt;=17,1,0))),MONTH(EDATE($F44,IF(DAY($F44)&gt;=17,1,0))),1))</f>
        <v>46174</v>
      </c>
      <c r="M44" s="99" t="str">
        <f t="shared" ref="M44:M63" si="15">IF($K44="","",IF(OR($D44="",$D44&lt;$F44),"PENDIENTE",IF($D44&lt;=$K44,"A TIEMPO","FUERA DE TIEMPO")))</f>
        <v>A TIEMPO</v>
      </c>
    </row>
    <row r="45" spans="1:13" ht="15" hidden="1">
      <c r="A45" s="123" t="s">
        <v>953</v>
      </c>
      <c r="B45" s="123" t="s">
        <v>38</v>
      </c>
      <c r="C45" s="123" t="s">
        <v>39</v>
      </c>
      <c r="D45" s="143">
        <v>46192</v>
      </c>
      <c r="E45" s="123" t="s">
        <v>876</v>
      </c>
      <c r="F45" s="142">
        <v>46175</v>
      </c>
      <c r="G45" s="123" t="s">
        <v>946</v>
      </c>
      <c r="H45" s="123" t="s">
        <v>954</v>
      </c>
      <c r="I45" s="8"/>
      <c r="J45" s="8"/>
      <c r="K45" s="99" cm="1">
        <f t="array" ref="K45">IF(OR($B45="",$F45=""),"",WORKDAY.INTL(IF(ISNUMBER($F45),$F45,FECHA.VALOR($F45)),IF(UPPER(TRIM($B45))="AUXILIAR DE COCINA",10,15),1,FESTIVOS!$A$3:$A$1000))</f>
        <v>46198</v>
      </c>
      <c r="L45" s="134">
        <f t="shared" si="14"/>
        <v>46174</v>
      </c>
      <c r="M45" s="99" t="str">
        <f t="shared" si="15"/>
        <v>A TIEMPO</v>
      </c>
    </row>
    <row r="46" spans="1:13" ht="15" hidden="1">
      <c r="A46" s="123" t="s">
        <v>955</v>
      </c>
      <c r="B46" s="123" t="s">
        <v>53</v>
      </c>
      <c r="C46" s="123" t="s">
        <v>39</v>
      </c>
      <c r="D46" s="143">
        <v>46182</v>
      </c>
      <c r="E46" s="123" t="s">
        <v>876</v>
      </c>
      <c r="F46" s="142">
        <v>46175</v>
      </c>
      <c r="G46" s="123" t="s">
        <v>946</v>
      </c>
      <c r="H46" s="123" t="s">
        <v>956</v>
      </c>
      <c r="I46" s="8"/>
      <c r="J46" s="8"/>
      <c r="K46" s="99" cm="1">
        <f t="array" ref="K46">IF(OR($B46="",$F46=""),"",WORKDAY.INTL(IF(ISNUMBER($F46),$F46,FECHA.VALOR($F46)),IF(UPPER(TRIM($B46))="AUXILIAR DE COCINA",10,15),1,FESTIVOS!$A$3:$A$1000))</f>
        <v>46191</v>
      </c>
      <c r="L46" s="134">
        <f t="shared" si="14"/>
        <v>46174</v>
      </c>
      <c r="M46" s="99" t="str">
        <f t="shared" si="15"/>
        <v>A TIEMPO</v>
      </c>
    </row>
    <row r="47" spans="1:13" ht="15" hidden="1">
      <c r="A47" s="123" t="s">
        <v>957</v>
      </c>
      <c r="B47" s="123" t="s">
        <v>53</v>
      </c>
      <c r="C47" s="123" t="s">
        <v>39</v>
      </c>
      <c r="D47" s="143">
        <v>46183</v>
      </c>
      <c r="E47" s="123" t="s">
        <v>876</v>
      </c>
      <c r="F47" s="142">
        <v>46175</v>
      </c>
      <c r="G47" s="123" t="s">
        <v>946</v>
      </c>
      <c r="H47" s="123" t="s">
        <v>958</v>
      </c>
      <c r="I47" s="8"/>
      <c r="J47" s="8"/>
      <c r="K47" s="99" cm="1">
        <f t="array" ref="K47">IF(OR($B47="",$F47=""),"",WORKDAY.INTL(IF(ISNUMBER($F47),$F47,FECHA.VALOR($F47)),IF(UPPER(TRIM($B47))="AUXILIAR DE COCINA",10,15),1,FESTIVOS!$A$3:$A$1000))</f>
        <v>46191</v>
      </c>
      <c r="L47" s="134">
        <f t="shared" si="14"/>
        <v>46174</v>
      </c>
      <c r="M47" s="99" t="str">
        <f t="shared" si="15"/>
        <v>A TIEMPO</v>
      </c>
    </row>
    <row r="48" spans="1:13" ht="15" hidden="1">
      <c r="A48" s="123" t="s">
        <v>959</v>
      </c>
      <c r="B48" s="123" t="s">
        <v>53</v>
      </c>
      <c r="C48" s="123" t="s">
        <v>39</v>
      </c>
      <c r="D48" s="143">
        <v>46183</v>
      </c>
      <c r="E48" s="123" t="s">
        <v>876</v>
      </c>
      <c r="F48" s="142">
        <v>46175</v>
      </c>
      <c r="G48" s="123" t="s">
        <v>946</v>
      </c>
      <c r="H48" s="123" t="s">
        <v>960</v>
      </c>
      <c r="I48" s="8"/>
      <c r="J48" s="8"/>
      <c r="K48" s="99" cm="1">
        <f t="array" ref="K48">IF(OR($B48="",$F48=""),"",WORKDAY.INTL(IF(ISNUMBER($F48),$F48,FECHA.VALOR($F48)),IF(UPPER(TRIM($B48))="AUXILIAR DE COCINA",10,15),1,FESTIVOS!$A$3:$A$1000))</f>
        <v>46191</v>
      </c>
      <c r="L48" s="134">
        <f t="shared" si="14"/>
        <v>46174</v>
      </c>
      <c r="M48" s="99" t="str">
        <f t="shared" si="15"/>
        <v>A TIEMPO</v>
      </c>
    </row>
    <row r="49" spans="1:13" ht="15" hidden="1">
      <c r="A49" s="123" t="s">
        <v>961</v>
      </c>
      <c r="B49" s="123" t="s">
        <v>38</v>
      </c>
      <c r="C49" s="123" t="s">
        <v>39</v>
      </c>
      <c r="D49" s="143">
        <v>46197</v>
      </c>
      <c r="E49" s="123" t="s">
        <v>876</v>
      </c>
      <c r="F49" s="142">
        <v>46184</v>
      </c>
      <c r="G49" s="123" t="s">
        <v>946</v>
      </c>
      <c r="H49" s="123" t="s">
        <v>444</v>
      </c>
      <c r="I49" s="8"/>
      <c r="J49" s="8"/>
      <c r="K49" s="99" cm="1">
        <f t="array" ref="K49">IF(OR($B49="",$F49=""),"",WORKDAY.INTL(IF(ISNUMBER($F49),$F49,FECHA.VALOR($F49)),IF(UPPER(TRIM($B49))="AUXILIAR DE COCINA",10,15),1,FESTIVOS!$A$3:$A$1000))</f>
        <v>46209</v>
      </c>
      <c r="L49" s="134">
        <f t="shared" si="14"/>
        <v>46174</v>
      </c>
      <c r="M49" s="99" t="str">
        <f t="shared" si="15"/>
        <v>A TIEMPO</v>
      </c>
    </row>
    <row r="50" spans="1:13" ht="15">
      <c r="A50" s="47" t="s">
        <v>962</v>
      </c>
      <c r="B50" s="47" t="s">
        <v>38</v>
      </c>
      <c r="C50" s="47" t="s">
        <v>39</v>
      </c>
      <c r="D50" s="141">
        <v>46199</v>
      </c>
      <c r="E50" s="47" t="s">
        <v>870</v>
      </c>
      <c r="F50" s="83">
        <v>46190</v>
      </c>
      <c r="G50" s="47" t="s">
        <v>936</v>
      </c>
      <c r="H50" s="329" t="s">
        <v>963</v>
      </c>
      <c r="I50" s="74"/>
      <c r="J50" s="74"/>
      <c r="K50" s="70" cm="1">
        <f t="array" ref="K50">IF(OR($B50="",$F50=""),"",WORKDAY.INTL(IF(ISNUMBER($F50),$F50,FECHA.VALOR($F50)),IF(UPPER(TRIM($B50))="AUXILIAR DE COCINA",10,15),1,FESTIVOS!$A$3:$A$1000))</f>
        <v>46212</v>
      </c>
      <c r="L50" s="90">
        <f t="shared" si="14"/>
        <v>46204</v>
      </c>
      <c r="M50" s="70" t="str">
        <f t="shared" si="15"/>
        <v>A TIEMPO</v>
      </c>
    </row>
    <row r="51" spans="1:13" ht="15">
      <c r="A51" s="123" t="s">
        <v>964</v>
      </c>
      <c r="B51" s="123" t="s">
        <v>53</v>
      </c>
      <c r="C51" s="123" t="s">
        <v>39</v>
      </c>
      <c r="D51" s="143">
        <v>46197</v>
      </c>
      <c r="E51" s="47" t="s">
        <v>870</v>
      </c>
      <c r="F51" s="83">
        <v>46190</v>
      </c>
      <c r="G51" s="123" t="s">
        <v>871</v>
      </c>
      <c r="H51" s="123" t="s">
        <v>965</v>
      </c>
      <c r="I51" s="8"/>
      <c r="J51" s="8"/>
      <c r="K51" s="99" cm="1">
        <f t="array" ref="K51">IF(OR($B51="",$F51=""),"",WORKDAY.INTL(IF(ISNUMBER($F51),$F51,FECHA.VALOR($F51)),IF(UPPER(TRIM($B51))="AUXILIAR DE COCINA",10,15),1,FESTIVOS!$A$3:$A$1000))</f>
        <v>46205</v>
      </c>
      <c r="L51" s="134">
        <f t="shared" si="14"/>
        <v>46204</v>
      </c>
      <c r="M51" s="99" t="str">
        <f t="shared" si="15"/>
        <v>A TIEMPO</v>
      </c>
    </row>
    <row r="52" spans="1:13" ht="15">
      <c r="A52" s="47" t="s">
        <v>966</v>
      </c>
      <c r="B52" s="47" t="s">
        <v>53</v>
      </c>
      <c r="C52" s="123" t="s">
        <v>39</v>
      </c>
      <c r="D52" s="141">
        <v>46210</v>
      </c>
      <c r="E52" s="47" t="s">
        <v>870</v>
      </c>
      <c r="F52" s="83">
        <v>46190</v>
      </c>
      <c r="G52" s="47" t="s">
        <v>871</v>
      </c>
      <c r="H52" s="329" t="s">
        <v>967</v>
      </c>
      <c r="I52" s="74"/>
      <c r="J52" s="74"/>
      <c r="K52" s="70" cm="1">
        <f t="array" ref="K52">IF(OR($B52="",$F52=""),"",WORKDAY.INTL(IF(ISNUMBER($F52),$F52,FECHA.VALOR($F52)),IF(UPPER(TRIM($B52))="AUXILIAR DE COCINA",10,15),1,FESTIVOS!$A$3:$A$1000))</f>
        <v>46205</v>
      </c>
      <c r="L52" s="90">
        <f t="shared" si="14"/>
        <v>46204</v>
      </c>
      <c r="M52" s="70" t="str">
        <f t="shared" si="15"/>
        <v>FUERA DE TIEMPO</v>
      </c>
    </row>
    <row r="53" spans="1:13" ht="15">
      <c r="A53" s="123" t="s">
        <v>968</v>
      </c>
      <c r="B53" s="123" t="s">
        <v>600</v>
      </c>
      <c r="C53" s="123" t="s">
        <v>39</v>
      </c>
      <c r="D53" s="143">
        <v>46230</v>
      </c>
      <c r="E53" s="47" t="s">
        <v>870</v>
      </c>
      <c r="F53" s="83">
        <v>46202</v>
      </c>
      <c r="G53" s="123" t="s">
        <v>936</v>
      </c>
      <c r="H53" s="123" t="s">
        <v>877</v>
      </c>
      <c r="I53" s="8"/>
      <c r="J53" s="8"/>
      <c r="K53" s="99" cm="1">
        <f t="array" ref="K53">IF(OR($B53="",$F53=""),"",WORKDAY.INTL(IF(ISNUMBER($F53),$F53,FECHA.VALOR($F53)),IF(UPPER(TRIM($B53))="AUXILIAR DE COCINA",10,15),1,FESTIVOS!$A$3:$A$1000))</f>
        <v>46224</v>
      </c>
      <c r="L53" s="134">
        <f t="shared" si="14"/>
        <v>46204</v>
      </c>
      <c r="M53" s="99" t="str">
        <f t="shared" si="15"/>
        <v>FUERA DE TIEMPO</v>
      </c>
    </row>
    <row r="54" spans="1:13" ht="15">
      <c r="A54" s="47" t="s">
        <v>969</v>
      </c>
      <c r="B54" s="123" t="s">
        <v>53</v>
      </c>
      <c r="C54" s="123" t="s">
        <v>39</v>
      </c>
      <c r="D54" s="141">
        <v>46212</v>
      </c>
      <c r="E54" s="47" t="s">
        <v>870</v>
      </c>
      <c r="F54" s="83">
        <v>46205</v>
      </c>
      <c r="G54" s="47" t="s">
        <v>871</v>
      </c>
      <c r="H54" s="123" t="s">
        <v>964</v>
      </c>
      <c r="I54" s="74"/>
      <c r="J54" s="74"/>
      <c r="K54" s="70" cm="1">
        <f t="array" ref="K54">IF(OR($B54="",$F54=""),"",WORKDAY.INTL(IF(ISNUMBER($F54),$F54,FECHA.VALOR($F54)),IF(UPPER(TRIM($B54))="AUXILIAR DE COCINA",10,15),1,FESTIVOS!$A$3:$A$1000))</f>
        <v>46219</v>
      </c>
      <c r="L54" s="90">
        <f t="shared" si="14"/>
        <v>46204</v>
      </c>
      <c r="M54" s="70" t="str">
        <f t="shared" si="15"/>
        <v>A TIEMPO</v>
      </c>
    </row>
    <row r="55" spans="1:13" ht="15">
      <c r="A55" s="123"/>
      <c r="B55" s="123" t="s">
        <v>53</v>
      </c>
      <c r="C55" s="123"/>
      <c r="D55" s="143"/>
      <c r="E55" s="123" t="s">
        <v>870</v>
      </c>
      <c r="F55" s="142">
        <v>46209</v>
      </c>
      <c r="G55" s="123" t="s">
        <v>936</v>
      </c>
      <c r="H55" s="123" t="s">
        <v>970</v>
      </c>
      <c r="I55" s="8"/>
      <c r="J55" s="8"/>
      <c r="K55" s="99" cm="1">
        <f t="array" ref="K55">IF(OR($B55="",$F55=""),"",WORKDAY.INTL(IF(ISNUMBER($F55),$F55,FECHA.VALOR($F55)),IF(UPPER(TRIM($B55))="AUXILIAR DE COCINA",10,15),1,FESTIVOS!$A$3:$A$1000))</f>
        <v>46224</v>
      </c>
      <c r="L55" s="134">
        <f t="shared" si="14"/>
        <v>46204</v>
      </c>
      <c r="M55" s="99" t="str">
        <f t="shared" si="15"/>
        <v>PENDIENTE</v>
      </c>
    </row>
    <row r="56" spans="1:13" ht="15" hidden="1">
      <c r="A56" s="123"/>
      <c r="B56" s="123" t="s">
        <v>38</v>
      </c>
      <c r="C56" s="123"/>
      <c r="D56" s="143"/>
      <c r="E56" s="123" t="s">
        <v>876</v>
      </c>
      <c r="F56" s="142">
        <v>46216</v>
      </c>
      <c r="G56" s="123" t="s">
        <v>946</v>
      </c>
      <c r="H56" s="123" t="s">
        <v>961</v>
      </c>
      <c r="I56" s="8"/>
      <c r="J56" s="8"/>
      <c r="K56" s="99" cm="1">
        <f t="array" ref="K56">IF(OR($B56="",$F56=""),"",WORKDAY.INTL(IF(ISNUMBER($F56),$F56,FECHA.VALOR($F56)),IF(UPPER(TRIM($B56))="AUXILIAR DE COCINA",10,15),1,FESTIVOS!$A$3:$A$1000))</f>
        <v>46238</v>
      </c>
      <c r="L56" s="134">
        <f t="shared" si="14"/>
        <v>46204</v>
      </c>
      <c r="M56" s="99" t="str">
        <f t="shared" si="15"/>
        <v>PENDIENTE</v>
      </c>
    </row>
    <row r="57" spans="1:13" ht="15" hidden="1">
      <c r="A57" s="123" t="s">
        <v>971</v>
      </c>
      <c r="B57" s="123" t="s">
        <v>53</v>
      </c>
      <c r="C57" s="123" t="s">
        <v>39</v>
      </c>
      <c r="D57" s="143">
        <v>46218</v>
      </c>
      <c r="E57" s="123" t="s">
        <v>876</v>
      </c>
      <c r="F57" s="142">
        <v>46219</v>
      </c>
      <c r="G57" s="123" t="s">
        <v>946</v>
      </c>
      <c r="H57" s="47" t="s">
        <v>878</v>
      </c>
      <c r="I57" s="8"/>
      <c r="J57" s="8"/>
      <c r="K57" s="99" cm="1">
        <f t="array" ref="K57">IF(OR($B57="",$F57=""),"",WORKDAY.INTL(IF(ISNUMBER($F57),$F57,FECHA.VALOR($F57)),IF(UPPER(TRIM($B57))="AUXILIAR DE COCINA",10,15),1,FESTIVOS!$A$3:$A$1000))</f>
        <v>46234</v>
      </c>
      <c r="L57" s="134">
        <f t="shared" si="14"/>
        <v>46204</v>
      </c>
      <c r="M57" s="99" t="str">
        <f t="shared" si="15"/>
        <v>PENDIENTE</v>
      </c>
    </row>
    <row r="58" spans="1:13" ht="15">
      <c r="A58" s="123" t="s">
        <v>972</v>
      </c>
      <c r="B58" s="123" t="s">
        <v>53</v>
      </c>
      <c r="C58" s="123" t="s">
        <v>39</v>
      </c>
      <c r="D58" s="141">
        <v>46212</v>
      </c>
      <c r="E58" s="47" t="s">
        <v>870</v>
      </c>
      <c r="F58" s="142">
        <v>46205</v>
      </c>
      <c r="G58" s="47" t="s">
        <v>871</v>
      </c>
      <c r="H58" s="123" t="s">
        <v>973</v>
      </c>
      <c r="I58" s="8"/>
      <c r="J58" s="8"/>
      <c r="K58" s="99" cm="1">
        <f t="array" ref="K58">IF(OR($B58="",$F58=""),"",WORKDAY.INTL(IF(ISNUMBER($F58),$F58,FECHA.VALOR($F58)),IF(UPPER(TRIM($B58))="AUXILIAR DE COCINA",10,15),1,FESTIVOS!$A$3:$A$1000))</f>
        <v>46219</v>
      </c>
      <c r="L58" s="134">
        <f t="shared" si="14"/>
        <v>46204</v>
      </c>
      <c r="M58" s="99" t="str">
        <f t="shared" si="15"/>
        <v>A TIEMPO</v>
      </c>
    </row>
    <row r="59" spans="1:13" ht="15">
      <c r="A59" s="123"/>
      <c r="B59" s="123" t="s">
        <v>600</v>
      </c>
      <c r="C59" s="123"/>
      <c r="D59" s="143"/>
      <c r="E59" s="47" t="s">
        <v>870</v>
      </c>
      <c r="F59" s="142">
        <v>46224</v>
      </c>
      <c r="G59" s="123"/>
      <c r="H59" s="123" t="s">
        <v>974</v>
      </c>
      <c r="I59" s="8"/>
      <c r="J59" s="8"/>
      <c r="K59" s="99" cm="1">
        <f t="array" ref="K59">IF(OR($B59="",$F59=""),"",WORKDAY.INTL(IF(ISNUMBER($F59),$F59,FECHA.VALOR($F59)),IF(UPPER(TRIM($B59))="AUXILIAR DE COCINA",10,15),1,FESTIVOS!$A$3:$A$1000))</f>
        <v>46246</v>
      </c>
      <c r="L59" s="134">
        <f t="shared" si="14"/>
        <v>46235</v>
      </c>
      <c r="M59" s="99" t="str">
        <f t="shared" si="15"/>
        <v>PENDIENTE</v>
      </c>
    </row>
    <row r="60" spans="1:13" ht="15" hidden="1">
      <c r="A60" s="123"/>
      <c r="B60" s="123" t="s">
        <v>600</v>
      </c>
      <c r="C60" s="123"/>
      <c r="D60" s="143"/>
      <c r="E60" s="123" t="s">
        <v>40</v>
      </c>
      <c r="F60" s="142"/>
      <c r="G60" s="123"/>
      <c r="H60" s="123" t="s">
        <v>975</v>
      </c>
      <c r="I60" s="8"/>
      <c r="J60" s="8"/>
      <c r="K60" s="99" t="str" cm="1">
        <f t="array" ref="K60">IF(OR($B60="",$F60=""),"",WORKDAY.INTL(IF(ISNUMBER($F60),$F60,FECHA.VALOR($F60)),IF(UPPER(TRIM($B60))="AUXILIAR DE COCINA",10,15),1,FESTIVOS!$A$3:$A$1000))</f>
        <v/>
      </c>
      <c r="L60" s="134" t="str">
        <f t="shared" si="14"/>
        <v/>
      </c>
      <c r="M60" s="99" t="str">
        <f t="shared" si="15"/>
        <v/>
      </c>
    </row>
    <row r="61" spans="1:13" ht="15" hidden="1">
      <c r="A61" s="123"/>
      <c r="B61" s="123" t="s">
        <v>53</v>
      </c>
      <c r="C61" s="123"/>
      <c r="D61" s="143"/>
      <c r="E61" s="123" t="s">
        <v>40</v>
      </c>
      <c r="F61" s="142"/>
      <c r="G61" s="123"/>
      <c r="H61" s="123" t="s">
        <v>975</v>
      </c>
      <c r="I61" s="8"/>
      <c r="J61" s="8"/>
      <c r="K61" s="99" t="str" cm="1">
        <f t="array" ref="K61">IF(OR($B61="",$F61=""),"",WORKDAY.INTL(IF(ISNUMBER($F61),$F61,FECHA.VALOR($F61)),IF(UPPER(TRIM($B61))="AUXILIAR DE COCINA",10,15),1,FESTIVOS!$A$3:$A$1000))</f>
        <v/>
      </c>
      <c r="L61" s="134" t="str">
        <f t="shared" si="14"/>
        <v/>
      </c>
      <c r="M61" s="99" t="str">
        <f t="shared" si="15"/>
        <v/>
      </c>
    </row>
    <row r="62" spans="1:13" ht="15">
      <c r="A62" s="123"/>
      <c r="B62" s="123" t="s">
        <v>600</v>
      </c>
      <c r="C62" s="123"/>
      <c r="D62" s="143"/>
      <c r="E62" s="47" t="s">
        <v>870</v>
      </c>
      <c r="F62" s="142">
        <v>46224</v>
      </c>
      <c r="G62" s="123"/>
      <c r="H62" s="123" t="s">
        <v>975</v>
      </c>
      <c r="I62" s="8"/>
      <c r="J62" s="8"/>
      <c r="K62" s="99" cm="1">
        <f t="array" ref="K62">IF(OR($B62="",$F62=""),"",WORKDAY.INTL(IF(ISNUMBER($F62),$F62,FECHA.VALOR($F62)),IF(UPPER(TRIM($B62))="AUXILIAR DE COCINA",10,15),1,FESTIVOS!$A$3:$A$1000))</f>
        <v>46246</v>
      </c>
      <c r="L62" s="134">
        <f t="shared" si="14"/>
        <v>46235</v>
      </c>
      <c r="M62" s="99" t="str">
        <f t="shared" si="15"/>
        <v>PENDIENTE</v>
      </c>
    </row>
    <row r="63" spans="1:13" ht="15">
      <c r="A63" s="123"/>
      <c r="B63" s="123" t="s">
        <v>53</v>
      </c>
      <c r="C63" s="123"/>
      <c r="D63" s="143"/>
      <c r="E63" s="47" t="s">
        <v>870</v>
      </c>
      <c r="F63" s="142">
        <v>46224</v>
      </c>
      <c r="G63" s="123"/>
      <c r="H63" s="123" t="s">
        <v>975</v>
      </c>
      <c r="I63" s="8"/>
      <c r="J63" s="8"/>
      <c r="K63" s="99" cm="1">
        <f t="array" ref="K63">IF(OR($B63="",$F63=""),"",WORKDAY.INTL(IF(ISNUMBER($F63),$F63,FECHA.VALOR($F63)),IF(UPPER(TRIM($B63))="AUXILIAR DE COCINA",10,15),1,FESTIVOS!$A$3:$A$1000))</f>
        <v>46238</v>
      </c>
      <c r="L63" s="134">
        <f t="shared" si="14"/>
        <v>46235</v>
      </c>
      <c r="M63" s="99" t="str">
        <f t="shared" si="15"/>
        <v>PENDIENTE</v>
      </c>
    </row>
    <row r="64" spans="1:13">
      <c r="A64" s="127"/>
      <c r="B64" s="128"/>
      <c r="C64" s="2"/>
      <c r="D64" s="121"/>
      <c r="E64" s="2"/>
      <c r="F64" s="129"/>
      <c r="G64" s="123"/>
      <c r="H64" s="2"/>
    </row>
    <row r="65" spans="1:8">
      <c r="A65" s="127"/>
      <c r="B65" s="128"/>
      <c r="C65" s="2"/>
      <c r="D65" s="121"/>
      <c r="E65" s="2"/>
      <c r="F65" s="129"/>
      <c r="G65" s="123"/>
      <c r="H65" s="2"/>
    </row>
    <row r="66" spans="1:8">
      <c r="A66" s="127"/>
      <c r="B66" s="128"/>
      <c r="C66" s="2"/>
      <c r="D66" s="121"/>
      <c r="E66" s="2"/>
      <c r="F66" s="129"/>
      <c r="G66" s="123"/>
      <c r="H66" s="2"/>
    </row>
    <row r="67" spans="1:8">
      <c r="A67" s="127"/>
      <c r="B67" s="128"/>
      <c r="C67" s="2"/>
      <c r="D67" s="121"/>
      <c r="E67" s="2"/>
      <c r="F67" s="129"/>
      <c r="G67" s="123"/>
      <c r="H67" s="2"/>
    </row>
    <row r="68" spans="1:8">
      <c r="A68" s="127"/>
      <c r="B68" s="128"/>
      <c r="C68" s="2"/>
      <c r="D68" s="121"/>
      <c r="E68" s="2"/>
      <c r="F68" s="129"/>
      <c r="G68" s="123"/>
      <c r="H68" s="2"/>
    </row>
    <row r="69" spans="1:8" ht="15">
      <c r="A69" s="130"/>
      <c r="B69" s="2"/>
      <c r="C69" s="131"/>
      <c r="D69" s="121"/>
      <c r="E69" s="2"/>
      <c r="F69" s="122"/>
      <c r="G69" s="123"/>
      <c r="H69" s="131"/>
    </row>
    <row r="70" spans="1:8">
      <c r="A70" s="127"/>
      <c r="B70" s="128"/>
      <c r="C70" s="2"/>
      <c r="D70" s="121"/>
      <c r="E70" s="2"/>
      <c r="F70" s="129"/>
      <c r="G70" s="123"/>
      <c r="H70" s="2"/>
    </row>
    <row r="71" spans="1:8">
      <c r="A71" s="127"/>
      <c r="B71" s="128"/>
      <c r="C71" s="2"/>
      <c r="D71" s="121"/>
      <c r="E71" s="2"/>
      <c r="F71" s="129"/>
      <c r="G71" s="123"/>
      <c r="H71" s="2"/>
    </row>
    <row r="72" spans="1:8">
      <c r="A72" s="127"/>
      <c r="B72" s="128"/>
      <c r="C72" s="2"/>
      <c r="D72" s="121"/>
      <c r="E72" s="2"/>
      <c r="F72" s="129"/>
      <c r="G72" s="123"/>
      <c r="H72" s="2"/>
    </row>
    <row r="73" spans="1:8">
      <c r="A73" s="127"/>
      <c r="B73" s="128"/>
      <c r="C73" s="2"/>
      <c r="D73" s="121"/>
      <c r="E73" s="2"/>
      <c r="F73" s="129"/>
      <c r="G73" s="123"/>
      <c r="H73" s="2"/>
    </row>
    <row r="74" spans="1:8">
      <c r="A74" s="127"/>
      <c r="B74" s="128"/>
      <c r="C74" s="2"/>
      <c r="D74" s="121"/>
      <c r="E74" s="2"/>
      <c r="F74" s="129"/>
      <c r="G74" s="123"/>
      <c r="H74" s="2"/>
    </row>
    <row r="75" spans="1:8">
      <c r="A75" s="127"/>
      <c r="B75" s="128"/>
      <c r="C75" s="2"/>
      <c r="D75" s="121"/>
      <c r="E75" s="2"/>
      <c r="F75" s="129"/>
      <c r="G75" s="123"/>
      <c r="H75" s="2"/>
    </row>
    <row r="76" spans="1:8">
      <c r="A76" s="127"/>
      <c r="B76" s="128"/>
      <c r="C76" s="2"/>
      <c r="D76" s="121"/>
      <c r="E76" s="2"/>
      <c r="F76" s="129"/>
      <c r="G76" s="123"/>
      <c r="H76" s="2"/>
    </row>
    <row r="77" spans="1:8">
      <c r="A77" s="127"/>
      <c r="B77" s="128"/>
      <c r="C77" s="2"/>
      <c r="D77" s="121"/>
      <c r="E77" s="2"/>
      <c r="F77" s="129"/>
      <c r="G77" s="123"/>
      <c r="H77" s="2"/>
    </row>
    <row r="78" spans="1:8">
      <c r="A78" s="127"/>
      <c r="B78" s="128"/>
      <c r="C78" s="2"/>
      <c r="D78" s="121"/>
      <c r="E78" s="2"/>
      <c r="F78" s="129"/>
      <c r="G78" s="123"/>
      <c r="H78" s="2"/>
    </row>
    <row r="79" spans="1:8">
      <c r="A79" s="127"/>
      <c r="B79" s="128"/>
      <c r="C79" s="2"/>
      <c r="D79" s="121"/>
      <c r="E79" s="2"/>
      <c r="F79" s="129"/>
      <c r="G79" s="123"/>
      <c r="H79" s="2"/>
    </row>
    <row r="80" spans="1:8">
      <c r="A80" s="127"/>
      <c r="B80" s="128"/>
      <c r="C80" s="2"/>
      <c r="D80" s="121"/>
      <c r="E80" s="2"/>
      <c r="F80" s="129"/>
      <c r="G80" s="123"/>
      <c r="H80" s="2"/>
    </row>
    <row r="81" spans="1:8">
      <c r="A81" s="127"/>
      <c r="B81" s="128"/>
      <c r="C81" s="2"/>
      <c r="D81" s="121"/>
      <c r="E81" s="2"/>
      <c r="F81" s="129"/>
      <c r="G81" s="123"/>
      <c r="H81" s="2"/>
    </row>
    <row r="82" spans="1:8">
      <c r="A82" s="127"/>
      <c r="B82" s="128"/>
      <c r="C82" s="2"/>
      <c r="D82" s="121"/>
      <c r="E82" s="2"/>
      <c r="F82" s="129"/>
      <c r="G82" s="123"/>
      <c r="H82" s="2"/>
    </row>
    <row r="83" spans="1:8">
      <c r="A83" s="127"/>
      <c r="B83" s="128"/>
      <c r="C83" s="2"/>
      <c r="D83" s="121"/>
      <c r="E83" s="2"/>
      <c r="F83" s="129"/>
      <c r="G83" s="123"/>
      <c r="H83" s="2"/>
    </row>
    <row r="84" spans="1:8">
      <c r="A84" s="127"/>
      <c r="B84" s="128"/>
      <c r="C84" s="2"/>
      <c r="D84" s="121"/>
      <c r="E84" s="2"/>
      <c r="F84" s="129"/>
      <c r="G84" s="123"/>
      <c r="H84" s="2"/>
    </row>
    <row r="85" spans="1:8">
      <c r="A85" s="127"/>
      <c r="B85" s="128"/>
      <c r="C85" s="2"/>
      <c r="D85" s="121"/>
      <c r="E85" s="2"/>
      <c r="F85" s="129"/>
      <c r="G85" s="123"/>
      <c r="H85" s="2"/>
    </row>
    <row r="86" spans="1:8">
      <c r="A86" s="127"/>
      <c r="B86" s="128"/>
      <c r="C86" s="2"/>
      <c r="D86" s="121"/>
      <c r="E86" s="2"/>
      <c r="F86" s="129"/>
      <c r="G86" s="123"/>
      <c r="H86" s="2"/>
    </row>
    <row r="87" spans="1:8">
      <c r="A87" s="127"/>
      <c r="B87" s="128"/>
      <c r="C87" s="2"/>
      <c r="D87" s="121"/>
      <c r="E87" s="2"/>
      <c r="F87" s="129"/>
      <c r="G87" s="123"/>
      <c r="H87" s="2"/>
    </row>
    <row r="88" spans="1:8">
      <c r="A88" s="127"/>
      <c r="B88" s="128"/>
      <c r="C88" s="2"/>
      <c r="D88" s="121"/>
      <c r="E88" s="2"/>
      <c r="F88" s="129"/>
      <c r="G88" s="123"/>
      <c r="H88" s="2"/>
    </row>
    <row r="89" spans="1:8">
      <c r="A89" s="127"/>
      <c r="B89" s="128"/>
      <c r="C89" s="2"/>
      <c r="D89" s="121"/>
      <c r="E89" s="2"/>
      <c r="F89" s="129"/>
      <c r="G89" s="123"/>
      <c r="H89" s="2"/>
    </row>
    <row r="90" spans="1:8">
      <c r="A90" s="127"/>
      <c r="B90" s="128"/>
      <c r="C90" s="2"/>
      <c r="D90" s="121"/>
      <c r="E90" s="2"/>
      <c r="F90" s="129"/>
      <c r="G90" s="123"/>
      <c r="H90" s="2"/>
    </row>
    <row r="91" spans="1:8">
      <c r="A91" s="127"/>
      <c r="B91" s="128"/>
      <c r="C91" s="2"/>
      <c r="D91" s="121"/>
      <c r="E91" s="2"/>
      <c r="F91" s="129"/>
      <c r="G91" s="123"/>
      <c r="H91" s="2"/>
    </row>
    <row r="92" spans="1:8">
      <c r="A92" s="127"/>
      <c r="B92" s="128"/>
      <c r="C92" s="2"/>
      <c r="D92" s="121"/>
      <c r="E92" s="2"/>
      <c r="F92" s="129"/>
      <c r="G92" s="123"/>
      <c r="H92" s="2"/>
    </row>
    <row r="93" spans="1:8">
      <c r="A93" s="127"/>
      <c r="B93" s="128"/>
      <c r="C93" s="2"/>
      <c r="D93" s="121"/>
      <c r="E93" s="2"/>
      <c r="F93" s="129"/>
      <c r="G93" s="123"/>
      <c r="H93" s="2"/>
    </row>
    <row r="94" spans="1:8">
      <c r="A94" s="127"/>
      <c r="B94" s="128"/>
      <c r="C94" s="2"/>
      <c r="D94" s="121"/>
      <c r="E94" s="2"/>
      <c r="F94" s="129"/>
      <c r="G94" s="123"/>
      <c r="H94" s="2"/>
    </row>
    <row r="95" spans="1:8">
      <c r="A95" s="127"/>
      <c r="B95" s="128"/>
      <c r="C95" s="2"/>
      <c r="D95" s="121"/>
      <c r="E95" s="2"/>
      <c r="F95" s="129"/>
      <c r="G95" s="123"/>
      <c r="H95" s="2"/>
    </row>
    <row r="96" spans="1:8">
      <c r="A96" s="127"/>
      <c r="B96" s="128"/>
      <c r="C96" s="2"/>
      <c r="D96" s="121"/>
      <c r="E96" s="2"/>
      <c r="F96" s="129"/>
      <c r="G96" s="123"/>
      <c r="H96" s="2"/>
    </row>
    <row r="97" spans="1:8">
      <c r="A97" s="127"/>
      <c r="B97" s="128"/>
      <c r="C97" s="2"/>
      <c r="D97" s="121"/>
      <c r="E97" s="2"/>
      <c r="F97" s="129"/>
      <c r="G97" s="123"/>
      <c r="H97" s="2"/>
    </row>
    <row r="98" spans="1:8">
      <c r="A98" s="127"/>
      <c r="B98" s="128"/>
      <c r="C98" s="2"/>
      <c r="D98" s="121"/>
      <c r="E98" s="2"/>
      <c r="F98" s="129"/>
      <c r="G98" s="123"/>
      <c r="H98" s="2"/>
    </row>
    <row r="99" spans="1:8">
      <c r="A99" s="127"/>
      <c r="B99" s="128"/>
      <c r="C99" s="2"/>
      <c r="D99" s="121"/>
      <c r="E99" s="2"/>
      <c r="F99" s="129"/>
      <c r="G99" s="123"/>
      <c r="H99" s="2"/>
    </row>
    <row r="100" spans="1:8">
      <c r="A100" s="127"/>
      <c r="B100" s="128"/>
      <c r="C100" s="2"/>
      <c r="D100" s="121"/>
      <c r="E100" s="2"/>
      <c r="F100" s="129"/>
      <c r="G100" s="123"/>
      <c r="H100" s="2"/>
    </row>
    <row r="101" spans="1:8">
      <c r="A101" s="127"/>
      <c r="B101" s="128"/>
      <c r="C101" s="2"/>
      <c r="D101" s="121"/>
      <c r="E101" s="2"/>
      <c r="F101" s="129"/>
      <c r="G101" s="123"/>
      <c r="H101" s="2"/>
    </row>
    <row r="102" spans="1:8">
      <c r="A102" s="127"/>
      <c r="B102" s="128"/>
      <c r="C102" s="2"/>
      <c r="D102" s="121"/>
      <c r="E102" s="2"/>
      <c r="F102" s="129"/>
      <c r="G102" s="123"/>
      <c r="H102" s="2"/>
    </row>
    <row r="103" spans="1:8">
      <c r="A103" s="127"/>
      <c r="B103" s="128"/>
      <c r="C103" s="2"/>
      <c r="D103" s="121"/>
      <c r="E103" s="2"/>
      <c r="F103" s="129"/>
      <c r="G103" s="123"/>
      <c r="H103" s="2"/>
    </row>
    <row r="104" spans="1:8">
      <c r="A104" s="127"/>
      <c r="B104" s="128"/>
      <c r="C104" s="2"/>
      <c r="D104" s="121"/>
      <c r="E104" s="2"/>
      <c r="F104" s="129"/>
      <c r="G104" s="123"/>
      <c r="H104" s="2"/>
    </row>
    <row r="105" spans="1:8">
      <c r="A105" s="127"/>
      <c r="B105" s="128"/>
      <c r="C105" s="2"/>
      <c r="D105" s="121"/>
      <c r="E105" s="2"/>
      <c r="F105" s="129"/>
      <c r="G105" s="123"/>
      <c r="H105" s="2"/>
    </row>
    <row r="106" spans="1:8">
      <c r="A106" s="127"/>
      <c r="B106" s="128"/>
      <c r="C106" s="2"/>
      <c r="D106" s="121"/>
      <c r="E106" s="2"/>
      <c r="F106" s="129"/>
      <c r="G106" s="123"/>
      <c r="H106" s="2"/>
    </row>
    <row r="107" spans="1:8">
      <c r="A107" s="127"/>
      <c r="B107" s="128"/>
      <c r="C107" s="2"/>
      <c r="D107" s="121"/>
      <c r="E107" s="2"/>
      <c r="F107" s="129"/>
      <c r="G107" s="123"/>
      <c r="H107" s="2"/>
    </row>
    <row r="108" spans="1:8">
      <c r="A108" s="127"/>
      <c r="B108" s="128"/>
      <c r="C108" s="2"/>
      <c r="D108" s="121"/>
      <c r="E108" s="2"/>
      <c r="F108" s="129"/>
      <c r="G108" s="123"/>
      <c r="H108" s="2"/>
    </row>
    <row r="109" spans="1:8">
      <c r="A109" s="127"/>
      <c r="B109" s="128"/>
      <c r="C109" s="2"/>
      <c r="D109" s="121"/>
      <c r="E109" s="2"/>
      <c r="F109" s="129"/>
      <c r="G109" s="123"/>
      <c r="H109" s="2"/>
    </row>
    <row r="110" spans="1:8">
      <c r="A110" s="127"/>
      <c r="B110" s="128"/>
      <c r="C110" s="2"/>
      <c r="D110" s="121"/>
      <c r="E110" s="2"/>
      <c r="F110" s="129"/>
      <c r="G110" s="123"/>
      <c r="H110" s="2"/>
    </row>
    <row r="111" spans="1:8">
      <c r="A111" s="127"/>
      <c r="B111" s="128"/>
      <c r="C111" s="2"/>
      <c r="D111" s="121"/>
      <c r="E111" s="2"/>
      <c r="F111" s="129"/>
      <c r="G111" s="123"/>
      <c r="H111" s="2"/>
    </row>
    <row r="112" spans="1:8">
      <c r="A112" s="127"/>
      <c r="B112" s="128"/>
      <c r="C112" s="2"/>
      <c r="D112" s="121"/>
      <c r="E112" s="2"/>
      <c r="F112" s="129"/>
      <c r="G112" s="123"/>
      <c r="H112" s="2"/>
    </row>
    <row r="113" spans="1:8">
      <c r="A113" s="127"/>
      <c r="B113" s="128"/>
      <c r="C113" s="2"/>
      <c r="D113" s="121"/>
      <c r="E113" s="2"/>
      <c r="F113" s="129"/>
      <c r="G113" s="123"/>
      <c r="H113" s="2"/>
    </row>
    <row r="114" spans="1:8">
      <c r="A114" s="127"/>
      <c r="B114" s="128"/>
      <c r="C114" s="2"/>
      <c r="D114" s="121"/>
      <c r="E114" s="2"/>
      <c r="F114" s="129"/>
      <c r="G114" s="123"/>
      <c r="H114" s="2"/>
    </row>
    <row r="115" spans="1:8">
      <c r="A115" s="127"/>
      <c r="B115" s="128"/>
      <c r="C115" s="2"/>
      <c r="D115" s="121"/>
      <c r="E115" s="2"/>
      <c r="F115" s="129"/>
      <c r="G115" s="123"/>
      <c r="H115" s="2"/>
    </row>
    <row r="116" spans="1:8">
      <c r="A116" s="127"/>
      <c r="B116" s="128"/>
      <c r="C116" s="2"/>
      <c r="D116" s="121"/>
      <c r="E116" s="2"/>
      <c r="F116" s="129"/>
      <c r="G116" s="123"/>
      <c r="H116" s="2"/>
    </row>
    <row r="117" spans="1:8">
      <c r="A117" s="127"/>
      <c r="B117" s="128"/>
      <c r="C117" s="2"/>
      <c r="D117" s="121"/>
      <c r="E117" s="2"/>
      <c r="F117" s="129"/>
      <c r="G117" s="123"/>
      <c r="H117" s="2"/>
    </row>
    <row r="118" spans="1:8">
      <c r="A118" s="127"/>
      <c r="B118" s="128"/>
      <c r="C118" s="2"/>
      <c r="D118" s="121"/>
      <c r="E118" s="2"/>
      <c r="F118" s="129"/>
      <c r="G118" s="123"/>
      <c r="H118" s="2"/>
    </row>
    <row r="119" spans="1:8">
      <c r="A119" s="127"/>
      <c r="B119" s="128"/>
      <c r="C119" s="2"/>
      <c r="D119" s="121"/>
      <c r="E119" s="2"/>
      <c r="F119" s="129"/>
      <c r="G119" s="123"/>
      <c r="H119" s="2"/>
    </row>
    <row r="120" spans="1:8">
      <c r="A120" s="127"/>
      <c r="B120" s="128"/>
      <c r="C120" s="2"/>
      <c r="D120" s="121"/>
      <c r="E120" s="2"/>
      <c r="F120" s="129"/>
      <c r="G120" s="123"/>
      <c r="H120" s="2"/>
    </row>
    <row r="121" spans="1:8">
      <c r="A121" s="127"/>
      <c r="B121" s="128"/>
      <c r="C121" s="2"/>
      <c r="D121" s="121"/>
      <c r="E121" s="2"/>
      <c r="F121" s="129"/>
      <c r="G121" s="123"/>
      <c r="H121" s="2"/>
    </row>
    <row r="122" spans="1:8">
      <c r="A122" s="127"/>
      <c r="B122" s="128"/>
      <c r="C122" s="2"/>
      <c r="D122" s="121"/>
      <c r="E122" s="2"/>
      <c r="F122" s="129"/>
      <c r="G122" s="123"/>
      <c r="H122" s="2"/>
    </row>
    <row r="123" spans="1:8">
      <c r="A123" s="127"/>
      <c r="B123" s="128"/>
      <c r="C123" s="2"/>
      <c r="D123" s="121"/>
      <c r="E123" s="2"/>
      <c r="F123" s="129"/>
      <c r="G123" s="123"/>
      <c r="H123" s="2"/>
    </row>
    <row r="124" spans="1:8">
      <c r="A124" s="127"/>
      <c r="B124" s="128"/>
      <c r="C124" s="2"/>
      <c r="D124" s="121"/>
      <c r="E124" s="2"/>
      <c r="F124" s="129"/>
      <c r="G124" s="123"/>
      <c r="H124" s="2"/>
    </row>
    <row r="125" spans="1:8">
      <c r="A125" s="127"/>
      <c r="B125" s="128"/>
      <c r="C125" s="2"/>
      <c r="D125" s="121"/>
      <c r="E125" s="2"/>
      <c r="F125" s="129"/>
      <c r="G125" s="123"/>
      <c r="H125" s="2"/>
    </row>
    <row r="126" spans="1:8">
      <c r="A126" s="127"/>
      <c r="B126" s="128"/>
      <c r="C126" s="2"/>
      <c r="D126" s="121"/>
      <c r="E126" s="2"/>
      <c r="F126" s="129"/>
      <c r="G126" s="123"/>
      <c r="H126" s="2"/>
    </row>
    <row r="127" spans="1:8">
      <c r="A127" s="127"/>
      <c r="B127" s="128"/>
      <c r="C127" s="2"/>
      <c r="D127" s="121"/>
      <c r="E127" s="2"/>
      <c r="F127" s="129"/>
      <c r="G127" s="123"/>
      <c r="H127" s="2"/>
    </row>
    <row r="128" spans="1:8">
      <c r="A128" s="127"/>
      <c r="B128" s="128"/>
      <c r="C128" s="2"/>
      <c r="D128" s="121"/>
      <c r="E128" s="2"/>
      <c r="F128" s="129"/>
      <c r="G128" s="123"/>
      <c r="H128" s="2"/>
    </row>
    <row r="129" spans="1:8">
      <c r="A129" s="127"/>
      <c r="B129" s="128"/>
      <c r="C129" s="2"/>
      <c r="D129" s="121"/>
      <c r="E129" s="2"/>
      <c r="F129" s="129"/>
      <c r="G129" s="123"/>
      <c r="H129" s="2"/>
    </row>
    <row r="130" spans="1:8">
      <c r="A130" s="127"/>
      <c r="B130" s="128"/>
      <c r="C130" s="2"/>
      <c r="D130" s="121"/>
      <c r="E130" s="2"/>
      <c r="F130" s="129"/>
      <c r="G130" s="123"/>
      <c r="H130" s="2"/>
    </row>
    <row r="131" spans="1:8">
      <c r="A131" s="127"/>
      <c r="B131" s="128"/>
      <c r="C131" s="132"/>
      <c r="D131" s="133"/>
      <c r="E131" s="132"/>
      <c r="F131" s="129"/>
      <c r="G131" s="132"/>
      <c r="H131" s="132"/>
    </row>
    <row r="132" spans="1:8">
      <c r="A132" s="127"/>
      <c r="B132" s="128"/>
      <c r="C132" s="132"/>
      <c r="D132" s="133"/>
      <c r="E132" s="132"/>
      <c r="F132" s="129"/>
      <c r="G132" s="132"/>
      <c r="H132" s="132"/>
    </row>
    <row r="133" spans="1:8">
      <c r="A133" s="127"/>
      <c r="B133" s="128"/>
      <c r="C133" s="132"/>
      <c r="D133" s="133"/>
      <c r="E133" s="132"/>
      <c r="F133" s="129"/>
      <c r="G133" s="132"/>
      <c r="H133" s="132"/>
    </row>
    <row r="134" spans="1:8">
      <c r="A134" s="127"/>
      <c r="B134" s="128"/>
      <c r="C134" s="132"/>
      <c r="D134" s="133"/>
      <c r="E134" s="132"/>
      <c r="F134" s="129"/>
      <c r="G134" s="132"/>
      <c r="H134" s="132"/>
    </row>
    <row r="135" spans="1:8">
      <c r="A135" s="127"/>
      <c r="B135" s="128"/>
      <c r="C135" s="132"/>
      <c r="D135" s="133"/>
      <c r="E135" s="132"/>
      <c r="F135" s="129"/>
      <c r="G135" s="132"/>
      <c r="H135" s="132"/>
    </row>
    <row r="136" spans="1:8">
      <c r="A136" s="127"/>
      <c r="B136" s="128"/>
      <c r="C136" s="132"/>
      <c r="D136" s="133"/>
      <c r="E136" s="132"/>
      <c r="F136" s="129"/>
      <c r="G136" s="132"/>
      <c r="H136" s="132"/>
    </row>
    <row r="137" spans="1:8">
      <c r="A137" s="127"/>
      <c r="B137" s="128"/>
      <c r="C137" s="132"/>
      <c r="D137" s="133"/>
      <c r="E137" s="132"/>
      <c r="F137" s="129"/>
      <c r="G137" s="132"/>
      <c r="H137" s="132"/>
    </row>
    <row r="138" spans="1:8">
      <c r="A138" s="127"/>
      <c r="B138" s="128"/>
      <c r="C138" s="132"/>
      <c r="D138" s="133"/>
      <c r="E138" s="132"/>
      <c r="F138" s="129"/>
      <c r="G138" s="132"/>
      <c r="H138" s="132"/>
    </row>
    <row r="139" spans="1:8">
      <c r="A139" s="127"/>
      <c r="B139" s="128"/>
      <c r="C139" s="132"/>
      <c r="D139" s="133"/>
      <c r="E139" s="132"/>
      <c r="F139" s="129"/>
      <c r="G139" s="132"/>
      <c r="H139" s="132"/>
    </row>
    <row r="140" spans="1:8">
      <c r="A140" s="127"/>
      <c r="B140" s="128"/>
      <c r="C140" s="132"/>
      <c r="D140" s="133"/>
      <c r="E140" s="132"/>
      <c r="F140" s="129"/>
      <c r="G140" s="132"/>
      <c r="H140" s="132"/>
    </row>
    <row r="141" spans="1:8">
      <c r="A141" s="127"/>
      <c r="B141" s="128"/>
      <c r="C141" s="132"/>
      <c r="D141" s="133"/>
      <c r="E141" s="132"/>
      <c r="F141" s="129"/>
      <c r="G141" s="132"/>
      <c r="H141" s="132"/>
    </row>
    <row r="142" spans="1:8">
      <c r="A142" s="127"/>
      <c r="B142" s="128"/>
      <c r="C142" s="132"/>
      <c r="D142" s="133"/>
      <c r="E142" s="132"/>
      <c r="F142" s="129"/>
      <c r="G142" s="132"/>
      <c r="H142" s="132"/>
    </row>
    <row r="143" spans="1:8">
      <c r="A143" s="127"/>
      <c r="B143" s="128"/>
      <c r="C143" s="132"/>
      <c r="D143" s="133"/>
      <c r="E143" s="132"/>
      <c r="F143" s="129"/>
      <c r="G143" s="132"/>
      <c r="H143" s="132"/>
    </row>
    <row r="144" spans="1:8">
      <c r="A144" s="127"/>
      <c r="B144" s="128"/>
      <c r="C144" s="132"/>
      <c r="D144" s="133"/>
      <c r="E144" s="132"/>
      <c r="F144" s="129"/>
      <c r="G144" s="132"/>
      <c r="H144" s="132"/>
    </row>
    <row r="145" spans="1:8">
      <c r="A145" s="127"/>
      <c r="B145" s="128"/>
      <c r="C145" s="132"/>
      <c r="D145" s="133"/>
      <c r="E145" s="132"/>
      <c r="F145" s="129"/>
      <c r="G145" s="132"/>
      <c r="H145" s="132"/>
    </row>
    <row r="146" spans="1:8">
      <c r="A146" s="127"/>
      <c r="B146" s="128"/>
      <c r="C146" s="132"/>
      <c r="D146" s="133"/>
      <c r="E146" s="132"/>
      <c r="F146" s="129"/>
      <c r="G146" s="132"/>
      <c r="H146" s="132"/>
    </row>
    <row r="147" spans="1:8">
      <c r="A147" s="127"/>
      <c r="B147" s="128"/>
      <c r="C147" s="132"/>
      <c r="D147" s="133"/>
      <c r="E147" s="132"/>
      <c r="F147" s="129"/>
      <c r="G147" s="132"/>
      <c r="H147" s="132"/>
    </row>
    <row r="148" spans="1:8">
      <c r="A148" s="127"/>
      <c r="B148" s="128"/>
      <c r="C148" s="132"/>
      <c r="D148" s="133"/>
      <c r="E148" s="132"/>
      <c r="F148" s="129"/>
      <c r="G148" s="132"/>
      <c r="H148" s="132"/>
    </row>
    <row r="149" spans="1:8">
      <c r="A149" s="127"/>
      <c r="B149" s="128"/>
      <c r="C149" s="132"/>
      <c r="D149" s="133"/>
      <c r="E149" s="132"/>
      <c r="F149" s="129"/>
      <c r="G149" s="132"/>
      <c r="H149" s="132"/>
    </row>
    <row r="150" spans="1:8">
      <c r="A150" s="127"/>
      <c r="B150" s="128"/>
      <c r="C150" s="132"/>
      <c r="D150" s="133"/>
      <c r="E150" s="132"/>
      <c r="F150" s="129"/>
      <c r="G150" s="132"/>
      <c r="H150" s="132"/>
    </row>
    <row r="151" spans="1:8">
      <c r="A151" s="127"/>
      <c r="B151" s="128"/>
      <c r="C151" s="132"/>
      <c r="D151" s="133"/>
      <c r="E151" s="132"/>
      <c r="F151" s="129"/>
      <c r="G151" s="132"/>
      <c r="H151" s="132"/>
    </row>
    <row r="152" spans="1:8">
      <c r="A152" s="127"/>
      <c r="B152" s="128"/>
      <c r="C152" s="132"/>
      <c r="D152" s="133"/>
      <c r="E152" s="132"/>
      <c r="F152" s="129"/>
      <c r="G152" s="132"/>
      <c r="H152" s="132"/>
    </row>
    <row r="153" spans="1:8">
      <c r="A153" s="127"/>
      <c r="B153" s="128"/>
      <c r="C153" s="132"/>
      <c r="D153" s="133"/>
      <c r="E153" s="132"/>
      <c r="F153" s="129"/>
      <c r="G153" s="132"/>
      <c r="H153" s="132"/>
    </row>
    <row r="154" spans="1:8">
      <c r="A154" s="127"/>
      <c r="B154" s="128"/>
      <c r="C154" s="132"/>
      <c r="D154" s="133"/>
      <c r="E154" s="132"/>
      <c r="F154" s="129"/>
      <c r="G154" s="132"/>
      <c r="H154" s="132"/>
    </row>
    <row r="155" spans="1:8">
      <c r="A155" s="127"/>
      <c r="B155" s="128"/>
      <c r="C155" s="132"/>
      <c r="D155" s="133"/>
      <c r="E155" s="132"/>
      <c r="F155" s="129"/>
      <c r="G155" s="132"/>
      <c r="H155" s="132"/>
    </row>
    <row r="156" spans="1:8">
      <c r="A156" s="127"/>
      <c r="B156" s="128"/>
      <c r="C156" s="132"/>
      <c r="D156" s="133"/>
      <c r="E156" s="132"/>
      <c r="F156" s="129"/>
      <c r="G156" s="132"/>
      <c r="H156" s="132"/>
    </row>
    <row r="157" spans="1:8">
      <c r="A157" s="127"/>
      <c r="B157" s="128"/>
      <c r="C157" s="132"/>
      <c r="D157" s="133"/>
      <c r="E157" s="132"/>
      <c r="F157" s="129"/>
      <c r="G157" s="132"/>
      <c r="H157" s="132"/>
    </row>
    <row r="158" spans="1:8">
      <c r="A158" s="127"/>
      <c r="B158" s="128"/>
      <c r="C158" s="132"/>
      <c r="D158" s="133"/>
      <c r="E158" s="132"/>
      <c r="F158" s="129"/>
      <c r="G158" s="132"/>
      <c r="H158" s="132"/>
    </row>
    <row r="159" spans="1:8">
      <c r="A159" s="127"/>
      <c r="B159" s="128"/>
      <c r="C159" s="132"/>
      <c r="D159" s="133"/>
      <c r="E159" s="132"/>
      <c r="F159" s="129"/>
      <c r="G159" s="132"/>
      <c r="H159" s="132"/>
    </row>
    <row r="160" spans="1:8">
      <c r="A160" s="127"/>
      <c r="B160" s="128"/>
      <c r="C160" s="132"/>
      <c r="D160" s="133"/>
      <c r="E160" s="132"/>
      <c r="F160" s="129"/>
      <c r="G160" s="132"/>
      <c r="H160" s="132"/>
    </row>
    <row r="161" spans="1:8">
      <c r="A161" s="127"/>
      <c r="B161" s="128"/>
      <c r="C161" s="132"/>
      <c r="D161" s="133"/>
      <c r="E161" s="132"/>
      <c r="F161" s="129"/>
      <c r="G161" s="132"/>
      <c r="H161" s="132"/>
    </row>
    <row r="162" spans="1:8">
      <c r="A162" s="127"/>
      <c r="B162" s="128"/>
      <c r="C162" s="132"/>
      <c r="D162" s="133"/>
      <c r="E162" s="132"/>
      <c r="F162" s="129"/>
      <c r="G162" s="132"/>
      <c r="H162" s="132"/>
    </row>
    <row r="163" spans="1:8">
      <c r="A163" s="127"/>
      <c r="B163" s="128"/>
      <c r="C163" s="132"/>
      <c r="D163" s="133"/>
      <c r="E163" s="132"/>
      <c r="F163" s="129"/>
      <c r="G163" s="132"/>
      <c r="H163" s="132"/>
    </row>
    <row r="164" spans="1:8">
      <c r="A164" s="127"/>
      <c r="B164" s="128"/>
      <c r="C164" s="132"/>
      <c r="D164" s="133"/>
      <c r="E164" s="132"/>
      <c r="F164" s="129"/>
      <c r="G164" s="132"/>
      <c r="H164" s="132"/>
    </row>
    <row r="165" spans="1:8">
      <c r="A165" s="127"/>
      <c r="B165" s="128"/>
      <c r="C165" s="132"/>
      <c r="D165" s="133"/>
      <c r="E165" s="132"/>
      <c r="F165" s="129"/>
      <c r="G165" s="132"/>
      <c r="H165" s="132"/>
    </row>
    <row r="166" spans="1:8">
      <c r="A166" s="127"/>
      <c r="B166" s="128"/>
      <c r="C166" s="132"/>
      <c r="D166" s="133"/>
      <c r="E166" s="132"/>
      <c r="F166" s="129"/>
      <c r="G166" s="132"/>
      <c r="H166" s="132"/>
    </row>
    <row r="167" spans="1:8">
      <c r="A167" s="127"/>
      <c r="B167" s="128"/>
      <c r="C167" s="132"/>
      <c r="D167" s="133"/>
      <c r="E167" s="132"/>
      <c r="F167" s="129"/>
      <c r="G167" s="132"/>
      <c r="H167" s="132"/>
    </row>
    <row r="168" spans="1:8">
      <c r="A168" s="127"/>
      <c r="B168" s="128"/>
      <c r="C168" s="132"/>
      <c r="D168" s="133"/>
      <c r="E168" s="132"/>
      <c r="F168" s="129"/>
      <c r="G168" s="132"/>
      <c r="H168" s="132"/>
    </row>
    <row r="169" spans="1:8">
      <c r="A169" s="127"/>
      <c r="B169" s="128"/>
      <c r="C169" s="132"/>
      <c r="D169" s="133"/>
      <c r="E169" s="132"/>
      <c r="F169" s="129"/>
      <c r="G169" s="132"/>
      <c r="H169" s="132"/>
    </row>
    <row r="170" spans="1:8">
      <c r="A170" s="127"/>
      <c r="B170" s="128"/>
      <c r="C170" s="132"/>
      <c r="D170" s="133"/>
      <c r="E170" s="132"/>
      <c r="F170" s="129"/>
      <c r="G170" s="132"/>
      <c r="H170" s="132"/>
    </row>
    <row r="171" spans="1:8">
      <c r="A171" s="127"/>
      <c r="B171" s="128"/>
      <c r="C171" s="132"/>
      <c r="D171" s="133"/>
      <c r="E171" s="132"/>
      <c r="F171" s="129"/>
      <c r="G171" s="132"/>
      <c r="H171" s="132"/>
    </row>
    <row r="172" spans="1:8">
      <c r="A172" s="127"/>
      <c r="B172" s="128"/>
      <c r="C172" s="132"/>
      <c r="D172" s="133"/>
      <c r="E172" s="132"/>
      <c r="F172" s="129"/>
      <c r="G172" s="132"/>
      <c r="H172" s="132"/>
    </row>
    <row r="173" spans="1:8">
      <c r="A173" s="127"/>
      <c r="B173" s="128"/>
      <c r="C173" s="132"/>
      <c r="D173" s="133"/>
      <c r="E173" s="132"/>
      <c r="F173" s="129"/>
      <c r="G173" s="132"/>
      <c r="H173" s="132"/>
    </row>
    <row r="174" spans="1:8">
      <c r="A174" s="127"/>
      <c r="B174" s="128"/>
      <c r="C174" s="132"/>
      <c r="D174" s="133"/>
      <c r="E174" s="132"/>
      <c r="F174" s="129"/>
      <c r="G174" s="132"/>
      <c r="H174" s="132"/>
    </row>
    <row r="175" spans="1:8">
      <c r="A175" s="127"/>
      <c r="B175" s="128"/>
      <c r="C175" s="132"/>
      <c r="D175" s="133"/>
      <c r="E175" s="132"/>
      <c r="F175" s="129"/>
      <c r="G175" s="132"/>
      <c r="H175" s="132"/>
    </row>
    <row r="176" spans="1:8">
      <c r="A176" s="127"/>
      <c r="B176" s="128"/>
      <c r="C176" s="132"/>
      <c r="D176" s="133"/>
      <c r="E176" s="132"/>
      <c r="F176" s="129"/>
      <c r="G176" s="132"/>
      <c r="H176" s="132"/>
    </row>
    <row r="177" spans="1:8">
      <c r="A177" s="127"/>
      <c r="B177" s="128"/>
      <c r="C177" s="132"/>
      <c r="D177" s="133"/>
      <c r="E177" s="132"/>
      <c r="F177" s="129"/>
      <c r="G177" s="132"/>
      <c r="H177" s="132"/>
    </row>
    <row r="178" spans="1:8">
      <c r="A178" s="127"/>
      <c r="B178" s="128"/>
      <c r="C178" s="132"/>
      <c r="D178" s="133"/>
      <c r="E178" s="132"/>
      <c r="F178" s="129"/>
      <c r="G178" s="132"/>
      <c r="H178" s="132"/>
    </row>
    <row r="179" spans="1:8">
      <c r="A179" s="127"/>
      <c r="B179" s="128"/>
      <c r="C179" s="132"/>
      <c r="D179" s="133"/>
      <c r="E179" s="132"/>
      <c r="F179" s="129"/>
      <c r="G179" s="132"/>
      <c r="H179" s="132"/>
    </row>
    <row r="180" spans="1:8">
      <c r="A180" s="127"/>
      <c r="B180" s="128"/>
      <c r="C180" s="132"/>
      <c r="D180" s="133"/>
      <c r="E180" s="132"/>
      <c r="F180" s="129"/>
      <c r="G180" s="132"/>
      <c r="H180" s="132"/>
    </row>
    <row r="181" spans="1:8">
      <c r="A181" s="127"/>
      <c r="B181" s="128"/>
      <c r="C181" s="132"/>
      <c r="D181" s="133"/>
      <c r="E181" s="132"/>
      <c r="F181" s="129"/>
      <c r="G181" s="132"/>
      <c r="H181" s="132"/>
    </row>
    <row r="182" spans="1:8">
      <c r="A182" s="127"/>
      <c r="B182" s="128"/>
      <c r="C182" s="132"/>
      <c r="D182" s="133"/>
      <c r="E182" s="132"/>
      <c r="F182" s="129"/>
      <c r="G182" s="132"/>
      <c r="H182" s="132"/>
    </row>
    <row r="183" spans="1:8">
      <c r="A183" s="127"/>
      <c r="B183" s="128"/>
      <c r="C183" s="132"/>
      <c r="D183" s="133"/>
      <c r="E183" s="132"/>
      <c r="F183" s="129"/>
      <c r="G183" s="132"/>
      <c r="H183" s="132"/>
    </row>
    <row r="184" spans="1:8">
      <c r="A184" s="127"/>
      <c r="B184" s="128"/>
      <c r="C184" s="132"/>
      <c r="D184" s="133"/>
      <c r="E184" s="132"/>
      <c r="F184" s="129"/>
      <c r="G184" s="132"/>
      <c r="H184" s="132"/>
    </row>
    <row r="185" spans="1:8">
      <c r="A185" s="127"/>
      <c r="B185" s="128"/>
      <c r="C185" s="132"/>
      <c r="D185" s="133"/>
      <c r="E185" s="132"/>
      <c r="F185" s="129"/>
      <c r="G185" s="132"/>
      <c r="H185" s="132"/>
    </row>
    <row r="186" spans="1:8">
      <c r="A186" s="127"/>
      <c r="B186" s="128"/>
      <c r="C186" s="132"/>
      <c r="D186" s="133"/>
      <c r="E186" s="132"/>
      <c r="F186" s="129"/>
      <c r="G186" s="132"/>
      <c r="H186" s="132"/>
    </row>
    <row r="187" spans="1:8">
      <c r="A187" s="127"/>
      <c r="B187" s="128"/>
      <c r="C187" s="132"/>
      <c r="D187" s="133"/>
      <c r="E187" s="132"/>
      <c r="F187" s="129"/>
      <c r="G187" s="132"/>
      <c r="H187" s="132"/>
    </row>
    <row r="188" spans="1:8">
      <c r="A188" s="127"/>
      <c r="B188" s="128"/>
      <c r="C188" s="132"/>
      <c r="D188" s="133"/>
      <c r="E188" s="132"/>
      <c r="F188" s="129"/>
      <c r="G188" s="132"/>
      <c r="H188" s="132"/>
    </row>
    <row r="189" spans="1:8">
      <c r="A189" s="127"/>
      <c r="B189" s="128"/>
      <c r="C189" s="132"/>
      <c r="D189" s="133"/>
      <c r="E189" s="132"/>
      <c r="F189" s="129"/>
      <c r="G189" s="132"/>
      <c r="H189" s="132"/>
    </row>
    <row r="190" spans="1:8">
      <c r="A190" s="127"/>
      <c r="B190" s="128"/>
      <c r="C190" s="132"/>
      <c r="D190" s="133"/>
      <c r="E190" s="132"/>
      <c r="F190" s="129"/>
      <c r="G190" s="132"/>
      <c r="H190" s="132"/>
    </row>
    <row r="191" spans="1:8">
      <c r="A191" s="127"/>
      <c r="B191" s="128"/>
      <c r="C191" s="132"/>
      <c r="D191" s="133"/>
      <c r="E191" s="132"/>
      <c r="F191" s="129"/>
      <c r="G191" s="132"/>
      <c r="H191" s="132"/>
    </row>
    <row r="192" spans="1:8">
      <c r="A192" s="127"/>
      <c r="B192" s="128"/>
      <c r="C192" s="132"/>
      <c r="D192" s="133"/>
      <c r="E192" s="132"/>
      <c r="F192" s="129"/>
      <c r="G192" s="132"/>
      <c r="H192" s="132"/>
    </row>
    <row r="193" spans="1:8">
      <c r="A193" s="127"/>
      <c r="B193" s="128"/>
      <c r="C193" s="132"/>
      <c r="D193" s="133"/>
      <c r="E193" s="132"/>
      <c r="F193" s="129"/>
      <c r="G193" s="132"/>
      <c r="H193" s="132"/>
    </row>
    <row r="194" spans="1:8">
      <c r="A194" s="127"/>
      <c r="B194" s="128"/>
      <c r="C194" s="132"/>
      <c r="D194" s="133"/>
      <c r="E194" s="132"/>
      <c r="F194" s="129"/>
      <c r="G194" s="132"/>
      <c r="H194" s="132"/>
    </row>
    <row r="195" spans="1:8">
      <c r="A195" s="127"/>
      <c r="B195" s="128"/>
      <c r="C195" s="132"/>
      <c r="D195" s="133"/>
      <c r="E195" s="132"/>
      <c r="F195" s="129"/>
      <c r="G195" s="132"/>
      <c r="H195" s="132"/>
    </row>
    <row r="196" spans="1:8">
      <c r="A196" s="127"/>
      <c r="B196" s="128"/>
      <c r="C196" s="132"/>
      <c r="D196" s="133"/>
      <c r="E196" s="132"/>
      <c r="F196" s="129"/>
      <c r="G196" s="132"/>
      <c r="H196" s="132"/>
    </row>
    <row r="197" spans="1:8">
      <c r="A197" s="127"/>
      <c r="B197" s="128"/>
      <c r="C197" s="132"/>
      <c r="D197" s="133"/>
      <c r="E197" s="132"/>
      <c r="F197" s="129"/>
      <c r="G197" s="132"/>
      <c r="H197" s="132"/>
    </row>
    <row r="198" spans="1:8">
      <c r="A198" s="127"/>
      <c r="B198" s="128"/>
      <c r="C198" s="132"/>
      <c r="D198" s="133"/>
      <c r="E198" s="132"/>
      <c r="F198" s="129"/>
      <c r="G198" s="132"/>
      <c r="H198" s="132"/>
    </row>
    <row r="199" spans="1:8">
      <c r="A199" s="127"/>
      <c r="B199" s="128"/>
      <c r="C199" s="132"/>
      <c r="D199" s="133"/>
      <c r="E199" s="132"/>
      <c r="F199" s="129"/>
      <c r="G199" s="132"/>
      <c r="H199" s="132"/>
    </row>
    <row r="200" spans="1:8">
      <c r="A200" s="127"/>
      <c r="B200" s="128"/>
      <c r="C200" s="132"/>
      <c r="D200" s="133"/>
      <c r="E200" s="132"/>
      <c r="F200" s="129"/>
      <c r="G200" s="132"/>
      <c r="H200" s="132"/>
    </row>
    <row r="201" spans="1:8">
      <c r="A201" s="127"/>
      <c r="B201" s="128"/>
      <c r="C201" s="132"/>
      <c r="D201" s="133"/>
      <c r="E201" s="132"/>
      <c r="F201" s="129"/>
      <c r="G201" s="132"/>
      <c r="H201" s="132"/>
    </row>
    <row r="202" spans="1:8">
      <c r="A202" s="127"/>
      <c r="B202" s="128"/>
      <c r="C202" s="132"/>
      <c r="D202" s="133"/>
      <c r="E202" s="132"/>
      <c r="F202" s="129"/>
      <c r="G202" s="132"/>
      <c r="H202" s="132"/>
    </row>
    <row r="203" spans="1:8">
      <c r="A203" s="127"/>
      <c r="B203" s="128"/>
      <c r="C203" s="132"/>
      <c r="D203" s="133"/>
      <c r="E203" s="132"/>
      <c r="F203" s="129"/>
      <c r="G203" s="132"/>
      <c r="H203" s="132"/>
    </row>
    <row r="204" spans="1:8">
      <c r="A204" s="127"/>
      <c r="B204" s="128"/>
      <c r="C204" s="132"/>
      <c r="D204" s="133"/>
      <c r="E204" s="132"/>
      <c r="F204" s="129"/>
      <c r="G204" s="132"/>
      <c r="H204" s="132"/>
    </row>
    <row r="205" spans="1:8">
      <c r="A205" s="127"/>
      <c r="B205" s="128"/>
      <c r="C205" s="132"/>
      <c r="D205" s="133"/>
      <c r="E205" s="132"/>
      <c r="F205" s="129"/>
      <c r="G205" s="132"/>
      <c r="H205" s="132"/>
    </row>
    <row r="206" spans="1:8">
      <c r="A206" s="127"/>
      <c r="B206" s="128"/>
      <c r="C206" s="132"/>
      <c r="D206" s="133"/>
      <c r="E206" s="132"/>
      <c r="F206" s="129"/>
      <c r="G206" s="132"/>
      <c r="H206" s="132"/>
    </row>
    <row r="207" spans="1:8">
      <c r="A207" s="127"/>
      <c r="B207" s="128"/>
      <c r="C207" s="132"/>
      <c r="D207" s="133"/>
      <c r="E207" s="132"/>
      <c r="F207" s="129"/>
      <c r="G207" s="132"/>
      <c r="H207" s="132"/>
    </row>
    <row r="208" spans="1:8">
      <c r="A208" s="127"/>
      <c r="B208" s="128"/>
      <c r="C208" s="132"/>
      <c r="D208" s="133"/>
      <c r="E208" s="132"/>
      <c r="F208" s="129"/>
      <c r="G208" s="132"/>
      <c r="H208" s="132"/>
    </row>
    <row r="209" spans="1:8">
      <c r="A209" s="127"/>
      <c r="B209" s="128"/>
      <c r="C209" s="132"/>
      <c r="D209" s="133"/>
      <c r="E209" s="132"/>
      <c r="F209" s="129"/>
      <c r="G209" s="132"/>
      <c r="H209" s="132"/>
    </row>
    <row r="210" spans="1:8">
      <c r="A210" s="127"/>
      <c r="B210" s="128"/>
      <c r="C210" s="132"/>
      <c r="D210" s="133"/>
      <c r="E210" s="132"/>
      <c r="F210" s="129"/>
      <c r="G210" s="132"/>
      <c r="H210" s="132"/>
    </row>
    <row r="211" spans="1:8">
      <c r="A211" s="127"/>
      <c r="B211" s="128"/>
      <c r="C211" s="132"/>
      <c r="D211" s="133"/>
      <c r="E211" s="132"/>
      <c r="F211" s="129"/>
      <c r="G211" s="132"/>
      <c r="H211" s="132"/>
    </row>
    <row r="212" spans="1:8">
      <c r="A212" s="127"/>
      <c r="B212" s="128"/>
      <c r="C212" s="132"/>
      <c r="D212" s="133"/>
      <c r="E212" s="132"/>
      <c r="F212" s="129"/>
      <c r="G212" s="132"/>
      <c r="H212" s="132"/>
    </row>
    <row r="213" spans="1:8">
      <c r="A213" s="127"/>
      <c r="B213" s="128"/>
      <c r="C213" s="132"/>
      <c r="D213" s="133"/>
      <c r="E213" s="132"/>
      <c r="F213" s="129"/>
      <c r="G213" s="132"/>
      <c r="H213" s="132"/>
    </row>
    <row r="214" spans="1:8">
      <c r="A214" s="127"/>
      <c r="B214" s="128"/>
      <c r="C214" s="132"/>
      <c r="D214" s="133"/>
      <c r="E214" s="132"/>
      <c r="F214" s="129"/>
      <c r="G214" s="132"/>
      <c r="H214" s="132"/>
    </row>
    <row r="215" spans="1:8">
      <c r="A215" s="127"/>
      <c r="B215" s="128"/>
      <c r="C215" s="132"/>
      <c r="D215" s="133"/>
      <c r="E215" s="132"/>
      <c r="F215" s="129"/>
      <c r="G215" s="132"/>
      <c r="H215" s="132"/>
    </row>
    <row r="216" spans="1:8">
      <c r="A216" s="127"/>
      <c r="B216" s="128"/>
      <c r="C216" s="132"/>
      <c r="D216" s="133"/>
      <c r="E216" s="132"/>
      <c r="F216" s="129"/>
      <c r="G216" s="132"/>
      <c r="H216" s="132"/>
    </row>
    <row r="217" spans="1:8">
      <c r="A217" s="127"/>
      <c r="B217" s="128"/>
      <c r="C217" s="132"/>
      <c r="D217" s="133"/>
      <c r="E217" s="132"/>
      <c r="F217" s="129"/>
      <c r="G217" s="132"/>
      <c r="H217" s="132"/>
    </row>
    <row r="218" spans="1:8">
      <c r="A218" s="127"/>
      <c r="B218" s="128"/>
      <c r="C218" s="132"/>
      <c r="D218" s="133"/>
      <c r="E218" s="132"/>
      <c r="F218" s="129"/>
      <c r="G218" s="132"/>
      <c r="H218" s="132"/>
    </row>
    <row r="219" spans="1:8">
      <c r="A219" s="127"/>
      <c r="B219" s="128"/>
      <c r="C219" s="132"/>
      <c r="D219" s="133"/>
      <c r="E219" s="132"/>
      <c r="F219" s="129"/>
      <c r="G219" s="132"/>
      <c r="H219" s="132"/>
    </row>
    <row r="220" spans="1:8">
      <c r="A220" s="127"/>
      <c r="B220" s="128"/>
      <c r="C220" s="132"/>
      <c r="D220" s="133"/>
      <c r="E220" s="132"/>
      <c r="F220" s="129"/>
      <c r="G220" s="132"/>
      <c r="H220" s="132"/>
    </row>
    <row r="221" spans="1:8">
      <c r="A221" s="127"/>
      <c r="B221" s="128"/>
      <c r="C221" s="132"/>
      <c r="D221" s="133"/>
      <c r="E221" s="132"/>
      <c r="F221" s="129"/>
      <c r="G221" s="132"/>
      <c r="H221" s="132"/>
    </row>
    <row r="222" spans="1:8">
      <c r="A222" s="127"/>
      <c r="B222" s="128"/>
      <c r="C222" s="132"/>
      <c r="D222" s="133"/>
      <c r="E222" s="132"/>
      <c r="F222" s="129"/>
      <c r="G222" s="132"/>
      <c r="H222" s="132"/>
    </row>
    <row r="223" spans="1:8">
      <c r="A223" s="127"/>
      <c r="B223" s="128"/>
      <c r="C223" s="132"/>
      <c r="D223" s="133"/>
      <c r="E223" s="132"/>
      <c r="F223" s="129"/>
      <c r="G223" s="132"/>
      <c r="H223" s="132"/>
    </row>
    <row r="224" spans="1:8">
      <c r="A224" s="127"/>
      <c r="B224" s="128"/>
      <c r="C224" s="132"/>
      <c r="D224" s="133"/>
      <c r="E224" s="132"/>
      <c r="F224" s="129"/>
      <c r="G224" s="132"/>
      <c r="H224" s="132"/>
    </row>
    <row r="225" spans="1:8">
      <c r="A225" s="127"/>
      <c r="B225" s="128"/>
      <c r="C225" s="132"/>
      <c r="D225" s="133"/>
      <c r="E225" s="132"/>
      <c r="F225" s="129"/>
      <c r="G225" s="132"/>
      <c r="H225" s="132"/>
    </row>
    <row r="226" spans="1:8">
      <c r="A226" s="127"/>
      <c r="B226" s="128"/>
      <c r="C226" s="132"/>
      <c r="D226" s="133"/>
      <c r="E226" s="132"/>
      <c r="F226" s="129"/>
      <c r="G226" s="132"/>
      <c r="H226" s="132"/>
    </row>
    <row r="227" spans="1:8">
      <c r="A227" s="127"/>
      <c r="B227" s="128"/>
      <c r="C227" s="132"/>
      <c r="D227" s="133"/>
      <c r="E227" s="132"/>
      <c r="F227" s="129"/>
      <c r="G227" s="132"/>
      <c r="H227" s="132"/>
    </row>
    <row r="228" spans="1:8">
      <c r="A228" s="127"/>
      <c r="B228" s="128"/>
      <c r="C228" s="132"/>
      <c r="D228" s="133"/>
      <c r="E228" s="132"/>
      <c r="F228" s="129"/>
      <c r="G228" s="132"/>
      <c r="H228" s="132"/>
    </row>
    <row r="229" spans="1:8">
      <c r="A229" s="127"/>
      <c r="B229" s="128"/>
      <c r="C229" s="132"/>
      <c r="D229" s="133"/>
      <c r="E229" s="132"/>
      <c r="F229" s="129"/>
      <c r="G229" s="132"/>
      <c r="H229" s="132"/>
    </row>
    <row r="230" spans="1:8">
      <c r="A230" s="127"/>
      <c r="B230" s="128"/>
      <c r="C230" s="132"/>
      <c r="D230" s="133"/>
      <c r="E230" s="132"/>
      <c r="F230" s="129"/>
      <c r="G230" s="132"/>
      <c r="H230" s="132"/>
    </row>
    <row r="231" spans="1:8">
      <c r="A231" s="127"/>
      <c r="B231" s="128"/>
      <c r="C231" s="132"/>
      <c r="D231" s="133"/>
      <c r="E231" s="132"/>
      <c r="F231" s="129"/>
      <c r="G231" s="132"/>
      <c r="H231" s="132"/>
    </row>
    <row r="232" spans="1:8">
      <c r="A232" s="127"/>
      <c r="B232" s="128"/>
      <c r="C232" s="132"/>
      <c r="D232" s="133"/>
      <c r="E232" s="132"/>
      <c r="F232" s="129"/>
      <c r="G232" s="132"/>
      <c r="H232" s="132"/>
    </row>
    <row r="233" spans="1:8">
      <c r="A233" s="127"/>
      <c r="B233" s="128"/>
      <c r="C233" s="132"/>
      <c r="D233" s="133"/>
      <c r="E233" s="132"/>
      <c r="F233" s="129"/>
      <c r="G233" s="132"/>
      <c r="H233" s="132"/>
    </row>
    <row r="234" spans="1:8">
      <c r="A234" s="127"/>
      <c r="B234" s="128"/>
      <c r="C234" s="132"/>
      <c r="D234" s="133"/>
      <c r="E234" s="132"/>
      <c r="F234" s="129"/>
      <c r="G234" s="132"/>
      <c r="H234" s="132"/>
    </row>
    <row r="235" spans="1:8">
      <c r="A235" s="127"/>
      <c r="B235" s="128"/>
      <c r="C235" s="132"/>
      <c r="D235" s="133"/>
      <c r="E235" s="132"/>
      <c r="F235" s="129"/>
      <c r="G235" s="132"/>
      <c r="H235" s="132"/>
    </row>
    <row r="236" spans="1:8">
      <c r="A236" s="127"/>
      <c r="B236" s="128"/>
      <c r="C236" s="132"/>
      <c r="D236" s="133"/>
      <c r="E236" s="132"/>
      <c r="F236" s="129"/>
      <c r="G236" s="132"/>
      <c r="H236" s="132"/>
    </row>
    <row r="237" spans="1:8">
      <c r="A237" s="127"/>
      <c r="B237" s="128"/>
      <c r="C237" s="132"/>
      <c r="D237" s="133"/>
      <c r="E237" s="132"/>
      <c r="F237" s="129"/>
      <c r="G237" s="132"/>
      <c r="H237" s="132"/>
    </row>
    <row r="238" spans="1:8">
      <c r="A238" s="127"/>
      <c r="B238" s="128"/>
      <c r="C238" s="132"/>
      <c r="D238" s="133"/>
      <c r="E238" s="132"/>
      <c r="F238" s="129"/>
      <c r="G238" s="132"/>
      <c r="H238" s="132"/>
    </row>
    <row r="239" spans="1:8">
      <c r="A239" s="127"/>
      <c r="B239" s="128"/>
      <c r="C239" s="132"/>
      <c r="D239" s="133"/>
      <c r="E239" s="132"/>
      <c r="F239" s="129"/>
      <c r="G239" s="132"/>
      <c r="H239" s="132"/>
    </row>
    <row r="240" spans="1:8">
      <c r="A240" s="127"/>
      <c r="B240" s="128"/>
      <c r="C240" s="132"/>
      <c r="D240" s="133"/>
      <c r="E240" s="132"/>
      <c r="F240" s="129"/>
      <c r="G240" s="132"/>
      <c r="H240" s="132"/>
    </row>
    <row r="241" spans="1:8">
      <c r="A241" s="127"/>
      <c r="B241" s="128"/>
      <c r="C241" s="132"/>
      <c r="D241" s="133"/>
      <c r="E241" s="132"/>
      <c r="F241" s="129"/>
      <c r="G241" s="132"/>
      <c r="H241" s="132"/>
    </row>
    <row r="242" spans="1:8">
      <c r="A242" s="127"/>
      <c r="B242" s="128"/>
      <c r="C242" s="132"/>
      <c r="D242" s="133"/>
      <c r="E242" s="132"/>
      <c r="F242" s="129"/>
      <c r="G242" s="132"/>
      <c r="H242" s="132"/>
    </row>
    <row r="243" spans="1:8">
      <c r="A243" s="127"/>
      <c r="B243" s="128"/>
      <c r="C243" s="132"/>
      <c r="D243" s="133"/>
      <c r="E243" s="132"/>
      <c r="F243" s="129"/>
      <c r="G243" s="132"/>
      <c r="H243" s="132"/>
    </row>
    <row r="244" spans="1:8">
      <c r="A244" s="127"/>
      <c r="B244" s="128"/>
      <c r="C244" s="132"/>
      <c r="D244" s="133"/>
      <c r="E244" s="132"/>
      <c r="F244" s="129"/>
      <c r="G244" s="132"/>
      <c r="H244" s="132"/>
    </row>
    <row r="245" spans="1:8">
      <c r="A245" s="127"/>
      <c r="B245" s="128"/>
      <c r="C245" s="132"/>
      <c r="D245" s="133"/>
      <c r="E245" s="132"/>
      <c r="F245" s="129"/>
      <c r="G245" s="132"/>
      <c r="H245" s="132"/>
    </row>
    <row r="246" spans="1:8">
      <c r="A246" s="127"/>
      <c r="B246" s="128"/>
      <c r="C246" s="132"/>
      <c r="D246" s="133"/>
      <c r="E246" s="132"/>
      <c r="F246" s="129"/>
      <c r="G246" s="132"/>
      <c r="H246" s="132"/>
    </row>
    <row r="247" spans="1:8">
      <c r="A247" s="127"/>
      <c r="B247" s="128"/>
      <c r="C247" s="132"/>
      <c r="D247" s="133"/>
      <c r="E247" s="132"/>
      <c r="F247" s="129"/>
      <c r="G247" s="132"/>
      <c r="H247" s="132"/>
    </row>
    <row r="248" spans="1:8">
      <c r="A248" s="127"/>
      <c r="B248" s="128"/>
      <c r="C248" s="132"/>
      <c r="D248" s="133"/>
      <c r="E248" s="132"/>
      <c r="F248" s="129"/>
      <c r="G248" s="132"/>
      <c r="H248" s="132"/>
    </row>
    <row r="249" spans="1:8">
      <c r="A249" s="127"/>
      <c r="B249" s="128"/>
      <c r="C249" s="132"/>
      <c r="D249" s="133"/>
      <c r="E249" s="132"/>
      <c r="F249" s="129"/>
      <c r="G249" s="132"/>
      <c r="H249" s="132"/>
    </row>
    <row r="250" spans="1:8">
      <c r="A250" s="127"/>
      <c r="B250" s="128"/>
      <c r="C250" s="132"/>
      <c r="D250" s="133"/>
      <c r="E250" s="132"/>
      <c r="F250" s="129"/>
      <c r="G250" s="132"/>
      <c r="H250" s="132"/>
    </row>
    <row r="251" spans="1:8">
      <c r="A251" s="127"/>
      <c r="B251" s="128"/>
      <c r="C251" s="132"/>
      <c r="D251" s="133"/>
      <c r="E251" s="132"/>
      <c r="F251" s="129"/>
      <c r="G251" s="132"/>
      <c r="H251" s="132"/>
    </row>
    <row r="252" spans="1:8">
      <c r="A252" s="127"/>
      <c r="B252" s="128"/>
      <c r="C252" s="132"/>
      <c r="D252" s="133"/>
      <c r="E252" s="132"/>
      <c r="F252" s="129"/>
      <c r="G252" s="132"/>
      <c r="H252" s="132"/>
    </row>
    <row r="253" spans="1:8">
      <c r="A253" s="127"/>
      <c r="B253" s="128"/>
      <c r="C253" s="132"/>
      <c r="D253" s="133"/>
      <c r="E253" s="132"/>
      <c r="F253" s="129"/>
      <c r="G253" s="132"/>
      <c r="H253" s="132"/>
    </row>
    <row r="254" spans="1:8">
      <c r="A254" s="127"/>
      <c r="B254" s="128"/>
      <c r="C254" s="132"/>
      <c r="D254" s="133"/>
      <c r="E254" s="132"/>
      <c r="F254" s="129"/>
      <c r="G254" s="132"/>
      <c r="H254" s="132"/>
    </row>
    <row r="255" spans="1:8">
      <c r="A255" s="127"/>
      <c r="B255" s="128"/>
      <c r="C255" s="132"/>
      <c r="D255" s="133"/>
      <c r="E255" s="132"/>
      <c r="F255" s="129"/>
      <c r="G255" s="132"/>
      <c r="H255" s="132"/>
    </row>
    <row r="256" spans="1:8">
      <c r="A256" s="127"/>
      <c r="B256" s="128"/>
      <c r="C256" s="132"/>
      <c r="D256" s="133"/>
      <c r="E256" s="132"/>
      <c r="F256" s="129"/>
      <c r="G256" s="132"/>
      <c r="H256" s="132"/>
    </row>
    <row r="257" spans="1:8">
      <c r="A257" s="127"/>
      <c r="B257" s="128"/>
      <c r="C257" s="132"/>
      <c r="D257" s="133"/>
      <c r="E257" s="132"/>
      <c r="F257" s="129"/>
      <c r="G257" s="132"/>
      <c r="H257" s="132"/>
    </row>
    <row r="258" spans="1:8">
      <c r="A258" s="127"/>
      <c r="B258" s="128"/>
      <c r="C258" s="132"/>
      <c r="D258" s="133"/>
      <c r="E258" s="132"/>
      <c r="F258" s="129"/>
      <c r="G258" s="132"/>
      <c r="H258" s="132"/>
    </row>
    <row r="259" spans="1:8">
      <c r="A259" s="127"/>
      <c r="B259" s="128"/>
      <c r="C259" s="132"/>
      <c r="D259" s="133"/>
      <c r="E259" s="132"/>
      <c r="F259" s="129"/>
      <c r="G259" s="132"/>
      <c r="H259" s="132"/>
    </row>
    <row r="260" spans="1:8">
      <c r="A260" s="127"/>
      <c r="B260" s="128"/>
      <c r="C260" s="132"/>
      <c r="D260" s="133"/>
      <c r="E260" s="132"/>
      <c r="F260" s="129"/>
      <c r="G260" s="132"/>
      <c r="H260" s="132"/>
    </row>
    <row r="261" spans="1:8">
      <c r="A261" s="127"/>
      <c r="B261" s="128"/>
      <c r="C261" s="132"/>
      <c r="D261" s="133"/>
      <c r="E261" s="132"/>
      <c r="F261" s="129"/>
      <c r="G261" s="132"/>
      <c r="H261" s="132"/>
    </row>
    <row r="262" spans="1:8">
      <c r="A262" s="127"/>
      <c r="B262" s="128"/>
      <c r="C262" s="132"/>
      <c r="D262" s="133"/>
      <c r="E262" s="132"/>
      <c r="F262" s="129"/>
      <c r="G262" s="132"/>
      <c r="H262" s="132"/>
    </row>
    <row r="263" spans="1:8">
      <c r="A263" s="127"/>
      <c r="B263" s="128"/>
      <c r="C263" s="132"/>
      <c r="D263" s="133"/>
      <c r="E263" s="132"/>
      <c r="F263" s="129"/>
      <c r="G263" s="132"/>
      <c r="H263" s="132"/>
    </row>
    <row r="264" spans="1:8">
      <c r="A264" s="127"/>
      <c r="B264" s="128"/>
      <c r="C264" s="132"/>
      <c r="D264" s="133"/>
      <c r="E264" s="132"/>
      <c r="F264" s="129"/>
      <c r="G264" s="132"/>
      <c r="H264" s="132"/>
    </row>
    <row r="265" spans="1:8">
      <c r="A265" s="127"/>
      <c r="B265" s="128"/>
      <c r="C265" s="132"/>
      <c r="D265" s="133"/>
      <c r="E265" s="132"/>
      <c r="F265" s="129"/>
      <c r="G265" s="132"/>
      <c r="H265" s="132"/>
    </row>
    <row r="266" spans="1:8">
      <c r="A266" s="127"/>
      <c r="B266" s="128"/>
      <c r="C266" s="132"/>
      <c r="D266" s="133"/>
      <c r="E266" s="132"/>
      <c r="F266" s="129"/>
      <c r="G266" s="132"/>
      <c r="H266" s="132"/>
    </row>
    <row r="267" spans="1:8">
      <c r="A267" s="127"/>
      <c r="B267" s="128"/>
      <c r="C267" s="132"/>
      <c r="D267" s="133"/>
      <c r="E267" s="132"/>
      <c r="F267" s="129"/>
      <c r="G267" s="132"/>
      <c r="H267" s="132"/>
    </row>
    <row r="268" spans="1:8">
      <c r="A268" s="127"/>
      <c r="B268" s="128"/>
      <c r="C268" s="132"/>
      <c r="D268" s="133"/>
      <c r="E268" s="132"/>
      <c r="F268" s="129"/>
      <c r="G268" s="132"/>
      <c r="H268" s="132"/>
    </row>
    <row r="269" spans="1:8">
      <c r="A269" s="127"/>
      <c r="B269" s="128"/>
      <c r="C269" s="132"/>
      <c r="D269" s="133"/>
      <c r="E269" s="132"/>
      <c r="F269" s="129"/>
      <c r="G269" s="132"/>
      <c r="H269" s="132"/>
    </row>
    <row r="270" spans="1:8">
      <c r="A270" s="127"/>
      <c r="B270" s="128"/>
      <c r="C270" s="132"/>
      <c r="D270" s="133"/>
      <c r="E270" s="132"/>
      <c r="F270" s="129"/>
      <c r="G270" s="132"/>
      <c r="H270" s="132"/>
    </row>
    <row r="271" spans="1:8">
      <c r="A271" s="127"/>
      <c r="B271" s="128"/>
      <c r="C271" s="132"/>
      <c r="D271" s="133"/>
      <c r="E271" s="132"/>
      <c r="F271" s="129"/>
      <c r="G271" s="132"/>
      <c r="H271" s="132"/>
    </row>
    <row r="272" spans="1:8">
      <c r="A272" s="127"/>
      <c r="B272" s="128"/>
      <c r="C272" s="132"/>
      <c r="D272" s="133"/>
      <c r="E272" s="132"/>
      <c r="F272" s="129"/>
      <c r="G272" s="132"/>
      <c r="H272" s="132"/>
    </row>
    <row r="273" spans="1:8">
      <c r="A273" s="127"/>
      <c r="B273" s="128"/>
      <c r="C273" s="132"/>
      <c r="D273" s="133"/>
      <c r="E273" s="132"/>
      <c r="F273" s="129"/>
      <c r="G273" s="132"/>
      <c r="H273" s="132"/>
    </row>
    <row r="274" spans="1:8">
      <c r="A274" s="127"/>
      <c r="B274" s="128"/>
      <c r="C274" s="132"/>
      <c r="D274" s="133"/>
      <c r="E274" s="132"/>
      <c r="F274" s="129"/>
      <c r="G274" s="132"/>
      <c r="H274" s="132"/>
    </row>
    <row r="275" spans="1:8">
      <c r="A275" s="127"/>
      <c r="B275" s="128"/>
      <c r="C275" s="132"/>
      <c r="D275" s="133"/>
      <c r="E275" s="132"/>
      <c r="F275" s="129"/>
      <c r="G275" s="132"/>
      <c r="H275" s="132"/>
    </row>
    <row r="276" spans="1:8">
      <c r="A276" s="127"/>
      <c r="B276" s="128"/>
      <c r="C276" s="132"/>
      <c r="D276" s="133"/>
      <c r="E276" s="132"/>
      <c r="F276" s="129"/>
      <c r="G276" s="132"/>
      <c r="H276" s="132"/>
    </row>
    <row r="277" spans="1:8">
      <c r="A277" s="127"/>
      <c r="B277" s="128"/>
      <c r="C277" s="132"/>
      <c r="D277" s="133"/>
      <c r="E277" s="132"/>
      <c r="F277" s="129"/>
      <c r="G277" s="132"/>
      <c r="H277" s="132"/>
    </row>
    <row r="278" spans="1:8">
      <c r="A278" s="127"/>
      <c r="B278" s="128"/>
      <c r="C278" s="132"/>
      <c r="D278" s="133"/>
      <c r="E278" s="132"/>
      <c r="F278" s="129"/>
      <c r="G278" s="132"/>
      <c r="H278" s="132"/>
    </row>
    <row r="279" spans="1:8">
      <c r="A279" s="127"/>
      <c r="B279" s="128"/>
      <c r="C279" s="132"/>
      <c r="D279" s="133"/>
      <c r="E279" s="132"/>
      <c r="F279" s="129"/>
      <c r="G279" s="132"/>
      <c r="H279" s="132"/>
    </row>
    <row r="280" spans="1:8">
      <c r="A280" s="127"/>
      <c r="B280" s="128"/>
      <c r="C280" s="132"/>
      <c r="D280" s="133"/>
      <c r="E280" s="132"/>
      <c r="F280" s="129"/>
      <c r="G280" s="132"/>
      <c r="H280" s="132"/>
    </row>
    <row r="281" spans="1:8">
      <c r="A281" s="127"/>
      <c r="B281" s="128"/>
      <c r="C281" s="132"/>
      <c r="D281" s="133"/>
      <c r="E281" s="132"/>
      <c r="F281" s="129"/>
      <c r="G281" s="132"/>
      <c r="H281" s="132"/>
    </row>
    <row r="282" spans="1:8">
      <c r="A282" s="127"/>
      <c r="B282" s="128"/>
      <c r="C282" s="132"/>
      <c r="D282" s="133"/>
      <c r="E282" s="132"/>
      <c r="F282" s="129"/>
      <c r="G282" s="132"/>
      <c r="H282" s="132"/>
    </row>
    <row r="283" spans="1:8">
      <c r="A283" s="127"/>
      <c r="B283" s="128"/>
      <c r="C283" s="132"/>
      <c r="D283" s="133"/>
      <c r="E283" s="132"/>
      <c r="F283" s="129"/>
      <c r="G283" s="132"/>
      <c r="H283" s="132"/>
    </row>
    <row r="284" spans="1:8">
      <c r="A284" s="127"/>
      <c r="B284" s="128"/>
      <c r="C284" s="132"/>
      <c r="D284" s="133"/>
      <c r="E284" s="132"/>
      <c r="F284" s="129"/>
      <c r="G284" s="132"/>
      <c r="H284" s="132"/>
    </row>
    <row r="285" spans="1:8">
      <c r="A285" s="127"/>
      <c r="B285" s="128"/>
      <c r="C285" s="132"/>
      <c r="D285" s="133"/>
      <c r="E285" s="132"/>
      <c r="F285" s="129"/>
      <c r="G285" s="132"/>
      <c r="H285" s="132"/>
    </row>
    <row r="286" spans="1:8">
      <c r="A286" s="127"/>
      <c r="B286" s="128"/>
      <c r="C286" s="132"/>
      <c r="D286" s="133"/>
      <c r="E286" s="132"/>
      <c r="F286" s="129"/>
      <c r="G286" s="132"/>
      <c r="H286" s="132"/>
    </row>
    <row r="287" spans="1:8">
      <c r="A287" s="127"/>
      <c r="B287" s="128"/>
      <c r="C287" s="132"/>
      <c r="D287" s="133"/>
      <c r="E287" s="132"/>
      <c r="F287" s="129"/>
      <c r="G287" s="132"/>
      <c r="H287" s="132"/>
    </row>
    <row r="288" spans="1:8">
      <c r="A288" s="127"/>
      <c r="B288" s="128"/>
      <c r="C288" s="132"/>
      <c r="D288" s="133"/>
      <c r="E288" s="132"/>
      <c r="F288" s="129"/>
      <c r="G288" s="132"/>
      <c r="H288" s="132"/>
    </row>
    <row r="289" spans="1:8">
      <c r="A289" s="127"/>
      <c r="B289" s="128"/>
      <c r="C289" s="132"/>
      <c r="D289" s="133"/>
      <c r="E289" s="132"/>
      <c r="F289" s="129"/>
      <c r="G289" s="132"/>
      <c r="H289" s="132"/>
    </row>
    <row r="290" spans="1:8">
      <c r="A290" s="127"/>
      <c r="B290" s="128"/>
      <c r="C290" s="132"/>
      <c r="D290" s="133"/>
      <c r="E290" s="132"/>
      <c r="F290" s="129"/>
      <c r="G290" s="132"/>
      <c r="H290" s="132"/>
    </row>
    <row r="291" spans="1:8">
      <c r="A291" s="127"/>
      <c r="B291" s="128"/>
      <c r="C291" s="132"/>
      <c r="D291" s="133"/>
      <c r="E291" s="132"/>
      <c r="F291" s="129"/>
      <c r="G291" s="132"/>
      <c r="H291" s="132"/>
    </row>
    <row r="292" spans="1:8">
      <c r="A292" s="127"/>
      <c r="B292" s="128"/>
      <c r="C292" s="132"/>
      <c r="D292" s="133"/>
      <c r="E292" s="132"/>
      <c r="F292" s="129"/>
      <c r="G292" s="132"/>
      <c r="H292" s="132"/>
    </row>
    <row r="293" spans="1:8">
      <c r="A293" s="127"/>
      <c r="B293" s="128"/>
      <c r="C293" s="132"/>
      <c r="D293" s="133"/>
      <c r="E293" s="132"/>
      <c r="F293" s="129"/>
      <c r="G293" s="132"/>
      <c r="H293" s="132"/>
    </row>
    <row r="294" spans="1:8">
      <c r="A294" s="127"/>
      <c r="B294" s="128"/>
      <c r="C294" s="132"/>
      <c r="D294" s="133"/>
      <c r="E294" s="132"/>
      <c r="F294" s="129"/>
      <c r="G294" s="132"/>
      <c r="H294" s="132"/>
    </row>
    <row r="295" spans="1:8">
      <c r="A295" s="127"/>
      <c r="B295" s="128"/>
      <c r="C295" s="132"/>
      <c r="D295" s="133"/>
      <c r="E295" s="132"/>
      <c r="F295" s="129"/>
      <c r="G295" s="132"/>
      <c r="H295" s="132"/>
    </row>
    <row r="296" spans="1:8">
      <c r="A296" s="127"/>
      <c r="B296" s="128"/>
      <c r="C296" s="132"/>
      <c r="D296" s="133"/>
      <c r="E296" s="132"/>
      <c r="F296" s="129"/>
      <c r="G296" s="132"/>
      <c r="H296" s="132"/>
    </row>
    <row r="297" spans="1:8">
      <c r="A297" s="127"/>
      <c r="B297" s="128"/>
      <c r="C297" s="132"/>
      <c r="D297" s="133"/>
      <c r="E297" s="132"/>
      <c r="F297" s="129"/>
      <c r="G297" s="132"/>
      <c r="H297" s="132"/>
    </row>
    <row r="298" spans="1:8">
      <c r="A298" s="127"/>
      <c r="B298" s="128"/>
      <c r="C298" s="132"/>
      <c r="D298" s="133"/>
      <c r="E298" s="132"/>
      <c r="F298" s="129"/>
      <c r="G298" s="132"/>
      <c r="H298" s="132"/>
    </row>
    <row r="299" spans="1:8">
      <c r="A299" s="127"/>
      <c r="B299" s="128"/>
      <c r="C299" s="132"/>
      <c r="D299" s="133"/>
      <c r="E299" s="132"/>
      <c r="F299" s="129"/>
      <c r="G299" s="132"/>
      <c r="H299" s="132"/>
    </row>
    <row r="300" spans="1:8">
      <c r="A300" s="127"/>
      <c r="B300" s="128"/>
      <c r="C300" s="132"/>
      <c r="D300" s="133"/>
      <c r="E300" s="132"/>
      <c r="F300" s="129"/>
      <c r="G300" s="132"/>
      <c r="H300" s="132"/>
    </row>
    <row r="301" spans="1:8">
      <c r="A301" s="127"/>
      <c r="B301" s="128"/>
      <c r="C301" s="132"/>
      <c r="D301" s="133"/>
      <c r="E301" s="132"/>
      <c r="F301" s="129"/>
      <c r="G301" s="132"/>
      <c r="H301" s="132"/>
    </row>
    <row r="302" spans="1:8">
      <c r="A302" s="127"/>
      <c r="B302" s="128"/>
      <c r="C302" s="132"/>
      <c r="D302" s="133"/>
      <c r="E302" s="132"/>
      <c r="F302" s="129"/>
      <c r="G302" s="132"/>
      <c r="H302" s="132"/>
    </row>
    <row r="303" spans="1:8">
      <c r="A303" s="127"/>
      <c r="B303" s="128"/>
      <c r="C303" s="132"/>
      <c r="D303" s="133"/>
      <c r="E303" s="132"/>
      <c r="F303" s="129"/>
      <c r="G303" s="132"/>
      <c r="H303" s="132"/>
    </row>
    <row r="304" spans="1:8">
      <c r="A304" s="127"/>
      <c r="B304" s="128"/>
      <c r="C304" s="132"/>
      <c r="D304" s="133"/>
      <c r="E304" s="132"/>
      <c r="F304" s="129"/>
      <c r="G304" s="132"/>
      <c r="H304" s="132"/>
    </row>
    <row r="305" spans="1:8">
      <c r="A305" s="127"/>
      <c r="B305" s="128"/>
      <c r="C305" s="132"/>
      <c r="D305" s="133"/>
      <c r="E305" s="132"/>
      <c r="F305" s="129"/>
      <c r="G305" s="132"/>
      <c r="H305" s="132"/>
    </row>
    <row r="306" spans="1:8">
      <c r="A306" s="127"/>
      <c r="B306" s="128"/>
      <c r="C306" s="132"/>
      <c r="D306" s="133"/>
      <c r="E306" s="132"/>
      <c r="F306" s="129"/>
      <c r="G306" s="132"/>
      <c r="H306" s="132"/>
    </row>
    <row r="307" spans="1:8">
      <c r="A307" s="127"/>
      <c r="B307" s="128"/>
      <c r="C307" s="132"/>
      <c r="D307" s="133"/>
      <c r="E307" s="132"/>
      <c r="F307" s="129"/>
      <c r="G307" s="132"/>
      <c r="H307" s="132"/>
    </row>
    <row r="308" spans="1:8">
      <c r="A308" s="127"/>
      <c r="B308" s="128"/>
      <c r="C308" s="132"/>
      <c r="D308" s="133"/>
      <c r="E308" s="132"/>
      <c r="F308" s="129"/>
      <c r="G308" s="132"/>
      <c r="H308" s="132"/>
    </row>
    <row r="309" spans="1:8">
      <c r="A309" s="127"/>
      <c r="B309" s="128"/>
      <c r="C309" s="132"/>
      <c r="D309" s="133"/>
      <c r="E309" s="132"/>
      <c r="F309" s="129"/>
      <c r="G309" s="132"/>
      <c r="H309" s="132"/>
    </row>
    <row r="310" spans="1:8">
      <c r="A310" s="127"/>
      <c r="B310" s="128"/>
      <c r="C310" s="132"/>
      <c r="D310" s="133"/>
      <c r="E310" s="132"/>
      <c r="F310" s="129"/>
      <c r="G310" s="132"/>
      <c r="H310" s="132"/>
    </row>
    <row r="311" spans="1:8">
      <c r="A311" s="127"/>
      <c r="B311" s="128"/>
      <c r="C311" s="132"/>
      <c r="D311" s="133"/>
      <c r="E311" s="132"/>
      <c r="F311" s="129"/>
      <c r="G311" s="132"/>
      <c r="H311" s="132"/>
    </row>
    <row r="312" spans="1:8">
      <c r="A312" s="127"/>
      <c r="B312" s="128"/>
      <c r="C312" s="132"/>
      <c r="D312" s="133"/>
      <c r="E312" s="132"/>
      <c r="F312" s="129"/>
      <c r="G312" s="132"/>
      <c r="H312" s="132"/>
    </row>
    <row r="313" spans="1:8">
      <c r="A313" s="127"/>
      <c r="B313" s="128"/>
      <c r="C313" s="132"/>
      <c r="D313" s="133"/>
      <c r="E313" s="132"/>
      <c r="F313" s="129"/>
      <c r="G313" s="132"/>
      <c r="H313" s="132"/>
    </row>
    <row r="314" spans="1:8">
      <c r="A314" s="127"/>
      <c r="B314" s="128"/>
      <c r="C314" s="132"/>
      <c r="D314" s="133"/>
      <c r="E314" s="132"/>
      <c r="F314" s="129"/>
      <c r="G314" s="132"/>
      <c r="H314" s="132"/>
    </row>
    <row r="315" spans="1:8">
      <c r="A315" s="127"/>
      <c r="B315" s="128"/>
      <c r="C315" s="132"/>
      <c r="D315" s="133"/>
      <c r="E315" s="132"/>
      <c r="F315" s="129"/>
      <c r="G315" s="132"/>
      <c r="H315" s="132"/>
    </row>
    <row r="316" spans="1:8">
      <c r="A316" s="127"/>
      <c r="B316" s="128"/>
      <c r="C316" s="132"/>
      <c r="D316" s="133"/>
      <c r="E316" s="132"/>
      <c r="F316" s="129"/>
      <c r="G316" s="132"/>
      <c r="H316" s="132"/>
    </row>
    <row r="317" spans="1:8">
      <c r="A317" s="127"/>
      <c r="B317" s="128"/>
      <c r="C317" s="132"/>
      <c r="D317" s="133"/>
      <c r="E317" s="132"/>
      <c r="F317" s="129"/>
      <c r="G317" s="132"/>
      <c r="H317" s="132"/>
    </row>
    <row r="318" spans="1:8">
      <c r="A318" s="127"/>
      <c r="B318" s="128"/>
      <c r="C318" s="132"/>
      <c r="D318" s="133"/>
      <c r="E318" s="132"/>
      <c r="F318" s="129"/>
      <c r="G318" s="132"/>
      <c r="H318" s="132"/>
    </row>
    <row r="319" spans="1:8">
      <c r="A319" s="127"/>
      <c r="B319" s="128"/>
      <c r="C319" s="132"/>
      <c r="D319" s="133"/>
      <c r="E319" s="132"/>
      <c r="F319" s="129"/>
      <c r="G319" s="132"/>
      <c r="H319" s="132"/>
    </row>
    <row r="320" spans="1:8">
      <c r="A320" s="127"/>
      <c r="B320" s="128"/>
      <c r="C320" s="132"/>
      <c r="D320" s="133"/>
      <c r="E320" s="132"/>
      <c r="F320" s="129"/>
      <c r="G320" s="132"/>
      <c r="H320" s="132"/>
    </row>
    <row r="321" spans="1:8">
      <c r="A321" s="127"/>
      <c r="B321" s="128"/>
      <c r="C321" s="132"/>
      <c r="D321" s="133"/>
      <c r="E321" s="132"/>
      <c r="F321" s="129"/>
      <c r="G321" s="132"/>
      <c r="H321" s="132"/>
    </row>
    <row r="322" spans="1:8">
      <c r="A322" s="127"/>
      <c r="B322" s="128"/>
      <c r="C322" s="132"/>
      <c r="D322" s="133"/>
      <c r="E322" s="132"/>
      <c r="F322" s="129"/>
      <c r="G322" s="132"/>
      <c r="H322" s="132"/>
    </row>
    <row r="323" spans="1:8">
      <c r="A323" s="127"/>
      <c r="B323" s="128"/>
      <c r="C323" s="132"/>
      <c r="D323" s="133"/>
      <c r="E323" s="132"/>
      <c r="F323" s="129"/>
      <c r="G323" s="132"/>
      <c r="H323" s="132"/>
    </row>
    <row r="324" spans="1:8">
      <c r="A324" s="127"/>
      <c r="B324" s="128"/>
      <c r="C324" s="132"/>
      <c r="D324" s="133"/>
      <c r="E324" s="132"/>
      <c r="F324" s="129"/>
      <c r="G324" s="132"/>
      <c r="H324" s="132"/>
    </row>
    <row r="325" spans="1:8">
      <c r="A325" s="127"/>
      <c r="B325" s="128"/>
      <c r="C325" s="132"/>
      <c r="D325" s="133"/>
      <c r="E325" s="132"/>
      <c r="F325" s="129"/>
      <c r="G325" s="132"/>
      <c r="H325" s="132"/>
    </row>
    <row r="326" spans="1:8">
      <c r="A326" s="127"/>
      <c r="B326" s="128"/>
      <c r="C326" s="132"/>
      <c r="D326" s="133"/>
      <c r="E326" s="132"/>
      <c r="F326" s="129"/>
      <c r="G326" s="132"/>
      <c r="H326" s="132"/>
    </row>
    <row r="327" spans="1:8">
      <c r="A327" s="127"/>
      <c r="B327" s="128"/>
      <c r="C327" s="132"/>
      <c r="D327" s="133"/>
      <c r="E327" s="132"/>
      <c r="F327" s="129"/>
      <c r="G327" s="132"/>
      <c r="H327" s="132"/>
    </row>
    <row r="328" spans="1:8">
      <c r="A328" s="127"/>
      <c r="B328" s="128"/>
      <c r="C328" s="132"/>
      <c r="D328" s="133"/>
      <c r="E328" s="132"/>
      <c r="F328" s="129"/>
      <c r="G328" s="132"/>
      <c r="H328" s="132"/>
    </row>
    <row r="329" spans="1:8">
      <c r="A329" s="127"/>
      <c r="B329" s="128"/>
      <c r="C329" s="132"/>
      <c r="D329" s="133"/>
      <c r="E329" s="132"/>
      <c r="F329" s="129"/>
      <c r="G329" s="132"/>
      <c r="H329" s="132"/>
    </row>
    <row r="330" spans="1:8">
      <c r="A330" s="127"/>
      <c r="B330" s="128"/>
      <c r="C330" s="132"/>
      <c r="D330" s="133"/>
      <c r="E330" s="132"/>
      <c r="F330" s="129"/>
      <c r="G330" s="132"/>
      <c r="H330" s="132"/>
    </row>
    <row r="331" spans="1:8">
      <c r="A331" s="127"/>
      <c r="B331" s="128"/>
      <c r="C331" s="132"/>
      <c r="D331" s="133"/>
      <c r="E331" s="132"/>
      <c r="F331" s="129"/>
      <c r="G331" s="132"/>
      <c r="H331" s="132"/>
    </row>
    <row r="332" spans="1:8">
      <c r="A332" s="127"/>
      <c r="B332" s="128"/>
      <c r="C332" s="132"/>
      <c r="D332" s="133"/>
      <c r="E332" s="132"/>
      <c r="F332" s="129"/>
      <c r="G332" s="132"/>
      <c r="H332" s="132"/>
    </row>
    <row r="333" spans="1:8">
      <c r="A333" s="127"/>
      <c r="B333" s="128"/>
      <c r="C333" s="132"/>
      <c r="D333" s="133"/>
      <c r="E333" s="132"/>
      <c r="F333" s="129"/>
      <c r="G333" s="132"/>
      <c r="H333" s="132"/>
    </row>
    <row r="334" spans="1:8">
      <c r="A334" s="127"/>
      <c r="B334" s="128"/>
      <c r="C334" s="132"/>
      <c r="D334" s="133"/>
      <c r="E334" s="132"/>
      <c r="F334" s="129"/>
      <c r="G334" s="132"/>
      <c r="H334" s="132"/>
    </row>
    <row r="335" spans="1:8">
      <c r="A335" s="127"/>
      <c r="B335" s="128"/>
      <c r="C335" s="132"/>
      <c r="D335" s="133"/>
      <c r="E335" s="132"/>
      <c r="F335" s="129"/>
      <c r="G335" s="132"/>
      <c r="H335" s="132"/>
    </row>
    <row r="336" spans="1:8">
      <c r="A336" s="127"/>
      <c r="B336" s="128"/>
      <c r="C336" s="132"/>
      <c r="D336" s="133"/>
      <c r="E336" s="132"/>
      <c r="F336" s="129"/>
      <c r="G336" s="132"/>
      <c r="H336" s="132"/>
    </row>
    <row r="337" spans="1:8">
      <c r="A337" s="127"/>
      <c r="B337" s="128"/>
      <c r="C337" s="132"/>
      <c r="D337" s="133"/>
      <c r="E337" s="132"/>
      <c r="F337" s="129"/>
      <c r="G337" s="132"/>
      <c r="H337" s="132"/>
    </row>
    <row r="338" spans="1:8">
      <c r="A338" s="127"/>
      <c r="B338" s="128"/>
      <c r="C338" s="132"/>
      <c r="D338" s="133"/>
      <c r="E338" s="132"/>
      <c r="F338" s="129"/>
      <c r="G338" s="132"/>
      <c r="H338" s="132"/>
    </row>
    <row r="339" spans="1:8">
      <c r="A339" s="127"/>
      <c r="B339" s="128"/>
      <c r="C339" s="132"/>
      <c r="D339" s="133"/>
      <c r="E339" s="132"/>
      <c r="F339" s="129"/>
      <c r="G339" s="132"/>
      <c r="H339" s="132"/>
    </row>
    <row r="340" spans="1:8">
      <c r="A340" s="127"/>
      <c r="B340" s="128"/>
      <c r="C340" s="132"/>
      <c r="D340" s="133"/>
      <c r="E340" s="132"/>
      <c r="F340" s="129"/>
      <c r="G340" s="132"/>
      <c r="H340" s="132"/>
    </row>
    <row r="341" spans="1:8">
      <c r="A341" s="127"/>
      <c r="B341" s="128"/>
      <c r="C341" s="132"/>
      <c r="D341" s="133"/>
      <c r="E341" s="132"/>
      <c r="F341" s="129"/>
      <c r="G341" s="132"/>
      <c r="H341" s="132"/>
    </row>
    <row r="342" spans="1:8">
      <c r="A342" s="127"/>
      <c r="B342" s="128"/>
      <c r="C342" s="132"/>
      <c r="D342" s="133"/>
      <c r="E342" s="132"/>
      <c r="F342" s="129"/>
      <c r="G342" s="132"/>
      <c r="H342" s="132"/>
    </row>
    <row r="343" spans="1:8">
      <c r="A343" s="127"/>
      <c r="B343" s="128"/>
      <c r="C343" s="132"/>
      <c r="D343" s="133"/>
      <c r="E343" s="132"/>
      <c r="F343" s="129"/>
      <c r="G343" s="132"/>
      <c r="H343" s="132"/>
    </row>
    <row r="344" spans="1:8">
      <c r="A344" s="127"/>
      <c r="B344" s="128"/>
      <c r="C344" s="132"/>
      <c r="D344" s="133"/>
      <c r="E344" s="132"/>
      <c r="F344" s="129"/>
      <c r="G344" s="132"/>
      <c r="H344" s="132"/>
    </row>
    <row r="345" spans="1:8">
      <c r="A345" s="127"/>
      <c r="B345" s="128"/>
      <c r="C345" s="132"/>
      <c r="D345" s="133"/>
      <c r="E345" s="132"/>
      <c r="F345" s="129"/>
      <c r="G345" s="132"/>
      <c r="H345" s="132"/>
    </row>
    <row r="346" spans="1:8">
      <c r="A346" s="127"/>
      <c r="B346" s="128"/>
      <c r="C346" s="132"/>
      <c r="D346" s="133"/>
      <c r="E346" s="132"/>
      <c r="F346" s="129"/>
      <c r="G346" s="132"/>
      <c r="H346" s="132"/>
    </row>
    <row r="347" spans="1:8">
      <c r="A347" s="127"/>
      <c r="B347" s="128"/>
      <c r="C347" s="132"/>
      <c r="D347" s="133"/>
      <c r="E347" s="132"/>
      <c r="F347" s="129"/>
      <c r="G347" s="132"/>
      <c r="H347" s="132"/>
    </row>
    <row r="348" spans="1:8">
      <c r="A348" s="127"/>
      <c r="B348" s="128"/>
      <c r="C348" s="132"/>
      <c r="D348" s="133"/>
      <c r="E348" s="132"/>
      <c r="F348" s="129"/>
      <c r="G348" s="132"/>
      <c r="H348" s="132"/>
    </row>
    <row r="349" spans="1:8">
      <c r="A349" s="127"/>
      <c r="B349" s="128"/>
      <c r="C349" s="132"/>
      <c r="D349" s="133"/>
      <c r="E349" s="132"/>
      <c r="F349" s="129"/>
      <c r="G349" s="132"/>
      <c r="H349" s="132"/>
    </row>
    <row r="350" spans="1:8">
      <c r="A350" s="127"/>
      <c r="B350" s="128"/>
      <c r="C350" s="132"/>
      <c r="D350" s="133"/>
      <c r="E350" s="132"/>
      <c r="F350" s="129"/>
      <c r="G350" s="132"/>
      <c r="H350" s="132"/>
    </row>
    <row r="351" spans="1:8">
      <c r="A351" s="127"/>
      <c r="B351" s="128"/>
      <c r="C351" s="132"/>
      <c r="D351" s="133"/>
      <c r="E351" s="132"/>
      <c r="F351" s="129"/>
      <c r="G351" s="132"/>
      <c r="H351" s="132"/>
    </row>
    <row r="352" spans="1:8">
      <c r="A352" s="127"/>
      <c r="B352" s="128"/>
      <c r="C352" s="132"/>
      <c r="D352" s="133"/>
      <c r="E352" s="132"/>
      <c r="F352" s="129"/>
      <c r="G352" s="132"/>
      <c r="H352" s="132"/>
    </row>
    <row r="353" spans="1:8">
      <c r="A353" s="127"/>
      <c r="B353" s="128"/>
      <c r="C353" s="132"/>
      <c r="D353" s="133"/>
      <c r="E353" s="132"/>
      <c r="F353" s="129"/>
      <c r="G353" s="132"/>
      <c r="H353" s="132"/>
    </row>
    <row r="354" spans="1:8">
      <c r="A354" s="127"/>
      <c r="B354" s="128"/>
      <c r="C354" s="132"/>
      <c r="D354" s="133"/>
      <c r="E354" s="132"/>
      <c r="F354" s="129"/>
      <c r="G354" s="132"/>
      <c r="H354" s="132"/>
    </row>
    <row r="355" spans="1:8">
      <c r="A355" s="127"/>
      <c r="B355" s="128"/>
      <c r="C355" s="132"/>
      <c r="D355" s="133"/>
      <c r="E355" s="132"/>
      <c r="F355" s="129"/>
      <c r="G355" s="132"/>
      <c r="H355" s="132"/>
    </row>
    <row r="356" spans="1:8">
      <c r="A356" s="127"/>
      <c r="B356" s="128"/>
      <c r="C356" s="132"/>
      <c r="D356" s="133"/>
      <c r="E356" s="132"/>
      <c r="F356" s="129"/>
      <c r="G356" s="132"/>
      <c r="H356" s="132"/>
    </row>
    <row r="357" spans="1:8">
      <c r="A357" s="127"/>
      <c r="B357" s="128"/>
      <c r="C357" s="132"/>
      <c r="D357" s="133"/>
      <c r="E357" s="132"/>
      <c r="F357" s="129"/>
      <c r="G357" s="132"/>
      <c r="H357" s="132"/>
    </row>
    <row r="358" spans="1:8">
      <c r="A358" s="127"/>
      <c r="B358" s="128"/>
      <c r="C358" s="132"/>
      <c r="D358" s="133"/>
      <c r="E358" s="132"/>
      <c r="F358" s="129"/>
      <c r="G358" s="132"/>
      <c r="H358" s="132"/>
    </row>
    <row r="359" spans="1:8">
      <c r="A359" s="127"/>
      <c r="B359" s="128"/>
      <c r="C359" s="132"/>
      <c r="D359" s="133"/>
      <c r="E359" s="132"/>
      <c r="F359" s="129"/>
      <c r="G359" s="132"/>
      <c r="H359" s="132"/>
    </row>
    <row r="360" spans="1:8">
      <c r="A360" s="127"/>
      <c r="B360" s="128"/>
      <c r="C360" s="132"/>
      <c r="D360" s="133"/>
      <c r="E360" s="132"/>
      <c r="F360" s="129"/>
      <c r="G360" s="132"/>
      <c r="H360" s="132"/>
    </row>
    <row r="361" spans="1:8">
      <c r="A361" s="127"/>
      <c r="B361" s="128"/>
      <c r="C361" s="132"/>
      <c r="D361" s="133"/>
      <c r="E361" s="132"/>
      <c r="F361" s="129"/>
      <c r="G361" s="132"/>
      <c r="H361" s="132"/>
    </row>
    <row r="362" spans="1:8">
      <c r="A362" s="127"/>
      <c r="B362" s="128"/>
      <c r="C362" s="132"/>
      <c r="D362" s="133"/>
      <c r="E362" s="132"/>
      <c r="F362" s="129"/>
      <c r="G362" s="132"/>
      <c r="H362" s="132"/>
    </row>
    <row r="363" spans="1:8">
      <c r="A363" s="127"/>
      <c r="B363" s="128"/>
      <c r="C363" s="132"/>
      <c r="D363" s="133"/>
      <c r="E363" s="132"/>
      <c r="F363" s="129"/>
      <c r="G363" s="132"/>
      <c r="H363" s="132"/>
    </row>
    <row r="364" spans="1:8">
      <c r="A364" s="127"/>
      <c r="B364" s="128"/>
      <c r="C364" s="132"/>
      <c r="D364" s="133"/>
      <c r="E364" s="132"/>
      <c r="F364" s="129"/>
      <c r="G364" s="132"/>
      <c r="H364" s="132"/>
    </row>
    <row r="365" spans="1:8">
      <c r="A365" s="127"/>
      <c r="B365" s="128"/>
      <c r="C365" s="132"/>
      <c r="D365" s="133"/>
      <c r="E365" s="132"/>
      <c r="F365" s="129"/>
      <c r="G365" s="132"/>
      <c r="H365" s="132"/>
    </row>
    <row r="366" spans="1:8">
      <c r="A366" s="127"/>
      <c r="B366" s="128"/>
      <c r="C366" s="132"/>
      <c r="D366" s="133"/>
      <c r="E366" s="132"/>
      <c r="F366" s="129"/>
      <c r="G366" s="132"/>
      <c r="H366" s="132"/>
    </row>
    <row r="367" spans="1:8">
      <c r="A367" s="127"/>
      <c r="B367" s="128"/>
      <c r="C367" s="132"/>
      <c r="D367" s="133"/>
      <c r="E367" s="132"/>
      <c r="F367" s="129"/>
      <c r="G367" s="132"/>
      <c r="H367" s="132"/>
    </row>
    <row r="368" spans="1:8">
      <c r="A368" s="127"/>
      <c r="B368" s="128"/>
      <c r="C368" s="132"/>
      <c r="D368" s="133"/>
      <c r="E368" s="132"/>
      <c r="F368" s="129"/>
      <c r="G368" s="132"/>
      <c r="H368" s="132"/>
    </row>
    <row r="369" spans="1:8">
      <c r="A369" s="127"/>
      <c r="B369" s="128"/>
      <c r="C369" s="132"/>
      <c r="D369" s="133"/>
      <c r="E369" s="132"/>
      <c r="F369" s="129"/>
      <c r="G369" s="132"/>
      <c r="H369" s="132"/>
    </row>
    <row r="370" spans="1:8">
      <c r="A370" s="127"/>
      <c r="B370" s="128"/>
      <c r="C370" s="132"/>
      <c r="D370" s="133"/>
      <c r="E370" s="132"/>
      <c r="F370" s="129"/>
      <c r="G370" s="132"/>
      <c r="H370" s="132"/>
    </row>
    <row r="371" spans="1:8">
      <c r="A371" s="127"/>
      <c r="B371" s="128"/>
      <c r="C371" s="132"/>
      <c r="D371" s="133"/>
      <c r="E371" s="132"/>
      <c r="F371" s="129"/>
      <c r="G371" s="132"/>
      <c r="H371" s="132"/>
    </row>
    <row r="372" spans="1:8">
      <c r="A372" s="127"/>
      <c r="B372" s="128"/>
      <c r="C372" s="132"/>
      <c r="D372" s="133"/>
      <c r="E372" s="132"/>
      <c r="F372" s="129"/>
      <c r="G372" s="132"/>
      <c r="H372" s="132"/>
    </row>
    <row r="373" spans="1:8">
      <c r="A373" s="127"/>
      <c r="B373" s="128"/>
      <c r="C373" s="132"/>
      <c r="D373" s="133"/>
      <c r="E373" s="132"/>
      <c r="F373" s="129"/>
      <c r="G373" s="132"/>
      <c r="H373" s="132"/>
    </row>
    <row r="374" spans="1:8">
      <c r="A374" s="127"/>
      <c r="B374" s="128"/>
      <c r="C374" s="132"/>
      <c r="D374" s="133"/>
      <c r="E374" s="132"/>
      <c r="F374" s="129"/>
      <c r="G374" s="132"/>
      <c r="H374" s="132"/>
    </row>
    <row r="375" spans="1:8">
      <c r="A375" s="127"/>
      <c r="B375" s="128"/>
      <c r="C375" s="132"/>
      <c r="D375" s="133"/>
      <c r="E375" s="132"/>
      <c r="F375" s="129"/>
      <c r="G375" s="132"/>
      <c r="H375" s="132"/>
    </row>
    <row r="376" spans="1:8">
      <c r="A376" s="127"/>
      <c r="B376" s="128"/>
      <c r="C376" s="132"/>
      <c r="D376" s="133"/>
      <c r="E376" s="132"/>
      <c r="F376" s="129"/>
      <c r="G376" s="132"/>
      <c r="H376" s="132"/>
    </row>
    <row r="377" spans="1:8">
      <c r="A377" s="127"/>
      <c r="B377" s="128"/>
      <c r="C377" s="132"/>
      <c r="D377" s="133"/>
      <c r="E377" s="132"/>
      <c r="F377" s="129"/>
      <c r="G377" s="132"/>
      <c r="H377" s="132"/>
    </row>
    <row r="378" spans="1:8">
      <c r="A378" s="127"/>
      <c r="B378" s="128"/>
      <c r="C378" s="132"/>
      <c r="D378" s="133"/>
      <c r="E378" s="132"/>
      <c r="F378" s="129"/>
      <c r="G378" s="132"/>
      <c r="H378" s="132"/>
    </row>
    <row r="379" spans="1:8">
      <c r="A379" s="127"/>
      <c r="B379" s="128"/>
      <c r="C379" s="132"/>
      <c r="D379" s="133"/>
      <c r="E379" s="132"/>
      <c r="F379" s="129"/>
      <c r="G379" s="132"/>
      <c r="H379" s="132"/>
    </row>
    <row r="380" spans="1:8">
      <c r="A380" s="127"/>
      <c r="B380" s="128"/>
      <c r="C380" s="132"/>
      <c r="D380" s="133"/>
      <c r="E380" s="132"/>
      <c r="F380" s="129"/>
      <c r="G380" s="132"/>
      <c r="H380" s="132"/>
    </row>
    <row r="381" spans="1:8">
      <c r="A381" s="127"/>
      <c r="B381" s="128"/>
      <c r="C381" s="132"/>
      <c r="D381" s="133"/>
      <c r="E381" s="132"/>
      <c r="F381" s="129"/>
      <c r="G381" s="132"/>
      <c r="H381" s="132"/>
    </row>
    <row r="382" spans="1:8">
      <c r="A382" s="127"/>
      <c r="B382" s="128"/>
      <c r="C382" s="132"/>
      <c r="D382" s="133"/>
      <c r="E382" s="132"/>
      <c r="F382" s="129"/>
      <c r="G382" s="132"/>
      <c r="H382" s="132"/>
    </row>
    <row r="383" spans="1:8">
      <c r="A383" s="127"/>
      <c r="B383" s="128"/>
      <c r="C383" s="132"/>
      <c r="D383" s="133"/>
      <c r="E383" s="132"/>
      <c r="F383" s="129"/>
      <c r="G383" s="132"/>
      <c r="H383" s="132"/>
    </row>
    <row r="384" spans="1:8">
      <c r="A384" s="127"/>
      <c r="B384" s="128"/>
      <c r="C384" s="132"/>
      <c r="D384" s="133"/>
      <c r="E384" s="132"/>
      <c r="F384" s="129"/>
      <c r="G384" s="132"/>
      <c r="H384" s="132"/>
    </row>
    <row r="385" spans="1:8">
      <c r="A385" s="127"/>
      <c r="B385" s="128"/>
      <c r="C385" s="132"/>
      <c r="D385" s="133"/>
      <c r="E385" s="132"/>
      <c r="F385" s="129"/>
      <c r="G385" s="132"/>
      <c r="H385" s="132"/>
    </row>
    <row r="386" spans="1:8">
      <c r="A386" s="127"/>
      <c r="B386" s="128"/>
      <c r="C386" s="132"/>
      <c r="D386" s="133"/>
      <c r="E386" s="132"/>
      <c r="F386" s="129"/>
      <c r="G386" s="132"/>
      <c r="H386" s="132"/>
    </row>
    <row r="387" spans="1:8">
      <c r="A387" s="127"/>
      <c r="B387" s="128"/>
      <c r="C387" s="132"/>
      <c r="D387" s="133"/>
      <c r="E387" s="132"/>
      <c r="F387" s="129"/>
      <c r="G387" s="132"/>
      <c r="H387" s="132"/>
    </row>
    <row r="388" spans="1:8">
      <c r="A388" s="127"/>
      <c r="B388" s="128"/>
      <c r="C388" s="132"/>
      <c r="D388" s="133"/>
      <c r="E388" s="132"/>
      <c r="F388" s="129"/>
      <c r="G388" s="132"/>
      <c r="H388" s="132"/>
    </row>
    <row r="389" spans="1:8">
      <c r="A389" s="127"/>
      <c r="B389" s="128"/>
      <c r="C389" s="132"/>
      <c r="D389" s="133"/>
      <c r="E389" s="132"/>
      <c r="F389" s="129"/>
      <c r="G389" s="132"/>
      <c r="H389" s="132"/>
    </row>
    <row r="390" spans="1:8">
      <c r="A390" s="127"/>
      <c r="B390" s="128"/>
      <c r="C390" s="132"/>
      <c r="D390" s="133"/>
      <c r="E390" s="132"/>
      <c r="F390" s="129"/>
      <c r="G390" s="132"/>
      <c r="H390" s="132"/>
    </row>
    <row r="391" spans="1:8">
      <c r="A391" s="127"/>
      <c r="B391" s="128"/>
      <c r="C391" s="132"/>
      <c r="D391" s="133"/>
      <c r="E391" s="132"/>
      <c r="F391" s="129"/>
      <c r="G391" s="132"/>
      <c r="H391" s="132"/>
    </row>
    <row r="392" spans="1:8">
      <c r="A392" s="127"/>
      <c r="B392" s="128"/>
      <c r="C392" s="132"/>
      <c r="D392" s="133"/>
      <c r="E392" s="132"/>
      <c r="F392" s="129"/>
      <c r="G392" s="132"/>
      <c r="H392" s="132"/>
    </row>
    <row r="393" spans="1:8">
      <c r="A393" s="127"/>
      <c r="B393" s="128"/>
      <c r="C393" s="132"/>
      <c r="D393" s="133"/>
      <c r="E393" s="132"/>
      <c r="F393" s="129"/>
      <c r="G393" s="132"/>
      <c r="H393" s="132"/>
    </row>
    <row r="394" spans="1:8">
      <c r="A394" s="127"/>
      <c r="B394" s="128"/>
      <c r="C394" s="132"/>
      <c r="D394" s="133"/>
      <c r="E394" s="132"/>
      <c r="F394" s="129"/>
      <c r="G394" s="132"/>
      <c r="H394" s="132"/>
    </row>
    <row r="395" spans="1:8">
      <c r="A395" s="127"/>
      <c r="B395" s="128"/>
      <c r="C395" s="132"/>
      <c r="D395" s="133"/>
      <c r="E395" s="132"/>
      <c r="F395" s="129"/>
      <c r="G395" s="132"/>
      <c r="H395" s="132"/>
    </row>
    <row r="396" spans="1:8">
      <c r="A396" s="127"/>
      <c r="B396" s="128"/>
      <c r="C396" s="132"/>
      <c r="D396" s="133"/>
      <c r="E396" s="132"/>
      <c r="F396" s="129"/>
      <c r="G396" s="132"/>
      <c r="H396" s="132"/>
    </row>
    <row r="397" spans="1:8">
      <c r="A397" s="127"/>
      <c r="B397" s="128"/>
      <c r="C397" s="132"/>
      <c r="D397" s="133"/>
      <c r="E397" s="132"/>
      <c r="F397" s="129"/>
      <c r="G397" s="132"/>
      <c r="H397" s="132"/>
    </row>
    <row r="398" spans="1:8">
      <c r="A398" s="127"/>
      <c r="B398" s="128"/>
      <c r="C398" s="132"/>
      <c r="D398" s="133"/>
      <c r="E398" s="132"/>
      <c r="F398" s="129"/>
      <c r="G398" s="132"/>
      <c r="H398" s="132"/>
    </row>
    <row r="399" spans="1:8">
      <c r="A399" s="127"/>
      <c r="B399" s="128"/>
      <c r="C399" s="132"/>
      <c r="D399" s="133"/>
      <c r="E399" s="132"/>
      <c r="F399" s="129"/>
      <c r="G399" s="132"/>
      <c r="H399" s="132"/>
    </row>
    <row r="400" spans="1:8">
      <c r="A400" s="127"/>
      <c r="B400" s="128"/>
      <c r="C400" s="132"/>
      <c r="D400" s="133"/>
      <c r="E400" s="132"/>
      <c r="F400" s="129"/>
      <c r="G400" s="132"/>
      <c r="H400" s="132"/>
    </row>
    <row r="401" spans="1:8">
      <c r="A401" s="127"/>
      <c r="B401" s="128"/>
      <c r="C401" s="132"/>
      <c r="D401" s="133"/>
      <c r="E401" s="132"/>
      <c r="F401" s="129"/>
      <c r="G401" s="132"/>
      <c r="H401" s="132"/>
    </row>
    <row r="402" spans="1:8">
      <c r="A402" s="127"/>
      <c r="B402" s="128"/>
      <c r="C402" s="132"/>
      <c r="D402" s="133"/>
      <c r="E402" s="132"/>
      <c r="F402" s="129"/>
      <c r="G402" s="132"/>
      <c r="H402" s="132"/>
    </row>
    <row r="403" spans="1:8">
      <c r="A403" s="127"/>
      <c r="B403" s="128"/>
      <c r="C403" s="132"/>
      <c r="D403" s="133"/>
      <c r="E403" s="132"/>
      <c r="F403" s="129"/>
      <c r="G403" s="132"/>
      <c r="H403" s="132"/>
    </row>
    <row r="404" spans="1:8">
      <c r="A404" s="127"/>
      <c r="B404" s="128"/>
      <c r="C404" s="132"/>
      <c r="D404" s="133"/>
      <c r="E404" s="132"/>
      <c r="F404" s="129"/>
      <c r="G404" s="132"/>
      <c r="H404" s="132"/>
    </row>
    <row r="405" spans="1:8">
      <c r="A405" s="127"/>
      <c r="B405" s="128"/>
      <c r="C405" s="132"/>
      <c r="D405" s="133"/>
      <c r="E405" s="132"/>
      <c r="F405" s="129"/>
      <c r="G405" s="132"/>
      <c r="H405" s="132"/>
    </row>
    <row r="406" spans="1:8">
      <c r="A406" s="127"/>
      <c r="B406" s="128"/>
      <c r="C406" s="132"/>
      <c r="D406" s="133"/>
      <c r="E406" s="132"/>
      <c r="F406" s="129"/>
      <c r="G406" s="132"/>
      <c r="H406" s="132"/>
    </row>
    <row r="407" spans="1:8">
      <c r="A407" s="127"/>
      <c r="B407" s="128"/>
      <c r="C407" s="132"/>
      <c r="D407" s="133"/>
      <c r="E407" s="132"/>
      <c r="F407" s="129"/>
      <c r="G407" s="132"/>
      <c r="H407" s="132"/>
    </row>
    <row r="408" spans="1:8">
      <c r="A408" s="127"/>
      <c r="B408" s="128"/>
      <c r="C408" s="132"/>
      <c r="D408" s="133"/>
      <c r="E408" s="132"/>
      <c r="F408" s="129"/>
      <c r="G408" s="132"/>
      <c r="H408" s="132"/>
    </row>
    <row r="409" spans="1:8">
      <c r="A409" s="127"/>
      <c r="B409" s="128"/>
      <c r="C409" s="132"/>
      <c r="D409" s="133"/>
      <c r="E409" s="132"/>
      <c r="F409" s="129"/>
      <c r="G409" s="132"/>
      <c r="H409" s="132"/>
    </row>
    <row r="410" spans="1:8">
      <c r="A410" s="127"/>
      <c r="B410" s="128"/>
      <c r="C410" s="132"/>
      <c r="D410" s="133"/>
      <c r="E410" s="132"/>
      <c r="F410" s="129"/>
      <c r="G410" s="132"/>
      <c r="H410" s="132"/>
    </row>
    <row r="411" spans="1:8">
      <c r="A411" s="127"/>
      <c r="B411" s="128"/>
      <c r="C411" s="132"/>
      <c r="D411" s="133"/>
      <c r="E411" s="132"/>
      <c r="F411" s="129"/>
      <c r="G411" s="132"/>
      <c r="H411" s="132"/>
    </row>
    <row r="412" spans="1:8">
      <c r="A412" s="127"/>
      <c r="B412" s="128"/>
      <c r="C412" s="132"/>
      <c r="D412" s="133"/>
      <c r="E412" s="132"/>
      <c r="F412" s="129"/>
      <c r="G412" s="132"/>
      <c r="H412" s="132"/>
    </row>
    <row r="413" spans="1:8">
      <c r="A413" s="127"/>
      <c r="B413" s="128"/>
      <c r="C413" s="132"/>
      <c r="D413" s="133"/>
      <c r="E413" s="132"/>
      <c r="F413" s="129"/>
      <c r="G413" s="132"/>
      <c r="H413" s="132"/>
    </row>
    <row r="414" spans="1:8">
      <c r="A414" s="127"/>
      <c r="B414" s="128"/>
      <c r="C414" s="132"/>
      <c r="D414" s="133"/>
      <c r="E414" s="132"/>
      <c r="F414" s="129"/>
      <c r="G414" s="132"/>
      <c r="H414" s="132"/>
    </row>
    <row r="415" spans="1:8">
      <c r="A415" s="127"/>
      <c r="B415" s="128"/>
      <c r="C415" s="132"/>
      <c r="D415" s="133"/>
      <c r="E415" s="132"/>
      <c r="F415" s="129"/>
      <c r="G415" s="132"/>
      <c r="H415" s="132"/>
    </row>
    <row r="416" spans="1:8">
      <c r="A416" s="127"/>
      <c r="B416" s="128"/>
      <c r="C416" s="132"/>
      <c r="D416" s="133"/>
      <c r="E416" s="132"/>
      <c r="F416" s="129"/>
      <c r="G416" s="132"/>
      <c r="H416" s="132"/>
    </row>
    <row r="417" spans="1:8">
      <c r="A417" s="127"/>
      <c r="B417" s="128"/>
      <c r="C417" s="132"/>
      <c r="D417" s="133"/>
      <c r="E417" s="132"/>
      <c r="F417" s="129"/>
      <c r="G417" s="132"/>
      <c r="H417" s="132"/>
    </row>
    <row r="418" spans="1:8">
      <c r="A418" s="127"/>
      <c r="B418" s="128"/>
      <c r="C418" s="132"/>
      <c r="D418" s="133"/>
      <c r="E418" s="132"/>
      <c r="F418" s="129"/>
      <c r="G418" s="132"/>
      <c r="H418" s="132"/>
    </row>
    <row r="419" spans="1:8">
      <c r="A419" s="127"/>
      <c r="B419" s="128"/>
      <c r="C419" s="132"/>
      <c r="D419" s="133"/>
      <c r="E419" s="132"/>
      <c r="F419" s="129"/>
      <c r="G419" s="132"/>
      <c r="H419" s="132"/>
    </row>
    <row r="420" spans="1:8">
      <c r="A420" s="127"/>
      <c r="B420" s="128"/>
      <c r="C420" s="132"/>
      <c r="D420" s="133"/>
      <c r="E420" s="132"/>
      <c r="F420" s="129"/>
      <c r="G420" s="132"/>
      <c r="H420" s="132"/>
    </row>
    <row r="421" spans="1:8">
      <c r="A421" s="127"/>
      <c r="B421" s="128"/>
      <c r="C421" s="132"/>
      <c r="D421" s="133"/>
      <c r="E421" s="132"/>
      <c r="F421" s="129"/>
      <c r="G421" s="132"/>
      <c r="H421" s="132"/>
    </row>
    <row r="422" spans="1:8">
      <c r="A422" s="127"/>
      <c r="B422" s="128"/>
      <c r="C422" s="132"/>
      <c r="D422" s="133"/>
      <c r="E422" s="132"/>
      <c r="F422" s="129"/>
      <c r="G422" s="132"/>
      <c r="H422" s="132"/>
    </row>
    <row r="423" spans="1:8">
      <c r="A423" s="127"/>
      <c r="B423" s="128"/>
      <c r="C423" s="132"/>
      <c r="D423" s="133"/>
      <c r="E423" s="132"/>
      <c r="F423" s="129"/>
      <c r="G423" s="132"/>
      <c r="H423" s="132"/>
    </row>
    <row r="424" spans="1:8">
      <c r="A424" s="127"/>
      <c r="B424" s="128"/>
      <c r="C424" s="132"/>
      <c r="D424" s="133"/>
      <c r="E424" s="132"/>
      <c r="F424" s="129"/>
      <c r="G424" s="132"/>
      <c r="H424" s="132"/>
    </row>
    <row r="425" spans="1:8">
      <c r="A425" s="127"/>
      <c r="B425" s="128"/>
      <c r="C425" s="132"/>
      <c r="D425" s="133"/>
      <c r="E425" s="132"/>
      <c r="F425" s="129"/>
      <c r="G425" s="132"/>
      <c r="H425" s="132"/>
    </row>
    <row r="426" spans="1:8">
      <c r="A426" s="127"/>
      <c r="B426" s="128"/>
      <c r="C426" s="132"/>
      <c r="D426" s="133"/>
      <c r="E426" s="132"/>
      <c r="F426" s="129"/>
      <c r="G426" s="132"/>
      <c r="H426" s="132"/>
    </row>
    <row r="427" spans="1:8">
      <c r="A427" s="127"/>
      <c r="B427" s="128"/>
      <c r="C427" s="132"/>
      <c r="D427" s="133"/>
      <c r="E427" s="132"/>
      <c r="F427" s="129"/>
      <c r="G427" s="132"/>
      <c r="H427" s="132"/>
    </row>
    <row r="428" spans="1:8">
      <c r="A428" s="127"/>
      <c r="B428" s="128"/>
      <c r="C428" s="132"/>
      <c r="D428" s="133"/>
      <c r="E428" s="132"/>
      <c r="F428" s="129"/>
      <c r="G428" s="132"/>
      <c r="H428" s="132"/>
    </row>
    <row r="429" spans="1:8">
      <c r="A429" s="127"/>
      <c r="B429" s="128"/>
      <c r="C429" s="132"/>
      <c r="D429" s="133"/>
      <c r="E429" s="132"/>
      <c r="F429" s="129"/>
      <c r="G429" s="132"/>
      <c r="H429" s="132"/>
    </row>
    <row r="430" spans="1:8">
      <c r="A430" s="127"/>
      <c r="B430" s="128"/>
      <c r="C430" s="132"/>
      <c r="D430" s="133"/>
      <c r="E430" s="132"/>
      <c r="F430" s="129"/>
      <c r="G430" s="132"/>
      <c r="H430" s="132"/>
    </row>
    <row r="431" spans="1:8">
      <c r="A431" s="127"/>
      <c r="B431" s="128"/>
      <c r="C431" s="132"/>
      <c r="D431" s="133"/>
      <c r="E431" s="132"/>
      <c r="F431" s="129"/>
      <c r="G431" s="132"/>
      <c r="H431" s="132"/>
    </row>
    <row r="432" spans="1:8">
      <c r="A432" s="127"/>
      <c r="B432" s="128"/>
      <c r="C432" s="132"/>
      <c r="D432" s="133"/>
      <c r="E432" s="132"/>
      <c r="F432" s="129"/>
      <c r="G432" s="132"/>
      <c r="H432" s="132"/>
    </row>
    <row r="433" spans="1:8">
      <c r="A433" s="127"/>
      <c r="B433" s="128"/>
      <c r="C433" s="132"/>
      <c r="D433" s="133"/>
      <c r="E433" s="132"/>
      <c r="F433" s="129"/>
      <c r="G433" s="132"/>
      <c r="H433" s="132"/>
    </row>
    <row r="434" spans="1:8">
      <c r="A434" s="127"/>
      <c r="B434" s="128"/>
      <c r="C434" s="132"/>
      <c r="D434" s="133"/>
      <c r="E434" s="132"/>
      <c r="F434" s="129"/>
      <c r="G434" s="132"/>
      <c r="H434" s="132"/>
    </row>
    <row r="435" spans="1:8">
      <c r="A435" s="127"/>
      <c r="B435" s="128"/>
      <c r="C435" s="132"/>
      <c r="D435" s="133"/>
      <c r="E435" s="132"/>
      <c r="F435" s="129"/>
      <c r="G435" s="132"/>
      <c r="H435" s="132"/>
    </row>
    <row r="436" spans="1:8">
      <c r="A436" s="127"/>
      <c r="B436" s="128"/>
      <c r="C436" s="132"/>
      <c r="D436" s="133"/>
      <c r="E436" s="132"/>
      <c r="F436" s="129"/>
      <c r="G436" s="132"/>
      <c r="H436" s="132"/>
    </row>
    <row r="437" spans="1:8">
      <c r="A437" s="127"/>
      <c r="B437" s="128"/>
      <c r="C437" s="132"/>
      <c r="D437" s="133"/>
      <c r="E437" s="132"/>
      <c r="F437" s="129"/>
      <c r="G437" s="132"/>
      <c r="H437" s="132"/>
    </row>
    <row r="438" spans="1:8">
      <c r="A438" s="127"/>
      <c r="B438" s="128"/>
      <c r="C438" s="132"/>
      <c r="D438" s="133"/>
      <c r="E438" s="132"/>
      <c r="F438" s="129"/>
      <c r="G438" s="132"/>
      <c r="H438" s="132"/>
    </row>
    <row r="439" spans="1:8">
      <c r="A439" s="127"/>
      <c r="B439" s="128"/>
      <c r="C439" s="132"/>
      <c r="D439" s="133"/>
      <c r="E439" s="132"/>
      <c r="F439" s="129"/>
      <c r="G439" s="132"/>
      <c r="H439" s="132"/>
    </row>
    <row r="440" spans="1:8">
      <c r="A440" s="127"/>
      <c r="B440" s="128"/>
      <c r="C440" s="132"/>
      <c r="D440" s="133"/>
      <c r="E440" s="132"/>
      <c r="F440" s="129"/>
      <c r="G440" s="132"/>
      <c r="H440" s="132"/>
    </row>
    <row r="441" spans="1:8">
      <c r="A441" s="127"/>
      <c r="B441" s="128"/>
      <c r="C441" s="132"/>
      <c r="D441" s="133"/>
      <c r="E441" s="132"/>
      <c r="F441" s="129"/>
      <c r="G441" s="132"/>
      <c r="H441" s="132"/>
    </row>
    <row r="442" spans="1:8">
      <c r="A442" s="127"/>
      <c r="B442" s="128"/>
      <c r="C442" s="132"/>
      <c r="D442" s="133"/>
      <c r="E442" s="132"/>
      <c r="F442" s="129"/>
      <c r="G442" s="132"/>
      <c r="H442" s="132"/>
    </row>
    <row r="443" spans="1:8">
      <c r="A443" s="127"/>
      <c r="B443" s="128"/>
      <c r="C443" s="132"/>
      <c r="D443" s="133"/>
      <c r="E443" s="132"/>
      <c r="F443" s="129"/>
      <c r="G443" s="132"/>
      <c r="H443" s="132"/>
    </row>
    <row r="444" spans="1:8">
      <c r="A444" s="127"/>
      <c r="B444" s="128"/>
      <c r="C444" s="132"/>
      <c r="D444" s="133"/>
      <c r="E444" s="132"/>
      <c r="F444" s="129"/>
      <c r="G444" s="132"/>
      <c r="H444" s="132"/>
    </row>
    <row r="445" spans="1:8">
      <c r="A445" s="127"/>
      <c r="B445" s="128"/>
      <c r="C445" s="132"/>
      <c r="D445" s="133"/>
      <c r="E445" s="132"/>
      <c r="F445" s="129"/>
      <c r="G445" s="132"/>
      <c r="H445" s="132"/>
    </row>
    <row r="446" spans="1:8">
      <c r="A446" s="127"/>
      <c r="B446" s="128"/>
      <c r="C446" s="132"/>
      <c r="D446" s="133"/>
      <c r="E446" s="132"/>
      <c r="F446" s="129"/>
      <c r="G446" s="132"/>
      <c r="H446" s="132"/>
    </row>
    <row r="447" spans="1:8">
      <c r="A447" s="127"/>
      <c r="B447" s="128"/>
      <c r="C447" s="132"/>
      <c r="D447" s="133"/>
      <c r="E447" s="132"/>
      <c r="F447" s="129"/>
      <c r="G447" s="132"/>
      <c r="H447" s="132"/>
    </row>
    <row r="448" spans="1:8">
      <c r="A448" s="127"/>
      <c r="B448" s="128"/>
      <c r="C448" s="132"/>
      <c r="D448" s="133"/>
      <c r="E448" s="132"/>
      <c r="F448" s="129"/>
      <c r="G448" s="132"/>
      <c r="H448" s="132"/>
    </row>
    <row r="449" spans="1:8">
      <c r="A449" s="127"/>
      <c r="B449" s="128"/>
      <c r="C449" s="132"/>
      <c r="D449" s="133"/>
      <c r="E449" s="132"/>
      <c r="F449" s="129"/>
      <c r="G449" s="132"/>
      <c r="H449" s="132"/>
    </row>
    <row r="450" spans="1:8">
      <c r="A450" s="127"/>
      <c r="B450" s="128"/>
      <c r="C450" s="132"/>
      <c r="D450" s="133"/>
      <c r="E450" s="132"/>
      <c r="F450" s="129"/>
      <c r="G450" s="132"/>
      <c r="H450" s="132"/>
    </row>
    <row r="451" spans="1:8">
      <c r="A451" s="127"/>
      <c r="B451" s="128"/>
      <c r="C451" s="132"/>
      <c r="D451" s="133"/>
      <c r="E451" s="132"/>
      <c r="F451" s="129"/>
      <c r="G451" s="132"/>
      <c r="H451" s="132"/>
    </row>
    <row r="452" spans="1:8">
      <c r="A452" s="127"/>
      <c r="B452" s="128"/>
      <c r="C452" s="132"/>
      <c r="D452" s="133"/>
      <c r="E452" s="132"/>
      <c r="F452" s="129"/>
      <c r="G452" s="132"/>
      <c r="H452" s="132"/>
    </row>
    <row r="453" spans="1:8">
      <c r="A453" s="127"/>
      <c r="B453" s="128"/>
      <c r="C453" s="132"/>
      <c r="D453" s="133"/>
      <c r="E453" s="132"/>
      <c r="F453" s="129"/>
      <c r="G453" s="132"/>
      <c r="H453" s="132"/>
    </row>
    <row r="454" spans="1:8">
      <c r="A454" s="127"/>
      <c r="B454" s="128"/>
      <c r="C454" s="132"/>
      <c r="D454" s="133"/>
      <c r="E454" s="132"/>
      <c r="F454" s="129"/>
      <c r="G454" s="132"/>
      <c r="H454" s="132"/>
    </row>
    <row r="455" spans="1:8">
      <c r="A455" s="127"/>
      <c r="B455" s="128"/>
      <c r="C455" s="132"/>
      <c r="D455" s="133"/>
      <c r="E455" s="132"/>
      <c r="F455" s="129"/>
      <c r="G455" s="132"/>
      <c r="H455" s="132"/>
    </row>
    <row r="456" spans="1:8">
      <c r="A456" s="127"/>
      <c r="B456" s="128"/>
      <c r="C456" s="132"/>
      <c r="D456" s="133"/>
      <c r="E456" s="132"/>
      <c r="F456" s="129"/>
      <c r="G456" s="132"/>
      <c r="H456" s="132"/>
    </row>
    <row r="457" spans="1:8">
      <c r="A457" s="127"/>
      <c r="B457" s="128"/>
      <c r="C457" s="132"/>
      <c r="D457" s="133"/>
      <c r="E457" s="132"/>
      <c r="F457" s="129"/>
      <c r="G457" s="132"/>
      <c r="H457" s="132"/>
    </row>
    <row r="458" spans="1:8">
      <c r="A458" s="127"/>
      <c r="B458" s="128"/>
      <c r="C458" s="132"/>
      <c r="D458" s="133"/>
      <c r="E458" s="132"/>
      <c r="F458" s="129"/>
      <c r="G458" s="132"/>
      <c r="H458" s="132"/>
    </row>
    <row r="459" spans="1:8">
      <c r="A459" s="127"/>
      <c r="B459" s="128"/>
      <c r="C459" s="132"/>
      <c r="D459" s="133"/>
      <c r="E459" s="132"/>
      <c r="F459" s="129"/>
      <c r="G459" s="132"/>
      <c r="H459" s="132"/>
    </row>
    <row r="460" spans="1:8">
      <c r="A460" s="127"/>
      <c r="B460" s="128"/>
      <c r="C460" s="132"/>
      <c r="D460" s="133"/>
      <c r="E460" s="132"/>
      <c r="F460" s="129"/>
      <c r="G460" s="132"/>
      <c r="H460" s="132"/>
    </row>
    <row r="461" spans="1:8">
      <c r="A461" s="127"/>
      <c r="B461" s="128"/>
      <c r="C461" s="132"/>
      <c r="D461" s="133"/>
      <c r="E461" s="132"/>
      <c r="F461" s="129"/>
      <c r="G461" s="132"/>
      <c r="H461" s="132"/>
    </row>
    <row r="462" spans="1:8">
      <c r="A462" s="127"/>
      <c r="B462" s="128"/>
      <c r="C462" s="132"/>
      <c r="D462" s="133"/>
      <c r="E462" s="132"/>
      <c r="F462" s="129"/>
      <c r="G462" s="132"/>
      <c r="H462" s="132"/>
    </row>
    <row r="463" spans="1:8">
      <c r="A463" s="127"/>
      <c r="B463" s="128"/>
      <c r="C463" s="132"/>
      <c r="D463" s="133"/>
      <c r="E463" s="132"/>
      <c r="F463" s="129"/>
      <c r="G463" s="132"/>
      <c r="H463" s="132"/>
    </row>
    <row r="464" spans="1:8">
      <c r="A464" s="127"/>
      <c r="B464" s="128"/>
      <c r="C464" s="132"/>
      <c r="D464" s="133"/>
      <c r="E464" s="132"/>
      <c r="F464" s="129"/>
      <c r="G464" s="132"/>
      <c r="H464" s="132"/>
    </row>
    <row r="465" spans="1:8">
      <c r="A465" s="127"/>
      <c r="B465" s="128"/>
      <c r="C465" s="132"/>
      <c r="D465" s="133"/>
      <c r="E465" s="132"/>
      <c r="F465" s="129"/>
      <c r="G465" s="132"/>
      <c r="H465" s="132"/>
    </row>
    <row r="466" spans="1:8">
      <c r="A466" s="127"/>
      <c r="B466" s="128"/>
      <c r="C466" s="132"/>
      <c r="D466" s="133"/>
      <c r="E466" s="132"/>
      <c r="F466" s="129"/>
      <c r="G466" s="132"/>
      <c r="H466" s="132"/>
    </row>
    <row r="467" spans="1:8">
      <c r="A467" s="127"/>
      <c r="B467" s="128"/>
      <c r="C467" s="132"/>
      <c r="D467" s="133"/>
      <c r="E467" s="132"/>
      <c r="F467" s="129"/>
      <c r="G467" s="132"/>
      <c r="H467" s="132"/>
    </row>
    <row r="468" spans="1:8">
      <c r="A468" s="127"/>
      <c r="B468" s="128"/>
      <c r="C468" s="132"/>
      <c r="D468" s="133"/>
      <c r="E468" s="132"/>
      <c r="F468" s="129"/>
      <c r="G468" s="132"/>
      <c r="H468" s="132"/>
    </row>
    <row r="469" spans="1:8">
      <c r="A469" s="127"/>
      <c r="B469" s="128"/>
      <c r="C469" s="132"/>
      <c r="D469" s="133"/>
      <c r="E469" s="132"/>
      <c r="F469" s="129"/>
      <c r="G469" s="132"/>
      <c r="H469" s="132"/>
    </row>
    <row r="470" spans="1:8">
      <c r="A470" s="127"/>
      <c r="B470" s="128"/>
      <c r="C470" s="132"/>
      <c r="D470" s="133"/>
      <c r="E470" s="132"/>
      <c r="F470" s="129"/>
      <c r="G470" s="132"/>
      <c r="H470" s="132"/>
    </row>
    <row r="471" spans="1:8">
      <c r="A471" s="127"/>
      <c r="B471" s="128"/>
      <c r="C471" s="132"/>
      <c r="D471" s="133"/>
      <c r="E471" s="132"/>
      <c r="F471" s="129"/>
      <c r="G471" s="132"/>
      <c r="H471" s="132"/>
    </row>
    <row r="472" spans="1:8">
      <c r="A472" s="127"/>
      <c r="B472" s="128"/>
      <c r="C472" s="132"/>
      <c r="D472" s="133"/>
      <c r="E472" s="132"/>
      <c r="F472" s="129"/>
      <c r="G472" s="132"/>
      <c r="H472" s="132"/>
    </row>
    <row r="473" spans="1:8">
      <c r="A473" s="127"/>
      <c r="B473" s="128"/>
      <c r="C473" s="132"/>
      <c r="D473" s="133"/>
      <c r="E473" s="132"/>
      <c r="F473" s="129"/>
      <c r="G473" s="132"/>
      <c r="H473" s="132"/>
    </row>
    <row r="474" spans="1:8">
      <c r="A474" s="127"/>
      <c r="B474" s="128"/>
      <c r="C474" s="132"/>
      <c r="D474" s="133"/>
      <c r="E474" s="132"/>
      <c r="F474" s="129"/>
      <c r="G474" s="132"/>
      <c r="H474" s="132"/>
    </row>
    <row r="475" spans="1:8">
      <c r="A475" s="127"/>
      <c r="B475" s="128"/>
      <c r="C475" s="132"/>
      <c r="D475" s="133"/>
      <c r="E475" s="132"/>
      <c r="F475" s="129"/>
      <c r="G475" s="132"/>
      <c r="H475" s="132"/>
    </row>
    <row r="476" spans="1:8">
      <c r="A476" s="127"/>
      <c r="B476" s="128"/>
      <c r="C476" s="132"/>
      <c r="D476" s="133"/>
      <c r="E476" s="132"/>
      <c r="F476" s="129"/>
      <c r="G476" s="132"/>
      <c r="H476" s="132"/>
    </row>
    <row r="477" spans="1:8">
      <c r="A477" s="127"/>
      <c r="B477" s="128"/>
      <c r="C477" s="132"/>
      <c r="D477" s="133"/>
      <c r="E477" s="132"/>
      <c r="F477" s="129"/>
      <c r="G477" s="132"/>
      <c r="H477" s="132"/>
    </row>
    <row r="478" spans="1:8">
      <c r="A478" s="127"/>
      <c r="B478" s="128"/>
      <c r="C478" s="132"/>
      <c r="D478" s="133"/>
      <c r="E478" s="132"/>
      <c r="F478" s="129"/>
      <c r="G478" s="132"/>
      <c r="H478" s="132"/>
    </row>
    <row r="479" spans="1:8">
      <c r="A479" s="127"/>
      <c r="B479" s="128"/>
      <c r="C479" s="132"/>
      <c r="D479" s="133"/>
      <c r="E479" s="132"/>
      <c r="F479" s="129"/>
      <c r="G479" s="132"/>
      <c r="H479" s="132"/>
    </row>
    <row r="480" spans="1:8">
      <c r="A480" s="127"/>
      <c r="B480" s="128"/>
      <c r="C480" s="132"/>
      <c r="D480" s="133"/>
      <c r="E480" s="132"/>
      <c r="F480" s="129"/>
      <c r="G480" s="132"/>
      <c r="H480" s="132"/>
    </row>
    <row r="481" spans="1:8">
      <c r="A481" s="127"/>
      <c r="B481" s="128"/>
      <c r="C481" s="132"/>
      <c r="D481" s="133"/>
      <c r="E481" s="132"/>
      <c r="F481" s="129"/>
      <c r="G481" s="132"/>
      <c r="H481" s="132"/>
    </row>
    <row r="482" spans="1:8">
      <c r="A482" s="127"/>
      <c r="B482" s="128"/>
      <c r="C482" s="132"/>
      <c r="D482" s="133"/>
      <c r="E482" s="132"/>
      <c r="F482" s="129"/>
      <c r="G482" s="132"/>
      <c r="H482" s="132"/>
    </row>
    <row r="483" spans="1:8">
      <c r="A483" s="127"/>
      <c r="B483" s="128"/>
      <c r="C483" s="132"/>
      <c r="D483" s="133"/>
      <c r="E483" s="132"/>
      <c r="F483" s="129"/>
      <c r="G483" s="132"/>
      <c r="H483" s="132"/>
    </row>
    <row r="484" spans="1:8">
      <c r="A484" s="127"/>
      <c r="B484" s="128"/>
      <c r="C484" s="132"/>
      <c r="D484" s="133"/>
      <c r="E484" s="132"/>
      <c r="F484" s="129"/>
      <c r="G484" s="132"/>
      <c r="H484" s="132"/>
    </row>
    <row r="485" spans="1:8">
      <c r="A485" s="127"/>
      <c r="B485" s="128"/>
      <c r="C485" s="132"/>
      <c r="D485" s="133"/>
      <c r="E485" s="132"/>
      <c r="F485" s="129"/>
      <c r="G485" s="132"/>
      <c r="H485" s="132"/>
    </row>
    <row r="486" spans="1:8">
      <c r="A486" s="127"/>
      <c r="B486" s="128"/>
      <c r="C486" s="132"/>
      <c r="D486" s="133"/>
      <c r="E486" s="132"/>
      <c r="F486" s="129"/>
      <c r="G486" s="132"/>
      <c r="H486" s="132"/>
    </row>
    <row r="487" spans="1:8">
      <c r="A487" s="127"/>
      <c r="B487" s="128"/>
      <c r="C487" s="132"/>
      <c r="D487" s="133"/>
      <c r="E487" s="132"/>
      <c r="F487" s="129"/>
      <c r="G487" s="132"/>
      <c r="H487" s="132"/>
    </row>
    <row r="488" spans="1:8">
      <c r="A488" s="127"/>
      <c r="B488" s="128"/>
      <c r="C488" s="132"/>
      <c r="D488" s="133"/>
      <c r="E488" s="132"/>
      <c r="F488" s="129"/>
      <c r="G488" s="132"/>
      <c r="H488" s="132"/>
    </row>
    <row r="489" spans="1:8">
      <c r="A489" s="127"/>
      <c r="B489" s="128"/>
      <c r="C489" s="132"/>
      <c r="D489" s="133"/>
      <c r="E489" s="132"/>
      <c r="F489" s="129"/>
      <c r="G489" s="132"/>
      <c r="H489" s="132"/>
    </row>
    <row r="490" spans="1:8">
      <c r="A490" s="127"/>
      <c r="B490" s="128"/>
      <c r="C490" s="132"/>
      <c r="D490" s="133"/>
      <c r="E490" s="132"/>
      <c r="F490" s="129"/>
      <c r="G490" s="132"/>
      <c r="H490" s="132"/>
    </row>
    <row r="491" spans="1:8">
      <c r="A491" s="127"/>
      <c r="B491" s="128"/>
      <c r="C491" s="132"/>
      <c r="D491" s="133"/>
      <c r="E491" s="132"/>
      <c r="F491" s="129"/>
      <c r="G491" s="132"/>
      <c r="H491" s="132"/>
    </row>
    <row r="492" spans="1:8">
      <c r="A492" s="127"/>
      <c r="B492" s="128"/>
      <c r="C492" s="132"/>
      <c r="D492" s="133"/>
      <c r="E492" s="132"/>
      <c r="F492" s="129"/>
      <c r="G492" s="132"/>
      <c r="H492" s="132"/>
    </row>
    <row r="493" spans="1:8">
      <c r="A493" s="127"/>
      <c r="B493" s="128"/>
      <c r="C493" s="132"/>
      <c r="D493" s="133"/>
      <c r="E493" s="132"/>
      <c r="F493" s="129"/>
      <c r="G493" s="132"/>
      <c r="H493" s="132"/>
    </row>
    <row r="494" spans="1:8">
      <c r="A494" s="127"/>
      <c r="B494" s="128"/>
      <c r="C494" s="132"/>
      <c r="D494" s="133"/>
      <c r="E494" s="132"/>
      <c r="F494" s="129"/>
      <c r="G494" s="132"/>
      <c r="H494" s="132"/>
    </row>
    <row r="495" spans="1:8">
      <c r="A495" s="127"/>
      <c r="B495" s="128"/>
      <c r="C495" s="132"/>
      <c r="D495" s="133"/>
      <c r="E495" s="132"/>
      <c r="F495" s="129"/>
      <c r="G495" s="132"/>
      <c r="H495" s="132"/>
    </row>
    <row r="496" spans="1:8">
      <c r="A496" s="127"/>
      <c r="B496" s="128"/>
      <c r="C496" s="132"/>
      <c r="D496" s="133"/>
      <c r="E496" s="132"/>
      <c r="F496" s="129"/>
      <c r="G496" s="132"/>
      <c r="H496" s="132"/>
    </row>
    <row r="497" spans="1:8">
      <c r="A497" s="127"/>
      <c r="B497" s="128"/>
      <c r="C497" s="132"/>
      <c r="D497" s="133"/>
      <c r="E497" s="132"/>
      <c r="F497" s="129"/>
      <c r="G497" s="132"/>
      <c r="H497" s="132"/>
    </row>
    <row r="498" spans="1:8">
      <c r="A498" s="127"/>
      <c r="B498" s="128"/>
      <c r="C498" s="132"/>
      <c r="D498" s="133"/>
      <c r="E498" s="132"/>
      <c r="F498" s="129"/>
      <c r="G498" s="132"/>
      <c r="H498" s="132"/>
    </row>
    <row r="499" spans="1:8">
      <c r="A499" s="127"/>
      <c r="B499" s="128"/>
      <c r="C499" s="132"/>
      <c r="D499" s="133"/>
      <c r="E499" s="132"/>
      <c r="F499" s="129"/>
      <c r="G499" s="132"/>
      <c r="H499" s="132"/>
    </row>
    <row r="500" spans="1:8">
      <c r="A500" s="127"/>
      <c r="B500" s="128"/>
      <c r="C500" s="132"/>
      <c r="D500" s="133"/>
      <c r="E500" s="132"/>
      <c r="F500" s="129"/>
      <c r="G500" s="132"/>
      <c r="H500" s="132"/>
    </row>
    <row r="501" spans="1:8">
      <c r="A501" s="127"/>
      <c r="B501" s="128"/>
      <c r="C501" s="132"/>
      <c r="D501" s="133"/>
      <c r="E501" s="132"/>
      <c r="F501" s="129"/>
      <c r="G501" s="132"/>
      <c r="H501" s="132"/>
    </row>
    <row r="502" spans="1:8">
      <c r="A502" s="127"/>
      <c r="B502" s="128"/>
      <c r="C502" s="132"/>
      <c r="D502" s="133"/>
      <c r="E502" s="132"/>
      <c r="F502" s="129"/>
      <c r="G502" s="132"/>
      <c r="H502" s="132"/>
    </row>
    <row r="503" spans="1:8">
      <c r="A503" s="127"/>
      <c r="B503" s="128"/>
      <c r="C503" s="132"/>
      <c r="D503" s="133"/>
      <c r="E503" s="132"/>
      <c r="F503" s="129"/>
      <c r="G503" s="132"/>
      <c r="H503" s="132"/>
    </row>
    <row r="504" spans="1:8">
      <c r="A504" s="127"/>
      <c r="B504" s="128"/>
      <c r="C504" s="132"/>
      <c r="D504" s="133"/>
      <c r="E504" s="132"/>
      <c r="F504" s="129"/>
      <c r="G504" s="132"/>
      <c r="H504" s="132"/>
    </row>
    <row r="505" spans="1:8">
      <c r="A505" s="127"/>
      <c r="B505" s="128"/>
      <c r="C505" s="132"/>
      <c r="D505" s="133"/>
      <c r="E505" s="132"/>
      <c r="F505" s="129"/>
      <c r="G505" s="132"/>
      <c r="H505" s="132"/>
    </row>
    <row r="506" spans="1:8">
      <c r="A506" s="127"/>
      <c r="B506" s="128"/>
      <c r="C506" s="132"/>
      <c r="D506" s="133"/>
      <c r="E506" s="132"/>
      <c r="F506" s="129"/>
      <c r="G506" s="132"/>
      <c r="H506" s="132"/>
    </row>
    <row r="507" spans="1:8">
      <c r="A507" s="127"/>
      <c r="B507" s="128"/>
      <c r="C507" s="132"/>
      <c r="D507" s="133"/>
      <c r="E507" s="132"/>
      <c r="F507" s="129"/>
      <c r="G507" s="132"/>
      <c r="H507" s="132"/>
    </row>
    <row r="508" spans="1:8">
      <c r="A508" s="127"/>
      <c r="B508" s="128"/>
      <c r="C508" s="132"/>
      <c r="D508" s="133"/>
      <c r="E508" s="132"/>
      <c r="F508" s="129"/>
      <c r="G508" s="132"/>
      <c r="H508" s="132"/>
    </row>
    <row r="509" spans="1:8">
      <c r="A509" s="127"/>
      <c r="B509" s="128"/>
      <c r="C509" s="132"/>
      <c r="D509" s="133"/>
      <c r="E509" s="132"/>
      <c r="F509" s="129"/>
      <c r="G509" s="132"/>
      <c r="H509" s="132"/>
    </row>
    <row r="510" spans="1:8">
      <c r="A510" s="127"/>
      <c r="B510" s="128"/>
      <c r="C510" s="132"/>
      <c r="D510" s="133"/>
      <c r="E510" s="132"/>
      <c r="F510" s="129"/>
      <c r="G510" s="132"/>
      <c r="H510" s="132"/>
    </row>
    <row r="511" spans="1:8">
      <c r="A511" s="127"/>
      <c r="B511" s="128"/>
      <c r="C511" s="132"/>
      <c r="D511" s="133"/>
      <c r="E511" s="132"/>
      <c r="F511" s="129"/>
      <c r="G511" s="132"/>
      <c r="H511" s="132"/>
    </row>
    <row r="512" spans="1:8">
      <c r="A512" s="127"/>
      <c r="B512" s="128"/>
      <c r="C512" s="132"/>
      <c r="D512" s="133"/>
      <c r="E512" s="132"/>
      <c r="F512" s="129"/>
      <c r="G512" s="132"/>
      <c r="H512" s="132"/>
    </row>
    <row r="513" spans="1:8">
      <c r="A513" s="127"/>
      <c r="B513" s="128"/>
      <c r="C513" s="132"/>
      <c r="D513" s="133"/>
      <c r="E513" s="132"/>
      <c r="F513" s="129"/>
      <c r="G513" s="132"/>
      <c r="H513" s="132"/>
    </row>
    <row r="514" spans="1:8">
      <c r="A514" s="127"/>
      <c r="B514" s="128"/>
      <c r="C514" s="132"/>
      <c r="D514" s="133"/>
      <c r="E514" s="132"/>
      <c r="F514" s="129"/>
      <c r="G514" s="132"/>
      <c r="H514" s="132"/>
    </row>
    <row r="515" spans="1:8">
      <c r="A515" s="127"/>
      <c r="B515" s="128"/>
      <c r="C515" s="132"/>
      <c r="D515" s="133"/>
      <c r="E515" s="132"/>
      <c r="F515" s="129"/>
      <c r="G515" s="132"/>
      <c r="H515" s="132"/>
    </row>
    <row r="516" spans="1:8">
      <c r="A516" s="127"/>
      <c r="B516" s="128"/>
      <c r="C516" s="132"/>
      <c r="D516" s="133"/>
      <c r="E516" s="132"/>
      <c r="F516" s="129"/>
      <c r="G516" s="132"/>
      <c r="H516" s="132"/>
    </row>
    <row r="517" spans="1:8">
      <c r="A517" s="127"/>
      <c r="B517" s="128"/>
      <c r="C517" s="132"/>
      <c r="D517" s="133"/>
      <c r="E517" s="132"/>
      <c r="F517" s="129"/>
      <c r="G517" s="132"/>
      <c r="H517" s="132"/>
    </row>
    <row r="518" spans="1:8">
      <c r="A518" s="127"/>
      <c r="B518" s="128"/>
      <c r="C518" s="132"/>
      <c r="D518" s="133"/>
      <c r="E518" s="132"/>
      <c r="F518" s="129"/>
      <c r="G518" s="132"/>
      <c r="H518" s="132"/>
    </row>
    <row r="519" spans="1:8">
      <c r="A519" s="127"/>
      <c r="B519" s="128"/>
      <c r="C519" s="132"/>
      <c r="D519" s="133"/>
      <c r="E519" s="132"/>
      <c r="F519" s="129"/>
      <c r="G519" s="132"/>
      <c r="H519" s="132"/>
    </row>
    <row r="520" spans="1:8">
      <c r="A520" s="127"/>
      <c r="B520" s="128"/>
      <c r="C520" s="132"/>
      <c r="D520" s="133"/>
      <c r="E520" s="132"/>
      <c r="F520" s="129"/>
      <c r="G520" s="132"/>
      <c r="H520" s="132"/>
    </row>
    <row r="521" spans="1:8">
      <c r="A521" s="127"/>
      <c r="B521" s="128"/>
      <c r="C521" s="132"/>
      <c r="D521" s="133"/>
      <c r="E521" s="132"/>
      <c r="F521" s="129"/>
      <c r="G521" s="132"/>
      <c r="H521" s="132"/>
    </row>
    <row r="522" spans="1:8">
      <c r="A522" s="127"/>
      <c r="B522" s="128"/>
      <c r="C522" s="132"/>
      <c r="D522" s="133"/>
      <c r="E522" s="132"/>
      <c r="F522" s="129"/>
      <c r="G522" s="132"/>
      <c r="H522" s="132"/>
    </row>
    <row r="523" spans="1:8">
      <c r="A523" s="127"/>
      <c r="B523" s="128"/>
      <c r="C523" s="132"/>
      <c r="D523" s="133"/>
      <c r="E523" s="132"/>
      <c r="F523" s="129"/>
      <c r="G523" s="132"/>
      <c r="H523" s="132"/>
    </row>
    <row r="524" spans="1:8">
      <c r="A524" s="127"/>
      <c r="B524" s="128"/>
      <c r="C524" s="132"/>
      <c r="D524" s="133"/>
      <c r="E524" s="132"/>
      <c r="F524" s="129"/>
      <c r="G524" s="132"/>
      <c r="H524" s="132"/>
    </row>
    <row r="525" spans="1:8">
      <c r="A525" s="127"/>
      <c r="B525" s="128"/>
      <c r="C525" s="132"/>
      <c r="D525" s="133"/>
      <c r="E525" s="132"/>
      <c r="F525" s="129"/>
      <c r="G525" s="132"/>
      <c r="H525" s="132"/>
    </row>
    <row r="526" spans="1:8">
      <c r="A526" s="127"/>
      <c r="B526" s="128"/>
      <c r="C526" s="132"/>
      <c r="D526" s="133"/>
      <c r="E526" s="132"/>
      <c r="F526" s="129"/>
      <c r="G526" s="132"/>
      <c r="H526" s="132"/>
    </row>
    <row r="527" spans="1:8">
      <c r="A527" s="127"/>
      <c r="B527" s="128"/>
      <c r="C527" s="132"/>
      <c r="D527" s="133"/>
      <c r="E527" s="132"/>
      <c r="F527" s="129"/>
      <c r="G527" s="132"/>
      <c r="H527" s="132"/>
    </row>
    <row r="528" spans="1:8">
      <c r="A528" s="127"/>
      <c r="B528" s="128"/>
      <c r="C528" s="132"/>
      <c r="D528" s="133"/>
      <c r="E528" s="132"/>
      <c r="F528" s="129"/>
      <c r="G528" s="132"/>
      <c r="H528" s="132"/>
    </row>
    <row r="529" spans="1:8">
      <c r="A529" s="127"/>
      <c r="B529" s="128"/>
      <c r="C529" s="132"/>
      <c r="D529" s="133"/>
      <c r="E529" s="132"/>
      <c r="F529" s="129"/>
      <c r="G529" s="132"/>
      <c r="H529" s="132"/>
    </row>
    <row r="530" spans="1:8">
      <c r="A530" s="127"/>
      <c r="B530" s="128"/>
      <c r="C530" s="132"/>
      <c r="D530" s="133"/>
      <c r="E530" s="132"/>
      <c r="F530" s="129"/>
      <c r="G530" s="132"/>
      <c r="H530" s="132"/>
    </row>
    <row r="531" spans="1:8">
      <c r="A531" s="127"/>
      <c r="B531" s="128"/>
      <c r="C531" s="132"/>
      <c r="D531" s="133"/>
      <c r="E531" s="132"/>
      <c r="F531" s="129"/>
      <c r="G531" s="132"/>
      <c r="H531" s="132"/>
    </row>
    <row r="532" spans="1:8">
      <c r="A532" s="127"/>
      <c r="B532" s="128"/>
      <c r="C532" s="132"/>
      <c r="D532" s="133"/>
      <c r="E532" s="132"/>
      <c r="F532" s="129"/>
      <c r="G532" s="132"/>
      <c r="H532" s="132"/>
    </row>
    <row r="533" spans="1:8">
      <c r="A533" s="127"/>
      <c r="B533" s="128"/>
      <c r="C533" s="132"/>
      <c r="D533" s="133"/>
      <c r="E533" s="132"/>
      <c r="F533" s="129"/>
      <c r="G533" s="132"/>
      <c r="H533" s="132"/>
    </row>
    <row r="534" spans="1:8">
      <c r="A534" s="127"/>
      <c r="B534" s="128"/>
      <c r="C534" s="132"/>
      <c r="D534" s="133"/>
      <c r="E534" s="132"/>
      <c r="F534" s="129"/>
      <c r="G534" s="132"/>
      <c r="H534" s="132"/>
    </row>
    <row r="535" spans="1:8">
      <c r="A535" s="127"/>
      <c r="B535" s="128"/>
      <c r="C535" s="132"/>
      <c r="D535" s="133"/>
      <c r="E535" s="132"/>
      <c r="F535" s="129"/>
      <c r="G535" s="132"/>
      <c r="H535" s="132"/>
    </row>
    <row r="536" spans="1:8">
      <c r="A536" s="127"/>
      <c r="B536" s="128"/>
      <c r="C536" s="132"/>
      <c r="D536" s="133"/>
      <c r="E536" s="132"/>
      <c r="F536" s="129"/>
      <c r="G536" s="132"/>
      <c r="H536" s="132"/>
    </row>
    <row r="537" spans="1:8">
      <c r="A537" s="127"/>
      <c r="B537" s="128"/>
      <c r="C537" s="132"/>
      <c r="D537" s="133"/>
      <c r="E537" s="132"/>
      <c r="F537" s="129"/>
      <c r="G537" s="132"/>
      <c r="H537" s="132"/>
    </row>
    <row r="538" spans="1:8">
      <c r="A538" s="127"/>
      <c r="B538" s="128"/>
      <c r="C538" s="132"/>
      <c r="D538" s="133"/>
      <c r="E538" s="132"/>
      <c r="F538" s="129"/>
      <c r="G538" s="132"/>
      <c r="H538" s="132"/>
    </row>
    <row r="539" spans="1:8">
      <c r="A539" s="127"/>
      <c r="B539" s="128"/>
      <c r="C539" s="132"/>
      <c r="D539" s="133"/>
      <c r="E539" s="132"/>
      <c r="F539" s="129"/>
      <c r="G539" s="132"/>
      <c r="H539" s="132"/>
    </row>
    <row r="540" spans="1:8">
      <c r="A540" s="127"/>
      <c r="B540" s="128"/>
      <c r="C540" s="132"/>
      <c r="D540" s="133"/>
      <c r="E540" s="132"/>
      <c r="F540" s="129"/>
      <c r="G540" s="132"/>
      <c r="H540" s="132"/>
    </row>
    <row r="541" spans="1:8">
      <c r="A541" s="127"/>
      <c r="B541" s="128"/>
      <c r="C541" s="132"/>
      <c r="D541" s="133"/>
      <c r="E541" s="132"/>
      <c r="F541" s="129"/>
      <c r="G541" s="132"/>
      <c r="H541" s="132"/>
    </row>
    <row r="542" spans="1:8">
      <c r="A542" s="127"/>
      <c r="B542" s="128"/>
      <c r="C542" s="132"/>
      <c r="D542" s="133"/>
      <c r="E542" s="132"/>
      <c r="F542" s="129"/>
      <c r="G542" s="132"/>
      <c r="H542" s="132"/>
    </row>
    <row r="543" spans="1:8">
      <c r="A543" s="127"/>
      <c r="B543" s="128"/>
      <c r="C543" s="132"/>
      <c r="D543" s="133"/>
      <c r="E543" s="132"/>
      <c r="F543" s="129"/>
      <c r="G543" s="132"/>
      <c r="H543" s="132"/>
    </row>
    <row r="544" spans="1:8">
      <c r="A544" s="127"/>
      <c r="B544" s="128"/>
      <c r="C544" s="132"/>
      <c r="D544" s="133"/>
      <c r="E544" s="132"/>
      <c r="F544" s="129"/>
      <c r="G544" s="132"/>
      <c r="H544" s="132"/>
    </row>
    <row r="545" spans="1:8">
      <c r="A545" s="127"/>
      <c r="B545" s="128"/>
      <c r="C545" s="132"/>
      <c r="D545" s="133"/>
      <c r="E545" s="132"/>
      <c r="F545" s="129"/>
      <c r="G545" s="132"/>
      <c r="H545" s="132"/>
    </row>
    <row r="546" spans="1:8">
      <c r="A546" s="127"/>
      <c r="B546" s="128"/>
      <c r="C546" s="132"/>
      <c r="D546" s="133"/>
      <c r="E546" s="132"/>
      <c r="F546" s="129"/>
      <c r="G546" s="132"/>
      <c r="H546" s="132"/>
    </row>
    <row r="547" spans="1:8">
      <c r="A547" s="127"/>
      <c r="B547" s="128"/>
      <c r="C547" s="132"/>
      <c r="D547" s="133"/>
      <c r="E547" s="132"/>
      <c r="F547" s="129"/>
      <c r="G547" s="132"/>
      <c r="H547" s="132"/>
    </row>
    <row r="548" spans="1:8">
      <c r="A548" s="127"/>
      <c r="B548" s="128"/>
      <c r="C548" s="132"/>
      <c r="D548" s="133"/>
      <c r="E548" s="132"/>
      <c r="F548" s="129"/>
      <c r="G548" s="132"/>
      <c r="H548" s="132"/>
    </row>
    <row r="549" spans="1:8">
      <c r="A549" s="127"/>
      <c r="B549" s="128"/>
      <c r="C549" s="132"/>
      <c r="D549" s="133"/>
      <c r="E549" s="132"/>
      <c r="F549" s="129"/>
      <c r="G549" s="132"/>
      <c r="H549" s="132"/>
    </row>
    <row r="550" spans="1:8">
      <c r="A550" s="127"/>
      <c r="B550" s="128"/>
      <c r="C550" s="132"/>
      <c r="D550" s="133"/>
      <c r="E550" s="132"/>
      <c r="F550" s="129"/>
      <c r="G550" s="132"/>
      <c r="H550" s="132"/>
    </row>
    <row r="551" spans="1:8">
      <c r="A551" s="127"/>
      <c r="B551" s="128"/>
      <c r="C551" s="132"/>
      <c r="D551" s="133"/>
      <c r="E551" s="132"/>
      <c r="F551" s="129"/>
      <c r="G551" s="132"/>
      <c r="H551" s="132"/>
    </row>
    <row r="552" spans="1:8">
      <c r="A552" s="127"/>
      <c r="B552" s="128"/>
      <c r="C552" s="132"/>
      <c r="D552" s="133"/>
      <c r="E552" s="132"/>
      <c r="F552" s="129"/>
      <c r="G552" s="132"/>
      <c r="H552" s="132"/>
    </row>
    <row r="553" spans="1:8">
      <c r="A553" s="127"/>
      <c r="B553" s="128"/>
      <c r="C553" s="132"/>
      <c r="D553" s="133"/>
      <c r="E553" s="132"/>
      <c r="F553" s="129"/>
      <c r="G553" s="132"/>
      <c r="H553" s="132"/>
    </row>
    <row r="554" spans="1:8">
      <c r="A554" s="127"/>
      <c r="B554" s="128"/>
      <c r="C554" s="132"/>
      <c r="D554" s="133"/>
      <c r="E554" s="132"/>
      <c r="F554" s="129"/>
      <c r="G554" s="132"/>
      <c r="H554" s="132"/>
    </row>
    <row r="555" spans="1:8">
      <c r="A555" s="127"/>
      <c r="B555" s="128"/>
      <c r="C555" s="132"/>
      <c r="D555" s="133"/>
      <c r="E555" s="132"/>
      <c r="F555" s="129"/>
      <c r="G555" s="132"/>
      <c r="H555" s="132"/>
    </row>
    <row r="556" spans="1:8">
      <c r="A556" s="127"/>
      <c r="B556" s="128"/>
      <c r="C556" s="132"/>
      <c r="D556" s="133"/>
      <c r="E556" s="132"/>
      <c r="F556" s="129"/>
      <c r="G556" s="132"/>
      <c r="H556" s="132"/>
    </row>
    <row r="557" spans="1:8">
      <c r="A557" s="127"/>
      <c r="B557" s="128"/>
      <c r="C557" s="132"/>
      <c r="D557" s="133"/>
      <c r="E557" s="132"/>
      <c r="F557" s="129"/>
      <c r="G557" s="132"/>
      <c r="H557" s="132"/>
    </row>
    <row r="558" spans="1:8">
      <c r="A558" s="127"/>
      <c r="B558" s="128"/>
      <c r="C558" s="132"/>
      <c r="D558" s="133"/>
      <c r="E558" s="132"/>
      <c r="F558" s="129"/>
      <c r="G558" s="132"/>
      <c r="H558" s="132"/>
    </row>
    <row r="559" spans="1:8">
      <c r="A559" s="127"/>
      <c r="B559" s="128"/>
      <c r="C559" s="132"/>
      <c r="D559" s="133"/>
      <c r="E559" s="132"/>
      <c r="F559" s="129"/>
      <c r="G559" s="132"/>
      <c r="H559" s="132"/>
    </row>
    <row r="560" spans="1:8">
      <c r="A560" s="127"/>
      <c r="B560" s="128"/>
      <c r="C560" s="132"/>
      <c r="D560" s="133"/>
      <c r="E560" s="132"/>
      <c r="F560" s="129"/>
      <c r="G560" s="132"/>
      <c r="H560" s="132"/>
    </row>
    <row r="561" spans="1:8">
      <c r="A561" s="127"/>
      <c r="B561" s="128"/>
      <c r="C561" s="132"/>
      <c r="D561" s="133"/>
      <c r="E561" s="132"/>
      <c r="F561" s="129"/>
      <c r="G561" s="132"/>
      <c r="H561" s="132"/>
    </row>
    <row r="562" spans="1:8">
      <c r="A562" s="127"/>
      <c r="B562" s="128"/>
      <c r="C562" s="132"/>
      <c r="D562" s="133"/>
      <c r="E562" s="132"/>
      <c r="F562" s="129"/>
      <c r="G562" s="132"/>
      <c r="H562" s="132"/>
    </row>
    <row r="563" spans="1:8">
      <c r="A563" s="127"/>
      <c r="B563" s="128"/>
      <c r="C563" s="132"/>
      <c r="D563" s="133"/>
      <c r="E563" s="132"/>
      <c r="F563" s="129"/>
      <c r="G563" s="132"/>
      <c r="H563" s="132"/>
    </row>
    <row r="564" spans="1:8">
      <c r="A564" s="127"/>
      <c r="B564" s="128"/>
      <c r="C564" s="132"/>
      <c r="D564" s="133"/>
      <c r="E564" s="132"/>
      <c r="F564" s="129"/>
      <c r="G564" s="132"/>
      <c r="H564" s="132"/>
    </row>
    <row r="565" spans="1:8">
      <c r="A565" s="127"/>
      <c r="B565" s="128"/>
      <c r="C565" s="132"/>
      <c r="D565" s="133"/>
      <c r="E565" s="132"/>
      <c r="F565" s="129"/>
      <c r="G565" s="132"/>
      <c r="H565" s="132"/>
    </row>
    <row r="566" spans="1:8">
      <c r="A566" s="127"/>
      <c r="B566" s="128"/>
      <c r="C566" s="132"/>
      <c r="D566" s="133"/>
      <c r="E566" s="132"/>
      <c r="F566" s="129"/>
      <c r="G566" s="132"/>
      <c r="H566" s="132"/>
    </row>
    <row r="567" spans="1:8">
      <c r="A567" s="127"/>
      <c r="B567" s="128"/>
      <c r="C567" s="132"/>
      <c r="D567" s="133"/>
      <c r="E567" s="132"/>
      <c r="F567" s="129"/>
      <c r="G567" s="132"/>
      <c r="H567" s="132"/>
    </row>
    <row r="568" spans="1:8">
      <c r="A568" s="127"/>
      <c r="B568" s="128"/>
      <c r="C568" s="132"/>
      <c r="D568" s="133"/>
      <c r="E568" s="132"/>
      <c r="F568" s="129"/>
      <c r="G568" s="132"/>
      <c r="H568" s="132"/>
    </row>
    <row r="569" spans="1:8">
      <c r="A569" s="127"/>
      <c r="B569" s="128"/>
      <c r="C569" s="132"/>
      <c r="D569" s="133"/>
      <c r="E569" s="132"/>
      <c r="F569" s="129"/>
      <c r="G569" s="132"/>
      <c r="H569" s="132"/>
    </row>
    <row r="570" spans="1:8">
      <c r="A570" s="127"/>
      <c r="B570" s="128"/>
      <c r="C570" s="132"/>
      <c r="D570" s="133"/>
      <c r="E570" s="132"/>
      <c r="F570" s="129"/>
      <c r="G570" s="132"/>
      <c r="H570" s="132"/>
    </row>
    <row r="571" spans="1:8">
      <c r="A571" s="127"/>
      <c r="B571" s="128"/>
      <c r="C571" s="132"/>
      <c r="D571" s="133"/>
      <c r="E571" s="132"/>
      <c r="F571" s="129"/>
      <c r="G571" s="132"/>
      <c r="H571" s="132"/>
    </row>
    <row r="572" spans="1:8">
      <c r="A572" s="127"/>
      <c r="B572" s="128"/>
      <c r="C572" s="132"/>
      <c r="D572" s="133"/>
      <c r="E572" s="132"/>
      <c r="F572" s="129"/>
      <c r="G572" s="132"/>
      <c r="H572" s="132"/>
    </row>
    <row r="573" spans="1:8">
      <c r="A573" s="127"/>
      <c r="B573" s="128"/>
      <c r="C573" s="132"/>
      <c r="D573" s="133"/>
      <c r="E573" s="132"/>
      <c r="F573" s="129"/>
      <c r="G573" s="132"/>
      <c r="H573" s="132"/>
    </row>
    <row r="574" spans="1:8">
      <c r="A574" s="127"/>
      <c r="B574" s="128"/>
      <c r="C574" s="132"/>
      <c r="D574" s="133"/>
      <c r="E574" s="132"/>
      <c r="F574" s="129"/>
      <c r="G574" s="132"/>
      <c r="H574" s="132"/>
    </row>
    <row r="575" spans="1:8">
      <c r="A575" s="127"/>
      <c r="B575" s="128"/>
      <c r="C575" s="132"/>
      <c r="D575" s="133"/>
      <c r="E575" s="132"/>
      <c r="F575" s="129"/>
      <c r="G575" s="132"/>
      <c r="H575" s="132"/>
    </row>
    <row r="576" spans="1:8">
      <c r="A576" s="127"/>
      <c r="B576" s="128"/>
      <c r="C576" s="132"/>
      <c r="D576" s="133"/>
      <c r="E576" s="132"/>
      <c r="F576" s="129"/>
      <c r="G576" s="132"/>
      <c r="H576" s="132"/>
    </row>
    <row r="577" spans="1:8">
      <c r="A577" s="127"/>
      <c r="B577" s="128"/>
      <c r="C577" s="132"/>
      <c r="D577" s="133"/>
      <c r="E577" s="132"/>
      <c r="F577" s="129"/>
      <c r="G577" s="132"/>
      <c r="H577" s="132"/>
    </row>
    <row r="578" spans="1:8">
      <c r="A578" s="127"/>
      <c r="B578" s="128"/>
      <c r="C578" s="132"/>
      <c r="D578" s="133"/>
      <c r="E578" s="132"/>
      <c r="F578" s="129"/>
      <c r="G578" s="132"/>
      <c r="H578" s="132"/>
    </row>
    <row r="579" spans="1:8">
      <c r="A579" s="127"/>
      <c r="B579" s="128"/>
      <c r="C579" s="132"/>
      <c r="D579" s="133"/>
      <c r="E579" s="132"/>
      <c r="F579" s="129"/>
      <c r="G579" s="132"/>
      <c r="H579" s="132"/>
    </row>
    <row r="580" spans="1:8">
      <c r="A580" s="127"/>
      <c r="B580" s="128"/>
      <c r="C580" s="132"/>
      <c r="D580" s="133"/>
      <c r="E580" s="132"/>
      <c r="F580" s="129"/>
      <c r="G580" s="132"/>
      <c r="H580" s="132"/>
    </row>
    <row r="581" spans="1:8">
      <c r="A581" s="127"/>
      <c r="B581" s="128"/>
      <c r="C581" s="132"/>
      <c r="D581" s="133"/>
      <c r="E581" s="132"/>
      <c r="F581" s="129"/>
      <c r="G581" s="132"/>
      <c r="H581" s="132"/>
    </row>
    <row r="582" spans="1:8">
      <c r="A582" s="127"/>
      <c r="B582" s="128"/>
      <c r="C582" s="132"/>
      <c r="D582" s="133"/>
      <c r="E582" s="132"/>
      <c r="F582" s="129"/>
      <c r="G582" s="132"/>
      <c r="H582" s="132"/>
    </row>
    <row r="583" spans="1:8">
      <c r="A583" s="127"/>
      <c r="B583" s="128"/>
      <c r="C583" s="132"/>
      <c r="D583" s="133"/>
      <c r="E583" s="132"/>
      <c r="F583" s="129"/>
      <c r="G583" s="132"/>
      <c r="H583" s="132"/>
    </row>
    <row r="584" spans="1:8">
      <c r="A584" s="127"/>
      <c r="B584" s="128"/>
      <c r="C584" s="132"/>
      <c r="D584" s="133"/>
      <c r="E584" s="132"/>
      <c r="F584" s="129"/>
      <c r="G584" s="132"/>
      <c r="H584" s="132"/>
    </row>
    <row r="585" spans="1:8">
      <c r="A585" s="127"/>
      <c r="B585" s="128"/>
      <c r="C585" s="132"/>
      <c r="D585" s="133"/>
      <c r="E585" s="132"/>
      <c r="F585" s="129"/>
      <c r="G585" s="132"/>
      <c r="H585" s="132"/>
    </row>
    <row r="586" spans="1:8">
      <c r="A586" s="127"/>
      <c r="B586" s="128"/>
      <c r="C586" s="132"/>
      <c r="D586" s="133"/>
      <c r="E586" s="132"/>
      <c r="F586" s="129"/>
      <c r="G586" s="132"/>
      <c r="H586" s="132"/>
    </row>
    <row r="587" spans="1:8">
      <c r="A587" s="127"/>
      <c r="B587" s="128"/>
      <c r="C587" s="132"/>
      <c r="D587" s="133"/>
      <c r="E587" s="132"/>
      <c r="F587" s="129"/>
      <c r="G587" s="132"/>
      <c r="H587" s="132"/>
    </row>
    <row r="588" spans="1:8">
      <c r="A588" s="127"/>
      <c r="B588" s="128"/>
      <c r="C588" s="132"/>
      <c r="D588" s="133"/>
      <c r="E588" s="132"/>
      <c r="F588" s="129"/>
      <c r="G588" s="132"/>
      <c r="H588" s="132"/>
    </row>
    <row r="589" spans="1:8">
      <c r="A589" s="127"/>
      <c r="B589" s="128"/>
      <c r="C589" s="132"/>
      <c r="D589" s="133"/>
      <c r="E589" s="132"/>
      <c r="F589" s="129"/>
      <c r="G589" s="132"/>
      <c r="H589" s="132"/>
    </row>
    <row r="590" spans="1:8">
      <c r="A590" s="127"/>
      <c r="B590" s="128"/>
      <c r="C590" s="132"/>
      <c r="D590" s="133"/>
      <c r="E590" s="132"/>
      <c r="F590" s="129"/>
      <c r="G590" s="132"/>
      <c r="H590" s="132"/>
    </row>
    <row r="591" spans="1:8">
      <c r="A591" s="127"/>
      <c r="B591" s="128"/>
      <c r="C591" s="132"/>
      <c r="D591" s="133"/>
      <c r="E591" s="132"/>
      <c r="F591" s="129"/>
      <c r="G591" s="132"/>
      <c r="H591" s="132"/>
    </row>
    <row r="592" spans="1:8">
      <c r="A592" s="127"/>
      <c r="B592" s="128"/>
      <c r="C592" s="132"/>
      <c r="D592" s="133"/>
      <c r="E592" s="132"/>
      <c r="F592" s="129"/>
      <c r="G592" s="132"/>
      <c r="H592" s="132"/>
    </row>
    <row r="593" spans="1:8">
      <c r="A593" s="127"/>
      <c r="B593" s="128"/>
      <c r="C593" s="132"/>
      <c r="D593" s="133"/>
      <c r="E593" s="132"/>
      <c r="F593" s="129"/>
      <c r="G593" s="132"/>
      <c r="H593" s="132"/>
    </row>
    <row r="594" spans="1:8">
      <c r="A594" s="127"/>
      <c r="B594" s="128"/>
      <c r="C594" s="132"/>
      <c r="D594" s="133"/>
      <c r="E594" s="132"/>
      <c r="F594" s="129"/>
      <c r="G594" s="132"/>
      <c r="H594" s="132"/>
    </row>
    <row r="595" spans="1:8">
      <c r="A595" s="127"/>
      <c r="B595" s="128"/>
      <c r="C595" s="132"/>
      <c r="D595" s="133"/>
      <c r="E595" s="132"/>
      <c r="F595" s="129"/>
      <c r="G595" s="132"/>
      <c r="H595" s="132"/>
    </row>
    <row r="596" spans="1:8">
      <c r="A596" s="127"/>
      <c r="B596" s="128"/>
      <c r="C596" s="132"/>
      <c r="D596" s="133"/>
      <c r="E596" s="132"/>
      <c r="F596" s="129"/>
      <c r="G596" s="132"/>
      <c r="H596" s="132"/>
    </row>
    <row r="597" spans="1:8">
      <c r="A597" s="127"/>
      <c r="B597" s="128"/>
      <c r="C597" s="132"/>
      <c r="D597" s="133"/>
      <c r="E597" s="132"/>
      <c r="F597" s="129"/>
      <c r="G597" s="132"/>
      <c r="H597" s="132"/>
    </row>
    <row r="598" spans="1:8">
      <c r="A598" s="127"/>
      <c r="B598" s="128"/>
      <c r="C598" s="132"/>
      <c r="D598" s="133"/>
      <c r="E598" s="132"/>
      <c r="F598" s="129"/>
      <c r="G598" s="132"/>
      <c r="H598" s="132"/>
    </row>
    <row r="599" spans="1:8">
      <c r="A599" s="127"/>
      <c r="B599" s="128"/>
      <c r="C599" s="132"/>
      <c r="D599" s="133"/>
      <c r="E599" s="132"/>
      <c r="F599" s="129"/>
      <c r="G599" s="132"/>
      <c r="H599" s="132"/>
    </row>
    <row r="600" spans="1:8">
      <c r="A600" s="127"/>
      <c r="B600" s="128"/>
      <c r="C600" s="132"/>
      <c r="D600" s="133"/>
      <c r="E600" s="132"/>
      <c r="F600" s="129"/>
      <c r="G600" s="132"/>
      <c r="H600" s="132"/>
    </row>
    <row r="601" spans="1:8">
      <c r="A601" s="127"/>
      <c r="B601" s="128"/>
      <c r="C601" s="132"/>
      <c r="D601" s="133"/>
      <c r="E601" s="132"/>
      <c r="F601" s="129"/>
      <c r="G601" s="132"/>
      <c r="H601" s="132"/>
    </row>
    <row r="602" spans="1:8">
      <c r="A602" s="127"/>
      <c r="B602" s="128"/>
      <c r="C602" s="132"/>
      <c r="D602" s="133"/>
      <c r="E602" s="132"/>
      <c r="F602" s="129"/>
      <c r="G602" s="132"/>
      <c r="H602" s="132"/>
    </row>
    <row r="603" spans="1:8">
      <c r="A603" s="127"/>
      <c r="B603" s="128"/>
      <c r="C603" s="132"/>
      <c r="D603" s="133"/>
      <c r="E603" s="132"/>
      <c r="F603" s="129"/>
      <c r="G603" s="132"/>
      <c r="H603" s="132"/>
    </row>
    <row r="604" spans="1:8">
      <c r="A604" s="127"/>
      <c r="B604" s="128"/>
      <c r="C604" s="132"/>
      <c r="D604" s="133"/>
      <c r="E604" s="132"/>
      <c r="F604" s="129"/>
      <c r="G604" s="132"/>
      <c r="H604" s="132"/>
    </row>
    <row r="605" spans="1:8">
      <c r="A605" s="127"/>
      <c r="B605" s="128"/>
      <c r="C605" s="132"/>
      <c r="D605" s="133"/>
      <c r="E605" s="132"/>
      <c r="F605" s="129"/>
      <c r="G605" s="132"/>
      <c r="H605" s="132"/>
    </row>
    <row r="606" spans="1:8">
      <c r="A606" s="127"/>
      <c r="B606" s="128"/>
      <c r="C606" s="132"/>
      <c r="D606" s="133"/>
      <c r="E606" s="132"/>
      <c r="F606" s="129"/>
      <c r="G606" s="132"/>
      <c r="H606" s="132"/>
    </row>
    <row r="607" spans="1:8">
      <c r="A607" s="127"/>
      <c r="B607" s="128"/>
      <c r="C607" s="132"/>
      <c r="D607" s="133"/>
      <c r="E607" s="132"/>
      <c r="F607" s="129"/>
      <c r="G607" s="132"/>
      <c r="H607" s="132"/>
    </row>
    <row r="608" spans="1:8">
      <c r="A608" s="127"/>
      <c r="B608" s="128"/>
      <c r="C608" s="132"/>
      <c r="D608" s="133"/>
      <c r="E608" s="132"/>
      <c r="F608" s="129"/>
      <c r="G608" s="132"/>
      <c r="H608" s="132"/>
    </row>
    <row r="609" spans="1:8">
      <c r="A609" s="127"/>
      <c r="B609" s="128"/>
      <c r="C609" s="132"/>
      <c r="D609" s="133"/>
      <c r="E609" s="132"/>
      <c r="F609" s="129"/>
      <c r="G609" s="132"/>
      <c r="H609" s="132"/>
    </row>
    <row r="610" spans="1:8">
      <c r="A610" s="127"/>
      <c r="B610" s="128"/>
      <c r="C610" s="132"/>
      <c r="D610" s="133"/>
      <c r="E610" s="132"/>
      <c r="F610" s="129"/>
      <c r="G610" s="132"/>
      <c r="H610" s="132"/>
    </row>
    <row r="611" spans="1:8">
      <c r="A611" s="127"/>
      <c r="B611" s="128"/>
      <c r="C611" s="132"/>
      <c r="D611" s="133"/>
      <c r="E611" s="132"/>
      <c r="F611" s="129"/>
      <c r="G611" s="132"/>
      <c r="H611" s="132"/>
    </row>
    <row r="612" spans="1:8">
      <c r="A612" s="127"/>
      <c r="B612" s="128"/>
      <c r="C612" s="132"/>
      <c r="D612" s="133"/>
      <c r="E612" s="132"/>
      <c r="F612" s="129"/>
      <c r="G612" s="132"/>
      <c r="H612" s="132"/>
    </row>
    <row r="613" spans="1:8">
      <c r="A613" s="127"/>
      <c r="B613" s="128"/>
      <c r="C613" s="132"/>
      <c r="D613" s="133"/>
      <c r="E613" s="132"/>
      <c r="F613" s="129"/>
      <c r="G613" s="132"/>
      <c r="H613" s="132"/>
    </row>
    <row r="614" spans="1:8">
      <c r="A614" s="127"/>
      <c r="B614" s="128"/>
      <c r="C614" s="132"/>
      <c r="D614" s="133"/>
      <c r="E614" s="132"/>
      <c r="F614" s="129"/>
      <c r="G614" s="132"/>
      <c r="H614" s="132"/>
    </row>
    <row r="615" spans="1:8">
      <c r="A615" s="127"/>
      <c r="B615" s="128"/>
      <c r="C615" s="132"/>
      <c r="D615" s="133"/>
      <c r="E615" s="132"/>
      <c r="F615" s="129"/>
      <c r="G615" s="132"/>
      <c r="H615" s="132"/>
    </row>
    <row r="616" spans="1:8">
      <c r="A616" s="127"/>
      <c r="B616" s="128"/>
      <c r="C616" s="132"/>
      <c r="D616" s="133"/>
      <c r="E616" s="132"/>
      <c r="F616" s="129"/>
      <c r="G616" s="132"/>
      <c r="H616" s="132"/>
    </row>
    <row r="617" spans="1:8">
      <c r="A617" s="127"/>
      <c r="B617" s="128"/>
      <c r="C617" s="132"/>
      <c r="D617" s="133"/>
      <c r="E617" s="132"/>
      <c r="F617" s="129"/>
      <c r="G617" s="132"/>
      <c r="H617" s="132"/>
    </row>
    <row r="618" spans="1:8">
      <c r="A618" s="127"/>
      <c r="B618" s="128"/>
      <c r="C618" s="132"/>
      <c r="D618" s="133"/>
      <c r="E618" s="132"/>
      <c r="F618" s="129"/>
      <c r="G618" s="132"/>
      <c r="H618" s="132"/>
    </row>
    <row r="619" spans="1:8">
      <c r="A619" s="127"/>
      <c r="B619" s="128"/>
      <c r="C619" s="132"/>
      <c r="D619" s="133"/>
      <c r="E619" s="132"/>
      <c r="F619" s="129"/>
      <c r="G619" s="132"/>
      <c r="H619" s="132"/>
    </row>
    <row r="620" spans="1:8">
      <c r="A620" s="127"/>
      <c r="B620" s="128"/>
      <c r="C620" s="132"/>
      <c r="D620" s="133"/>
      <c r="E620" s="132"/>
      <c r="F620" s="129"/>
      <c r="G620" s="132"/>
      <c r="H620" s="132"/>
    </row>
    <row r="621" spans="1:8">
      <c r="A621" s="127"/>
      <c r="B621" s="128"/>
      <c r="C621" s="132"/>
      <c r="D621" s="133"/>
      <c r="E621" s="132"/>
      <c r="F621" s="129"/>
      <c r="G621" s="132"/>
      <c r="H621" s="132"/>
    </row>
    <row r="622" spans="1:8">
      <c r="A622" s="127"/>
      <c r="B622" s="128"/>
      <c r="C622" s="132"/>
      <c r="D622" s="133"/>
      <c r="E622" s="132"/>
      <c r="F622" s="129"/>
      <c r="G622" s="132"/>
      <c r="H622" s="132"/>
    </row>
    <row r="623" spans="1:8">
      <c r="A623" s="127"/>
      <c r="B623" s="128"/>
      <c r="C623" s="132"/>
      <c r="D623" s="133"/>
      <c r="E623" s="132"/>
      <c r="F623" s="129"/>
      <c r="G623" s="132"/>
      <c r="H623" s="132"/>
    </row>
    <row r="624" spans="1:8">
      <c r="A624" s="127"/>
      <c r="B624" s="128"/>
      <c r="C624" s="132"/>
      <c r="D624" s="133"/>
      <c r="E624" s="132"/>
      <c r="F624" s="129"/>
      <c r="G624" s="132"/>
      <c r="H624" s="132"/>
    </row>
    <row r="625" spans="1:8">
      <c r="A625" s="127"/>
      <c r="B625" s="128"/>
      <c r="C625" s="132"/>
      <c r="D625" s="133"/>
      <c r="E625" s="132"/>
      <c r="F625" s="129"/>
      <c r="G625" s="132"/>
      <c r="H625" s="132"/>
    </row>
    <row r="626" spans="1:8">
      <c r="A626" s="127"/>
      <c r="B626" s="128"/>
      <c r="C626" s="132"/>
      <c r="D626" s="133"/>
      <c r="E626" s="132"/>
      <c r="F626" s="129"/>
      <c r="G626" s="132"/>
      <c r="H626" s="132"/>
    </row>
    <row r="627" spans="1:8">
      <c r="A627" s="127"/>
      <c r="B627" s="128"/>
      <c r="C627" s="132"/>
      <c r="D627" s="133"/>
      <c r="E627" s="132"/>
      <c r="F627" s="129"/>
      <c r="G627" s="132"/>
      <c r="H627" s="132"/>
    </row>
    <row r="628" spans="1:8">
      <c r="A628" s="127"/>
      <c r="B628" s="128"/>
      <c r="C628" s="132"/>
      <c r="D628" s="133"/>
      <c r="E628" s="132"/>
      <c r="F628" s="129"/>
      <c r="G628" s="132"/>
      <c r="H628" s="132"/>
    </row>
    <row r="629" spans="1:8">
      <c r="A629" s="127"/>
      <c r="B629" s="128"/>
      <c r="C629" s="132"/>
      <c r="D629" s="133"/>
      <c r="E629" s="132"/>
      <c r="F629" s="129"/>
      <c r="G629" s="132"/>
      <c r="H629" s="132"/>
    </row>
    <row r="630" spans="1:8">
      <c r="A630" s="127"/>
      <c r="B630" s="128"/>
      <c r="C630" s="132"/>
      <c r="D630" s="133"/>
      <c r="E630" s="132"/>
      <c r="F630" s="129"/>
      <c r="G630" s="132"/>
      <c r="H630" s="132"/>
    </row>
    <row r="631" spans="1:8">
      <c r="A631" s="127"/>
      <c r="B631" s="128"/>
      <c r="C631" s="132"/>
      <c r="D631" s="133"/>
      <c r="E631" s="132"/>
      <c r="F631" s="129"/>
      <c r="G631" s="132"/>
      <c r="H631" s="132"/>
    </row>
    <row r="632" spans="1:8">
      <c r="A632" s="127"/>
      <c r="B632" s="128"/>
      <c r="C632" s="132"/>
      <c r="D632" s="133"/>
      <c r="E632" s="132"/>
      <c r="F632" s="129"/>
      <c r="G632" s="132"/>
      <c r="H632" s="132"/>
    </row>
    <row r="633" spans="1:8">
      <c r="A633" s="127"/>
      <c r="B633" s="128"/>
      <c r="C633" s="132"/>
      <c r="D633" s="133"/>
      <c r="E633" s="132"/>
      <c r="F633" s="129"/>
      <c r="G633" s="132"/>
      <c r="H633" s="132"/>
    </row>
    <row r="634" spans="1:8">
      <c r="A634" s="127"/>
      <c r="B634" s="128"/>
      <c r="C634" s="132"/>
      <c r="D634" s="133"/>
      <c r="E634" s="132"/>
      <c r="F634" s="129"/>
      <c r="G634" s="132"/>
      <c r="H634" s="132"/>
    </row>
    <row r="635" spans="1:8">
      <c r="A635" s="127"/>
      <c r="B635" s="128"/>
      <c r="C635" s="132"/>
      <c r="D635" s="133"/>
      <c r="E635" s="132"/>
      <c r="F635" s="129"/>
      <c r="G635" s="132"/>
      <c r="H635" s="132"/>
    </row>
    <row r="636" spans="1:8">
      <c r="A636" s="127"/>
      <c r="B636" s="128"/>
      <c r="C636" s="132"/>
      <c r="D636" s="133"/>
      <c r="E636" s="132"/>
      <c r="F636" s="129"/>
      <c r="G636" s="132"/>
      <c r="H636" s="132"/>
    </row>
    <row r="637" spans="1:8">
      <c r="A637" s="127"/>
      <c r="B637" s="128"/>
      <c r="C637" s="132"/>
      <c r="D637" s="133"/>
      <c r="E637" s="132"/>
      <c r="F637" s="129"/>
      <c r="G637" s="132"/>
      <c r="H637" s="132"/>
    </row>
    <row r="638" spans="1:8">
      <c r="A638" s="127"/>
      <c r="B638" s="128"/>
      <c r="C638" s="132"/>
      <c r="D638" s="133"/>
      <c r="E638" s="132"/>
      <c r="F638" s="129"/>
      <c r="G638" s="132"/>
      <c r="H638" s="132"/>
    </row>
    <row r="639" spans="1:8">
      <c r="A639" s="127"/>
      <c r="B639" s="128"/>
      <c r="C639" s="132"/>
      <c r="D639" s="133"/>
      <c r="E639" s="132"/>
      <c r="F639" s="129"/>
      <c r="G639" s="132"/>
      <c r="H639" s="132"/>
    </row>
    <row r="640" spans="1:8">
      <c r="A640" s="127"/>
      <c r="B640" s="128"/>
      <c r="C640" s="132"/>
      <c r="D640" s="133"/>
      <c r="E640" s="132"/>
      <c r="F640" s="129"/>
      <c r="G640" s="132"/>
      <c r="H640" s="132"/>
    </row>
    <row r="641" spans="1:8">
      <c r="A641" s="127"/>
      <c r="B641" s="128"/>
      <c r="C641" s="132"/>
      <c r="D641" s="133"/>
      <c r="E641" s="132"/>
      <c r="F641" s="129"/>
      <c r="G641" s="132"/>
      <c r="H641" s="132"/>
    </row>
    <row r="642" spans="1:8">
      <c r="A642" s="127"/>
      <c r="B642" s="128"/>
      <c r="C642" s="132"/>
      <c r="D642" s="133"/>
      <c r="E642" s="132"/>
      <c r="F642" s="129"/>
      <c r="G642" s="132"/>
      <c r="H642" s="132"/>
    </row>
    <row r="643" spans="1:8">
      <c r="A643" s="127"/>
      <c r="B643" s="128"/>
      <c r="C643" s="132"/>
      <c r="D643" s="133"/>
      <c r="E643" s="132"/>
      <c r="F643" s="129"/>
      <c r="G643" s="132"/>
      <c r="H643" s="132"/>
    </row>
    <row r="644" spans="1:8">
      <c r="A644" s="127"/>
      <c r="B644" s="128"/>
      <c r="C644" s="132"/>
      <c r="D644" s="133"/>
      <c r="E644" s="132"/>
      <c r="F644" s="129"/>
      <c r="G644" s="132"/>
      <c r="H644" s="132"/>
    </row>
    <row r="645" spans="1:8">
      <c r="A645" s="127"/>
      <c r="B645" s="128"/>
      <c r="C645" s="132"/>
      <c r="D645" s="133"/>
      <c r="E645" s="132"/>
      <c r="F645" s="129"/>
      <c r="G645" s="132"/>
      <c r="H645" s="132"/>
    </row>
    <row r="646" spans="1:8">
      <c r="A646" s="127"/>
      <c r="B646" s="128"/>
      <c r="C646" s="132"/>
      <c r="D646" s="133"/>
      <c r="E646" s="132"/>
      <c r="F646" s="129"/>
      <c r="G646" s="132"/>
      <c r="H646" s="132"/>
    </row>
    <row r="647" spans="1:8">
      <c r="A647" s="127"/>
      <c r="B647" s="128"/>
      <c r="C647" s="132"/>
      <c r="D647" s="133"/>
      <c r="E647" s="132"/>
      <c r="F647" s="129"/>
      <c r="G647" s="132"/>
      <c r="H647" s="132"/>
    </row>
    <row r="648" spans="1:8">
      <c r="A648" s="127"/>
      <c r="B648" s="128"/>
      <c r="C648" s="132"/>
      <c r="D648" s="133"/>
      <c r="E648" s="132"/>
      <c r="F648" s="129"/>
      <c r="G648" s="132"/>
      <c r="H648" s="132"/>
    </row>
    <row r="649" spans="1:8">
      <c r="A649" s="127"/>
      <c r="B649" s="128"/>
      <c r="C649" s="132"/>
      <c r="D649" s="133"/>
      <c r="E649" s="132"/>
      <c r="F649" s="129"/>
      <c r="G649" s="132"/>
      <c r="H649" s="132"/>
    </row>
    <row r="650" spans="1:8">
      <c r="A650" s="127"/>
      <c r="B650" s="128"/>
      <c r="C650" s="132"/>
      <c r="D650" s="133"/>
      <c r="E650" s="132"/>
      <c r="F650" s="129"/>
      <c r="G650" s="132"/>
      <c r="H650" s="132"/>
    </row>
    <row r="651" spans="1:8">
      <c r="A651" s="127"/>
      <c r="B651" s="128"/>
      <c r="C651" s="132"/>
      <c r="D651" s="133"/>
      <c r="E651" s="132"/>
      <c r="F651" s="129"/>
      <c r="G651" s="132"/>
      <c r="H651" s="132"/>
    </row>
    <row r="652" spans="1:8">
      <c r="A652" s="127"/>
      <c r="B652" s="128"/>
      <c r="C652" s="132"/>
      <c r="D652" s="133"/>
      <c r="E652" s="132"/>
      <c r="F652" s="129"/>
      <c r="G652" s="132"/>
      <c r="H652" s="132"/>
    </row>
    <row r="653" spans="1:8">
      <c r="A653" s="127"/>
      <c r="B653" s="128"/>
      <c r="C653" s="132"/>
      <c r="D653" s="133"/>
      <c r="E653" s="132"/>
      <c r="F653" s="129"/>
      <c r="G653" s="132"/>
      <c r="H653" s="132"/>
    </row>
    <row r="654" spans="1:8">
      <c r="A654" s="127"/>
      <c r="B654" s="128"/>
      <c r="C654" s="132"/>
      <c r="D654" s="133"/>
      <c r="E654" s="132"/>
      <c r="F654" s="129"/>
      <c r="G654" s="132"/>
      <c r="H654" s="132"/>
    </row>
    <row r="655" spans="1:8">
      <c r="A655" s="127"/>
      <c r="B655" s="128"/>
      <c r="C655" s="132"/>
      <c r="D655" s="133"/>
      <c r="E655" s="132"/>
      <c r="F655" s="129"/>
      <c r="G655" s="132"/>
      <c r="H655" s="132"/>
    </row>
    <row r="656" spans="1:8">
      <c r="A656" s="127"/>
      <c r="B656" s="128"/>
      <c r="C656" s="132"/>
      <c r="D656" s="133"/>
      <c r="E656" s="132"/>
      <c r="F656" s="129"/>
      <c r="G656" s="132"/>
      <c r="H656" s="132"/>
    </row>
    <row r="657" spans="1:8">
      <c r="A657" s="127"/>
      <c r="B657" s="128"/>
      <c r="C657" s="132"/>
      <c r="D657" s="133"/>
      <c r="E657" s="132"/>
      <c r="F657" s="129"/>
      <c r="G657" s="132"/>
      <c r="H657" s="132"/>
    </row>
    <row r="658" spans="1:8">
      <c r="A658" s="127"/>
      <c r="B658" s="128"/>
      <c r="C658" s="132"/>
      <c r="D658" s="133"/>
      <c r="E658" s="132"/>
      <c r="F658" s="129"/>
      <c r="G658" s="132"/>
      <c r="H658" s="132"/>
    </row>
    <row r="659" spans="1:8">
      <c r="A659" s="127"/>
      <c r="B659" s="128"/>
      <c r="C659" s="132"/>
      <c r="D659" s="133"/>
      <c r="E659" s="132"/>
      <c r="F659" s="129"/>
      <c r="G659" s="132"/>
      <c r="H659" s="132"/>
    </row>
    <row r="660" spans="1:8">
      <c r="A660" s="127"/>
      <c r="B660" s="128"/>
      <c r="C660" s="132"/>
      <c r="D660" s="133"/>
      <c r="E660" s="132"/>
      <c r="F660" s="129"/>
      <c r="G660" s="132"/>
      <c r="H660" s="132"/>
    </row>
    <row r="661" spans="1:8">
      <c r="A661" s="127"/>
      <c r="B661" s="128"/>
      <c r="C661" s="132"/>
      <c r="D661" s="133"/>
      <c r="E661" s="132"/>
      <c r="F661" s="129"/>
      <c r="G661" s="132"/>
      <c r="H661" s="132"/>
    </row>
    <row r="662" spans="1:8">
      <c r="A662" s="127"/>
      <c r="B662" s="128"/>
      <c r="C662" s="132"/>
      <c r="D662" s="133"/>
      <c r="E662" s="132"/>
      <c r="F662" s="129"/>
      <c r="G662" s="132"/>
      <c r="H662" s="132"/>
    </row>
    <row r="663" spans="1:8">
      <c r="A663" s="127"/>
      <c r="B663" s="128"/>
      <c r="C663" s="132"/>
      <c r="D663" s="133"/>
      <c r="E663" s="132"/>
      <c r="F663" s="129"/>
      <c r="G663" s="132"/>
      <c r="H663" s="132"/>
    </row>
    <row r="664" spans="1:8">
      <c r="A664" s="127"/>
      <c r="B664" s="128"/>
      <c r="C664" s="132"/>
      <c r="D664" s="133"/>
      <c r="E664" s="132"/>
      <c r="F664" s="129"/>
      <c r="G664" s="132"/>
      <c r="H664" s="132"/>
    </row>
    <row r="665" spans="1:8">
      <c r="A665" s="127"/>
      <c r="B665" s="128"/>
      <c r="C665" s="132"/>
      <c r="D665" s="133"/>
      <c r="E665" s="132"/>
      <c r="F665" s="129"/>
      <c r="G665" s="132"/>
      <c r="H665" s="132"/>
    </row>
    <row r="666" spans="1:8">
      <c r="A666" s="127"/>
      <c r="B666" s="128"/>
      <c r="C666" s="132"/>
      <c r="D666" s="133"/>
      <c r="E666" s="132"/>
      <c r="F666" s="129"/>
      <c r="G666" s="132"/>
      <c r="H666" s="132"/>
    </row>
    <row r="667" spans="1:8">
      <c r="A667" s="127"/>
      <c r="B667" s="128"/>
      <c r="C667" s="132"/>
      <c r="D667" s="133"/>
      <c r="E667" s="132"/>
      <c r="F667" s="129"/>
      <c r="G667" s="132"/>
      <c r="H667" s="132"/>
    </row>
    <row r="668" spans="1:8">
      <c r="A668" s="127"/>
      <c r="B668" s="128"/>
      <c r="C668" s="132"/>
      <c r="D668" s="133"/>
      <c r="E668" s="132"/>
      <c r="F668" s="129"/>
      <c r="G668" s="132"/>
      <c r="H668" s="132"/>
    </row>
    <row r="669" spans="1:8">
      <c r="A669" s="127"/>
      <c r="B669" s="128"/>
      <c r="C669" s="132"/>
      <c r="D669" s="133"/>
      <c r="E669" s="132"/>
      <c r="F669" s="129"/>
      <c r="G669" s="132"/>
      <c r="H669" s="132"/>
    </row>
    <row r="670" spans="1:8">
      <c r="A670" s="127"/>
      <c r="B670" s="128"/>
      <c r="C670" s="132"/>
      <c r="D670" s="133"/>
      <c r="E670" s="132"/>
      <c r="F670" s="129"/>
      <c r="G670" s="132"/>
      <c r="H670" s="132"/>
    </row>
    <row r="671" spans="1:8">
      <c r="A671" s="127"/>
      <c r="B671" s="128"/>
      <c r="C671" s="132"/>
      <c r="D671" s="133"/>
      <c r="E671" s="132"/>
      <c r="F671" s="129"/>
      <c r="G671" s="132"/>
      <c r="H671" s="132"/>
    </row>
    <row r="672" spans="1:8">
      <c r="A672" s="127"/>
      <c r="B672" s="128"/>
      <c r="C672" s="132"/>
      <c r="D672" s="133"/>
      <c r="E672" s="132"/>
      <c r="F672" s="129"/>
      <c r="G672" s="132"/>
      <c r="H672" s="132"/>
    </row>
    <row r="673" spans="1:8">
      <c r="A673" s="127"/>
      <c r="B673" s="128"/>
      <c r="C673" s="132"/>
      <c r="D673" s="133"/>
      <c r="E673" s="132"/>
      <c r="F673" s="129"/>
      <c r="G673" s="132"/>
      <c r="H673" s="132"/>
    </row>
    <row r="674" spans="1:8">
      <c r="A674" s="127"/>
      <c r="B674" s="128"/>
      <c r="C674" s="132"/>
      <c r="D674" s="133"/>
      <c r="E674" s="132"/>
      <c r="F674" s="129"/>
      <c r="G674" s="132"/>
      <c r="H674" s="132"/>
    </row>
    <row r="675" spans="1:8">
      <c r="A675" s="127"/>
      <c r="B675" s="128"/>
      <c r="C675" s="132"/>
      <c r="D675" s="133"/>
      <c r="E675" s="132"/>
      <c r="F675" s="129"/>
      <c r="G675" s="132"/>
      <c r="H675" s="132"/>
    </row>
    <row r="676" spans="1:8">
      <c r="A676" s="127"/>
      <c r="B676" s="128"/>
      <c r="C676" s="132"/>
      <c r="D676" s="133"/>
      <c r="E676" s="132"/>
      <c r="F676" s="129"/>
      <c r="G676" s="132"/>
      <c r="H676" s="132"/>
    </row>
    <row r="677" spans="1:8">
      <c r="A677" s="127"/>
      <c r="B677" s="128"/>
      <c r="C677" s="132"/>
      <c r="D677" s="133"/>
      <c r="E677" s="132"/>
      <c r="F677" s="129"/>
      <c r="G677" s="132"/>
      <c r="H677" s="132"/>
    </row>
    <row r="678" spans="1:8">
      <c r="A678" s="127"/>
      <c r="B678" s="128"/>
      <c r="C678" s="132"/>
      <c r="D678" s="133"/>
      <c r="E678" s="132"/>
      <c r="F678" s="129"/>
      <c r="G678" s="132"/>
      <c r="H678" s="132"/>
    </row>
    <row r="679" spans="1:8">
      <c r="A679" s="127"/>
      <c r="B679" s="128"/>
      <c r="C679" s="132"/>
      <c r="D679" s="133"/>
      <c r="E679" s="132"/>
      <c r="F679" s="129"/>
      <c r="G679" s="132"/>
      <c r="H679" s="132"/>
    </row>
    <row r="680" spans="1:8">
      <c r="A680" s="127"/>
      <c r="B680" s="128"/>
      <c r="C680" s="132"/>
      <c r="D680" s="133"/>
      <c r="E680" s="132"/>
      <c r="F680" s="129"/>
      <c r="G680" s="132"/>
      <c r="H680" s="132"/>
    </row>
    <row r="681" spans="1:8">
      <c r="A681" s="127"/>
      <c r="B681" s="128"/>
      <c r="C681" s="132"/>
      <c r="D681" s="133"/>
      <c r="E681" s="132"/>
      <c r="F681" s="129"/>
      <c r="G681" s="132"/>
      <c r="H681" s="132"/>
    </row>
    <row r="682" spans="1:8">
      <c r="A682" s="127"/>
      <c r="B682" s="128"/>
      <c r="C682" s="132"/>
      <c r="D682" s="133"/>
      <c r="E682" s="132"/>
      <c r="F682" s="129"/>
      <c r="G682" s="132"/>
      <c r="H682" s="132"/>
    </row>
    <row r="683" spans="1:8">
      <c r="A683" s="127"/>
      <c r="B683" s="128"/>
      <c r="C683" s="132"/>
      <c r="D683" s="133"/>
      <c r="E683" s="132"/>
      <c r="F683" s="129"/>
      <c r="G683" s="132"/>
      <c r="H683" s="132"/>
    </row>
    <row r="684" spans="1:8">
      <c r="A684" s="127"/>
      <c r="B684" s="128"/>
      <c r="C684" s="132"/>
      <c r="D684" s="133"/>
      <c r="E684" s="132"/>
      <c r="F684" s="129"/>
      <c r="G684" s="132"/>
      <c r="H684" s="132"/>
    </row>
    <row r="685" spans="1:8">
      <c r="A685" s="127"/>
      <c r="B685" s="128"/>
      <c r="C685" s="132"/>
      <c r="D685" s="133"/>
      <c r="E685" s="132"/>
      <c r="F685" s="129"/>
      <c r="G685" s="132"/>
      <c r="H685" s="132"/>
    </row>
    <row r="686" spans="1:8">
      <c r="A686" s="127"/>
      <c r="B686" s="128"/>
      <c r="C686" s="132"/>
      <c r="D686" s="133"/>
      <c r="E686" s="132"/>
      <c r="F686" s="129"/>
      <c r="G686" s="132"/>
      <c r="H686" s="132"/>
    </row>
    <row r="687" spans="1:8">
      <c r="A687" s="127"/>
      <c r="B687" s="128"/>
      <c r="C687" s="132"/>
      <c r="D687" s="133"/>
      <c r="E687" s="132"/>
      <c r="F687" s="129"/>
      <c r="G687" s="132"/>
      <c r="H687" s="132"/>
    </row>
    <row r="688" spans="1:8">
      <c r="A688" s="127"/>
      <c r="B688" s="128"/>
      <c r="C688" s="132"/>
      <c r="D688" s="133"/>
      <c r="E688" s="132"/>
      <c r="F688" s="129"/>
      <c r="G688" s="132"/>
      <c r="H688" s="132"/>
    </row>
    <row r="689" spans="1:8">
      <c r="A689" s="127"/>
      <c r="B689" s="128"/>
      <c r="C689" s="132"/>
      <c r="D689" s="133"/>
      <c r="E689" s="132"/>
      <c r="F689" s="129"/>
      <c r="G689" s="132"/>
      <c r="H689" s="132"/>
    </row>
    <row r="690" spans="1:8">
      <c r="A690" s="127"/>
      <c r="B690" s="128"/>
      <c r="C690" s="132"/>
      <c r="D690" s="133"/>
      <c r="E690" s="132"/>
      <c r="F690" s="129"/>
      <c r="G690" s="132"/>
      <c r="H690" s="132"/>
    </row>
    <row r="691" spans="1:8">
      <c r="A691" s="127"/>
      <c r="B691" s="128"/>
      <c r="C691" s="132"/>
      <c r="D691" s="133"/>
      <c r="E691" s="132"/>
      <c r="F691" s="129"/>
      <c r="G691" s="132"/>
      <c r="H691" s="132"/>
    </row>
    <row r="692" spans="1:8">
      <c r="A692" s="127"/>
      <c r="B692" s="128"/>
      <c r="C692" s="132"/>
      <c r="D692" s="133"/>
      <c r="E692" s="132"/>
      <c r="F692" s="129"/>
      <c r="G692" s="132"/>
      <c r="H692" s="132"/>
    </row>
    <row r="693" spans="1:8">
      <c r="A693" s="127"/>
      <c r="B693" s="128"/>
      <c r="C693" s="132"/>
      <c r="D693" s="133"/>
      <c r="E693" s="132"/>
      <c r="F693" s="129"/>
      <c r="G693" s="132"/>
      <c r="H693" s="132"/>
    </row>
    <row r="694" spans="1:8">
      <c r="A694" s="127"/>
      <c r="B694" s="128"/>
      <c r="C694" s="132"/>
      <c r="D694" s="133"/>
      <c r="E694" s="132"/>
      <c r="F694" s="129"/>
      <c r="G694" s="132"/>
      <c r="H694" s="132"/>
    </row>
    <row r="695" spans="1:8">
      <c r="A695" s="127"/>
      <c r="B695" s="128"/>
      <c r="C695" s="132"/>
      <c r="D695" s="133"/>
      <c r="E695" s="132"/>
      <c r="F695" s="129"/>
      <c r="G695" s="132"/>
      <c r="H695" s="132"/>
    </row>
    <row r="696" spans="1:8">
      <c r="A696" s="127"/>
      <c r="B696" s="128"/>
      <c r="C696" s="132"/>
      <c r="D696" s="133"/>
      <c r="E696" s="132"/>
      <c r="F696" s="129"/>
      <c r="G696" s="132"/>
      <c r="H696" s="132"/>
    </row>
    <row r="697" spans="1:8">
      <c r="A697" s="127"/>
      <c r="B697" s="128"/>
      <c r="C697" s="132"/>
      <c r="D697" s="133"/>
      <c r="E697" s="132"/>
      <c r="F697" s="129"/>
      <c r="G697" s="132"/>
      <c r="H697" s="132"/>
    </row>
    <row r="698" spans="1:8">
      <c r="A698" s="127"/>
      <c r="B698" s="128"/>
      <c r="C698" s="132"/>
      <c r="D698" s="133"/>
      <c r="E698" s="132"/>
      <c r="F698" s="129"/>
      <c r="G698" s="132"/>
      <c r="H698" s="132"/>
    </row>
    <row r="699" spans="1:8">
      <c r="A699" s="127"/>
      <c r="B699" s="128"/>
      <c r="C699" s="132"/>
      <c r="D699" s="133"/>
      <c r="E699" s="132"/>
      <c r="F699" s="129"/>
      <c r="G699" s="132"/>
      <c r="H699" s="132"/>
    </row>
    <row r="700" spans="1:8">
      <c r="A700" s="127"/>
      <c r="B700" s="128"/>
      <c r="C700" s="132"/>
      <c r="D700" s="133"/>
      <c r="E700" s="132"/>
      <c r="F700" s="129"/>
      <c r="G700" s="132"/>
      <c r="H700" s="132"/>
    </row>
    <row r="701" spans="1:8">
      <c r="A701" s="127"/>
      <c r="B701" s="128"/>
      <c r="C701" s="132"/>
      <c r="D701" s="133"/>
      <c r="E701" s="132"/>
      <c r="F701" s="129"/>
      <c r="G701" s="132"/>
      <c r="H701" s="132"/>
    </row>
    <row r="702" spans="1:8">
      <c r="A702" s="127"/>
      <c r="B702" s="128"/>
      <c r="C702" s="132"/>
      <c r="D702" s="133"/>
      <c r="E702" s="132"/>
      <c r="F702" s="129"/>
      <c r="G702" s="132"/>
      <c r="H702" s="132"/>
    </row>
    <row r="703" spans="1:8">
      <c r="A703" s="127"/>
      <c r="B703" s="128"/>
      <c r="C703" s="132"/>
      <c r="D703" s="133"/>
      <c r="E703" s="132"/>
      <c r="F703" s="129"/>
      <c r="G703" s="132"/>
      <c r="H703" s="132"/>
    </row>
    <row r="704" spans="1:8">
      <c r="A704" s="127"/>
      <c r="B704" s="128"/>
      <c r="C704" s="132"/>
      <c r="D704" s="133"/>
      <c r="E704" s="132"/>
      <c r="F704" s="129"/>
      <c r="G704" s="132"/>
      <c r="H704" s="132"/>
    </row>
    <row r="705" spans="1:8">
      <c r="A705" s="127"/>
      <c r="B705" s="128"/>
      <c r="C705" s="132"/>
      <c r="D705" s="133"/>
      <c r="E705" s="132"/>
      <c r="F705" s="129"/>
      <c r="G705" s="132"/>
      <c r="H705" s="132"/>
    </row>
    <row r="706" spans="1:8">
      <c r="A706" s="127"/>
      <c r="B706" s="128"/>
      <c r="C706" s="132"/>
      <c r="D706" s="133"/>
      <c r="E706" s="132"/>
      <c r="F706" s="129"/>
      <c r="G706" s="132"/>
      <c r="H706" s="132"/>
    </row>
    <row r="707" spans="1:8">
      <c r="A707" s="127"/>
      <c r="B707" s="128"/>
      <c r="C707" s="132"/>
      <c r="D707" s="133"/>
      <c r="E707" s="132"/>
      <c r="F707" s="129"/>
      <c r="G707" s="132"/>
      <c r="H707" s="132"/>
    </row>
    <row r="708" spans="1:8">
      <c r="A708" s="127"/>
      <c r="B708" s="128"/>
      <c r="C708" s="132"/>
      <c r="D708" s="133"/>
      <c r="E708" s="132"/>
      <c r="F708" s="129"/>
      <c r="G708" s="132"/>
      <c r="H708" s="132"/>
    </row>
    <row r="709" spans="1:8">
      <c r="A709" s="127"/>
      <c r="B709" s="128"/>
      <c r="C709" s="132"/>
      <c r="D709" s="133"/>
      <c r="E709" s="132"/>
      <c r="F709" s="129"/>
      <c r="G709" s="132"/>
      <c r="H709" s="132"/>
    </row>
    <row r="710" spans="1:8">
      <c r="A710" s="127"/>
      <c r="B710" s="128"/>
      <c r="C710" s="132"/>
      <c r="D710" s="133"/>
      <c r="E710" s="132"/>
      <c r="F710" s="129"/>
      <c r="G710" s="132"/>
      <c r="H710" s="132"/>
    </row>
    <row r="711" spans="1:8">
      <c r="A711" s="127"/>
      <c r="B711" s="128"/>
      <c r="C711" s="132"/>
      <c r="D711" s="133"/>
      <c r="E711" s="132"/>
      <c r="F711" s="129"/>
      <c r="G711" s="132"/>
      <c r="H711" s="132"/>
    </row>
    <row r="712" spans="1:8">
      <c r="A712" s="127"/>
      <c r="B712" s="128"/>
      <c r="C712" s="132"/>
      <c r="D712" s="133"/>
      <c r="E712" s="132"/>
      <c r="F712" s="129"/>
      <c r="G712" s="132"/>
      <c r="H712" s="132"/>
    </row>
    <row r="713" spans="1:8">
      <c r="A713" s="127"/>
      <c r="B713" s="128"/>
      <c r="C713" s="132"/>
      <c r="D713" s="133"/>
      <c r="E713" s="132"/>
      <c r="F713" s="129"/>
      <c r="G713" s="132"/>
      <c r="H713" s="132"/>
    </row>
    <row r="714" spans="1:8">
      <c r="A714" s="127"/>
      <c r="B714" s="128"/>
      <c r="C714" s="132"/>
      <c r="D714" s="133"/>
      <c r="E714" s="132"/>
      <c r="F714" s="129"/>
      <c r="G714" s="132"/>
      <c r="H714" s="132"/>
    </row>
    <row r="715" spans="1:8">
      <c r="A715" s="127"/>
      <c r="B715" s="128"/>
      <c r="C715" s="132"/>
      <c r="D715" s="133"/>
      <c r="E715" s="132"/>
      <c r="F715" s="129"/>
      <c r="G715" s="132"/>
      <c r="H715" s="132"/>
    </row>
    <row r="716" spans="1:8">
      <c r="A716" s="127"/>
      <c r="B716" s="128"/>
      <c r="C716" s="132"/>
      <c r="D716" s="133"/>
      <c r="E716" s="132"/>
      <c r="F716" s="129"/>
      <c r="G716" s="132"/>
      <c r="H716" s="132"/>
    </row>
    <row r="717" spans="1:8">
      <c r="A717" s="127"/>
      <c r="B717" s="128"/>
      <c r="C717" s="132"/>
      <c r="D717" s="133"/>
      <c r="E717" s="132"/>
      <c r="F717" s="129"/>
      <c r="G717" s="132"/>
      <c r="H717" s="132"/>
    </row>
    <row r="718" spans="1:8">
      <c r="A718" s="127"/>
      <c r="B718" s="128"/>
      <c r="C718" s="132"/>
      <c r="D718" s="133"/>
      <c r="E718" s="132"/>
      <c r="F718" s="129"/>
      <c r="G718" s="132"/>
      <c r="H718" s="132"/>
    </row>
    <row r="719" spans="1:8">
      <c r="A719" s="127"/>
      <c r="B719" s="128"/>
      <c r="C719" s="132"/>
      <c r="D719" s="133"/>
      <c r="E719" s="132"/>
      <c r="F719" s="129"/>
      <c r="G719" s="132"/>
      <c r="H719" s="132"/>
    </row>
    <row r="720" spans="1:8">
      <c r="A720" s="127"/>
      <c r="B720" s="128"/>
      <c r="C720" s="132"/>
      <c r="D720" s="133"/>
      <c r="E720" s="132"/>
      <c r="F720" s="129"/>
      <c r="G720" s="132"/>
      <c r="H720" s="132"/>
    </row>
    <row r="721" spans="1:8">
      <c r="A721" s="127"/>
      <c r="B721" s="128"/>
      <c r="C721" s="132"/>
      <c r="D721" s="133"/>
      <c r="E721" s="132"/>
      <c r="F721" s="129"/>
      <c r="G721" s="132"/>
      <c r="H721" s="132"/>
    </row>
    <row r="722" spans="1:8">
      <c r="A722" s="127"/>
      <c r="B722" s="128"/>
      <c r="C722" s="132"/>
      <c r="D722" s="133"/>
      <c r="E722" s="132"/>
      <c r="F722" s="129"/>
      <c r="G722" s="132"/>
      <c r="H722" s="132"/>
    </row>
    <row r="723" spans="1:8">
      <c r="A723" s="127"/>
      <c r="B723" s="128"/>
      <c r="C723" s="132"/>
      <c r="D723" s="133"/>
      <c r="E723" s="132"/>
      <c r="F723" s="129"/>
      <c r="G723" s="132"/>
      <c r="H723" s="132"/>
    </row>
    <row r="724" spans="1:8">
      <c r="A724" s="127"/>
      <c r="B724" s="128"/>
      <c r="C724" s="132"/>
      <c r="D724" s="133"/>
      <c r="E724" s="132"/>
      <c r="F724" s="129"/>
      <c r="G724" s="132"/>
      <c r="H724" s="132"/>
    </row>
    <row r="725" spans="1:8">
      <c r="A725" s="127"/>
      <c r="B725" s="128"/>
      <c r="C725" s="132"/>
      <c r="D725" s="133"/>
      <c r="E725" s="132"/>
      <c r="F725" s="129"/>
      <c r="G725" s="132"/>
      <c r="H725" s="132"/>
    </row>
    <row r="726" spans="1:8">
      <c r="A726" s="127"/>
      <c r="B726" s="128"/>
      <c r="C726" s="132"/>
      <c r="D726" s="133"/>
      <c r="E726" s="132"/>
      <c r="F726" s="129"/>
      <c r="G726" s="132"/>
      <c r="H726" s="132"/>
    </row>
    <row r="727" spans="1:8">
      <c r="A727" s="127"/>
      <c r="B727" s="128"/>
      <c r="C727" s="132"/>
      <c r="D727" s="133"/>
      <c r="E727" s="132"/>
      <c r="F727" s="129"/>
      <c r="G727" s="132"/>
      <c r="H727" s="132"/>
    </row>
    <row r="728" spans="1:8">
      <c r="A728" s="127"/>
      <c r="B728" s="128"/>
      <c r="C728" s="132"/>
      <c r="D728" s="133"/>
      <c r="E728" s="132"/>
      <c r="F728" s="129"/>
      <c r="G728" s="132"/>
      <c r="H728" s="132"/>
    </row>
    <row r="729" spans="1:8">
      <c r="A729" s="127"/>
      <c r="B729" s="128"/>
      <c r="C729" s="132"/>
      <c r="D729" s="133"/>
      <c r="E729" s="132"/>
      <c r="F729" s="129"/>
      <c r="G729" s="132"/>
      <c r="H729" s="132"/>
    </row>
    <row r="730" spans="1:8">
      <c r="A730" s="127"/>
      <c r="B730" s="128"/>
      <c r="C730" s="132"/>
      <c r="D730" s="133"/>
      <c r="E730" s="132"/>
      <c r="F730" s="129"/>
      <c r="G730" s="132"/>
      <c r="H730" s="132"/>
    </row>
    <row r="731" spans="1:8">
      <c r="A731" s="127"/>
      <c r="B731" s="128"/>
      <c r="C731" s="132"/>
      <c r="D731" s="133"/>
      <c r="E731" s="132"/>
      <c r="F731" s="129"/>
      <c r="G731" s="132"/>
      <c r="H731" s="132"/>
    </row>
    <row r="732" spans="1:8">
      <c r="A732" s="127"/>
      <c r="B732" s="128"/>
      <c r="C732" s="132"/>
      <c r="D732" s="133"/>
      <c r="E732" s="132"/>
      <c r="F732" s="129"/>
      <c r="G732" s="132"/>
      <c r="H732" s="132"/>
    </row>
    <row r="733" spans="1:8">
      <c r="A733" s="127"/>
      <c r="B733" s="128"/>
      <c r="C733" s="132"/>
      <c r="D733" s="133"/>
      <c r="E733" s="132"/>
      <c r="F733" s="129"/>
      <c r="G733" s="132"/>
      <c r="H733" s="132"/>
    </row>
    <row r="734" spans="1:8">
      <c r="A734" s="127"/>
      <c r="B734" s="128"/>
      <c r="C734" s="132"/>
      <c r="D734" s="133"/>
      <c r="E734" s="132"/>
      <c r="F734" s="129"/>
      <c r="G734" s="132"/>
      <c r="H734" s="132"/>
    </row>
    <row r="735" spans="1:8">
      <c r="A735" s="127"/>
      <c r="B735" s="128"/>
      <c r="C735" s="132"/>
      <c r="D735" s="133"/>
      <c r="E735" s="132"/>
      <c r="F735" s="129"/>
      <c r="G735" s="132"/>
      <c r="H735" s="132"/>
    </row>
    <row r="736" spans="1:8">
      <c r="A736" s="127"/>
      <c r="B736" s="128"/>
      <c r="C736" s="132"/>
      <c r="D736" s="133"/>
      <c r="E736" s="132"/>
      <c r="F736" s="129"/>
      <c r="G736" s="132"/>
      <c r="H736" s="132"/>
    </row>
    <row r="737" spans="1:8">
      <c r="A737" s="127"/>
      <c r="B737" s="128"/>
      <c r="C737" s="132"/>
      <c r="D737" s="133"/>
      <c r="E737" s="132"/>
      <c r="F737" s="129"/>
      <c r="G737" s="132"/>
      <c r="H737" s="132"/>
    </row>
    <row r="738" spans="1:8">
      <c r="A738" s="127"/>
      <c r="B738" s="128"/>
      <c r="C738" s="132"/>
      <c r="D738" s="133"/>
      <c r="E738" s="132"/>
      <c r="F738" s="129"/>
      <c r="G738" s="132"/>
      <c r="H738" s="132"/>
    </row>
    <row r="739" spans="1:8">
      <c r="A739" s="127"/>
      <c r="B739" s="128"/>
      <c r="C739" s="132"/>
      <c r="D739" s="133"/>
      <c r="E739" s="132"/>
      <c r="F739" s="129"/>
      <c r="G739" s="132"/>
      <c r="H739" s="132"/>
    </row>
    <row r="740" spans="1:8">
      <c r="A740" s="127"/>
      <c r="B740" s="128"/>
      <c r="C740" s="132"/>
      <c r="D740" s="133"/>
      <c r="E740" s="132"/>
      <c r="F740" s="129"/>
      <c r="G740" s="132"/>
      <c r="H740" s="132"/>
    </row>
    <row r="741" spans="1:8">
      <c r="A741" s="127"/>
      <c r="B741" s="128"/>
      <c r="C741" s="132"/>
      <c r="D741" s="133"/>
      <c r="E741" s="132"/>
      <c r="F741" s="129"/>
      <c r="G741" s="132"/>
      <c r="H741" s="132"/>
    </row>
    <row r="742" spans="1:8">
      <c r="A742" s="127"/>
      <c r="B742" s="128"/>
      <c r="C742" s="132"/>
      <c r="D742" s="133"/>
      <c r="E742" s="132"/>
      <c r="F742" s="129"/>
      <c r="G742" s="132"/>
      <c r="H742" s="132"/>
    </row>
    <row r="743" spans="1:8">
      <c r="A743" s="127"/>
      <c r="B743" s="128"/>
      <c r="C743" s="132"/>
      <c r="D743" s="133"/>
      <c r="E743" s="132"/>
      <c r="F743" s="129"/>
      <c r="G743" s="132"/>
      <c r="H743" s="132"/>
    </row>
    <row r="744" spans="1:8">
      <c r="A744" s="127"/>
      <c r="B744" s="128"/>
      <c r="C744" s="132"/>
      <c r="D744" s="133"/>
      <c r="E744" s="132"/>
      <c r="F744" s="129"/>
      <c r="G744" s="132"/>
      <c r="H744" s="132"/>
    </row>
    <row r="745" spans="1:8">
      <c r="A745" s="127"/>
      <c r="B745" s="128"/>
      <c r="C745" s="132"/>
      <c r="D745" s="133"/>
      <c r="E745" s="132"/>
      <c r="F745" s="129"/>
      <c r="G745" s="132"/>
      <c r="H745" s="132"/>
    </row>
    <row r="746" spans="1:8">
      <c r="A746" s="127"/>
      <c r="B746" s="128"/>
      <c r="C746" s="132"/>
      <c r="D746" s="133"/>
      <c r="E746" s="132"/>
      <c r="F746" s="129"/>
      <c r="G746" s="132"/>
      <c r="H746" s="132"/>
    </row>
    <row r="747" spans="1:8">
      <c r="A747" s="127"/>
      <c r="B747" s="128"/>
      <c r="C747" s="132"/>
      <c r="D747" s="133"/>
      <c r="E747" s="132"/>
      <c r="F747" s="129"/>
      <c r="G747" s="132"/>
      <c r="H747" s="132"/>
    </row>
    <row r="748" spans="1:8">
      <c r="A748" s="127"/>
      <c r="B748" s="128"/>
      <c r="C748" s="132"/>
      <c r="D748" s="133"/>
      <c r="E748" s="132"/>
      <c r="F748" s="129"/>
      <c r="G748" s="132"/>
      <c r="H748" s="132"/>
    </row>
    <row r="749" spans="1:8">
      <c r="A749" s="127"/>
      <c r="B749" s="128"/>
      <c r="C749" s="132"/>
      <c r="D749" s="133"/>
      <c r="E749" s="132"/>
      <c r="F749" s="129"/>
      <c r="G749" s="132"/>
      <c r="H749" s="132"/>
    </row>
    <row r="750" spans="1:8">
      <c r="A750" s="127"/>
      <c r="B750" s="128"/>
      <c r="C750" s="132"/>
      <c r="D750" s="133"/>
      <c r="E750" s="132"/>
      <c r="F750" s="129"/>
      <c r="G750" s="132"/>
      <c r="H750" s="132"/>
    </row>
    <row r="751" spans="1:8">
      <c r="A751" s="127"/>
      <c r="B751" s="128"/>
      <c r="C751" s="132"/>
      <c r="D751" s="133"/>
      <c r="E751" s="132"/>
      <c r="F751" s="129"/>
      <c r="G751" s="132"/>
      <c r="H751" s="132"/>
    </row>
    <row r="752" spans="1:8">
      <c r="A752" s="127"/>
      <c r="B752" s="128"/>
      <c r="C752" s="132"/>
      <c r="D752" s="133"/>
      <c r="E752" s="132"/>
      <c r="F752" s="129"/>
      <c r="G752" s="132"/>
      <c r="H752" s="132"/>
    </row>
    <row r="753" spans="1:8">
      <c r="A753" s="127"/>
      <c r="B753" s="128"/>
      <c r="C753" s="132"/>
      <c r="D753" s="133"/>
      <c r="E753" s="132"/>
      <c r="F753" s="129"/>
      <c r="G753" s="132"/>
      <c r="H753" s="132"/>
    </row>
    <row r="754" spans="1:8">
      <c r="A754" s="127"/>
      <c r="B754" s="128"/>
      <c r="C754" s="132"/>
      <c r="D754" s="133"/>
      <c r="E754" s="132"/>
      <c r="F754" s="129"/>
      <c r="G754" s="132"/>
      <c r="H754" s="132"/>
    </row>
    <row r="755" spans="1:8">
      <c r="A755" s="127"/>
      <c r="B755" s="128"/>
      <c r="C755" s="132"/>
      <c r="D755" s="133"/>
      <c r="E755" s="132"/>
      <c r="F755" s="129"/>
      <c r="G755" s="132"/>
      <c r="H755" s="132"/>
    </row>
    <row r="756" spans="1:8">
      <c r="A756" s="127"/>
      <c r="B756" s="128"/>
      <c r="C756" s="132"/>
      <c r="D756" s="133"/>
      <c r="E756" s="132"/>
      <c r="F756" s="129"/>
      <c r="G756" s="132"/>
      <c r="H756" s="132"/>
    </row>
    <row r="757" spans="1:8">
      <c r="A757" s="127"/>
      <c r="B757" s="128"/>
      <c r="C757" s="132"/>
      <c r="D757" s="133"/>
      <c r="E757" s="132"/>
      <c r="F757" s="129"/>
      <c r="G757" s="132"/>
      <c r="H757" s="132"/>
    </row>
    <row r="758" spans="1:8">
      <c r="A758" s="127"/>
      <c r="B758" s="128"/>
      <c r="C758" s="132"/>
      <c r="D758" s="133"/>
      <c r="E758" s="132"/>
      <c r="F758" s="129"/>
      <c r="G758" s="132"/>
      <c r="H758" s="132"/>
    </row>
    <row r="759" spans="1:8">
      <c r="A759" s="127"/>
      <c r="B759" s="128"/>
      <c r="C759" s="132"/>
      <c r="D759" s="133"/>
      <c r="E759" s="132"/>
      <c r="F759" s="129"/>
      <c r="G759" s="132"/>
      <c r="H759" s="132"/>
    </row>
    <row r="760" spans="1:8">
      <c r="A760" s="127"/>
      <c r="B760" s="128"/>
      <c r="C760" s="132"/>
      <c r="D760" s="133"/>
      <c r="E760" s="132"/>
      <c r="F760" s="129"/>
      <c r="G760" s="132"/>
      <c r="H760" s="132"/>
    </row>
    <row r="761" spans="1:8">
      <c r="A761" s="127"/>
      <c r="B761" s="128"/>
      <c r="C761" s="132"/>
      <c r="D761" s="133"/>
      <c r="E761" s="132"/>
      <c r="F761" s="129"/>
      <c r="G761" s="132"/>
      <c r="H761" s="132"/>
    </row>
    <row r="762" spans="1:8">
      <c r="A762" s="127"/>
      <c r="B762" s="128"/>
      <c r="C762" s="132"/>
      <c r="D762" s="133"/>
      <c r="E762" s="132"/>
      <c r="F762" s="129"/>
      <c r="G762" s="132"/>
      <c r="H762" s="132"/>
    </row>
    <row r="763" spans="1:8">
      <c r="A763" s="127"/>
      <c r="B763" s="128"/>
      <c r="C763" s="132"/>
      <c r="D763" s="133"/>
      <c r="E763" s="132"/>
      <c r="F763" s="129"/>
      <c r="G763" s="132"/>
      <c r="H763" s="132"/>
    </row>
    <row r="764" spans="1:8">
      <c r="A764" s="127"/>
      <c r="B764" s="128"/>
      <c r="C764" s="132"/>
      <c r="D764" s="133"/>
      <c r="E764" s="132"/>
      <c r="F764" s="129"/>
      <c r="G764" s="132"/>
      <c r="H764" s="132"/>
    </row>
    <row r="765" spans="1:8">
      <c r="A765" s="127"/>
      <c r="B765" s="128"/>
      <c r="C765" s="132"/>
      <c r="D765" s="133"/>
      <c r="E765" s="132"/>
      <c r="F765" s="129"/>
      <c r="G765" s="132"/>
      <c r="H765" s="132"/>
    </row>
    <row r="766" spans="1:8">
      <c r="A766" s="127"/>
      <c r="B766" s="128"/>
      <c r="C766" s="132"/>
      <c r="D766" s="133"/>
      <c r="E766" s="132"/>
      <c r="F766" s="129"/>
      <c r="G766" s="132"/>
      <c r="H766" s="132"/>
    </row>
    <row r="767" spans="1:8">
      <c r="A767" s="127"/>
      <c r="B767" s="128"/>
      <c r="C767" s="132"/>
      <c r="D767" s="133"/>
      <c r="E767" s="132"/>
      <c r="F767" s="129"/>
      <c r="G767" s="132"/>
      <c r="H767" s="132"/>
    </row>
    <row r="768" spans="1:8">
      <c r="A768" s="127"/>
      <c r="B768" s="128"/>
      <c r="C768" s="132"/>
      <c r="D768" s="133"/>
      <c r="E768" s="132"/>
      <c r="F768" s="129"/>
      <c r="G768" s="132"/>
      <c r="H768" s="132"/>
    </row>
    <row r="769" spans="1:8">
      <c r="A769" s="127"/>
      <c r="B769" s="128"/>
      <c r="C769" s="132"/>
      <c r="D769" s="133"/>
      <c r="E769" s="132"/>
      <c r="F769" s="129"/>
      <c r="G769" s="132"/>
      <c r="H769" s="132"/>
    </row>
    <row r="770" spans="1:8">
      <c r="A770" s="127"/>
      <c r="B770" s="128"/>
      <c r="C770" s="132"/>
      <c r="D770" s="133"/>
      <c r="E770" s="132"/>
      <c r="F770" s="129"/>
      <c r="G770" s="132"/>
      <c r="H770" s="132"/>
    </row>
    <row r="771" spans="1:8">
      <c r="A771" s="127"/>
      <c r="B771" s="128"/>
      <c r="C771" s="132"/>
      <c r="D771" s="133"/>
      <c r="E771" s="132"/>
      <c r="F771" s="129"/>
      <c r="G771" s="132"/>
      <c r="H771" s="132"/>
    </row>
    <row r="772" spans="1:8">
      <c r="A772" s="127"/>
      <c r="B772" s="128"/>
      <c r="C772" s="132"/>
      <c r="D772" s="133"/>
      <c r="E772" s="132"/>
      <c r="F772" s="129"/>
      <c r="G772" s="132"/>
      <c r="H772" s="132"/>
    </row>
    <row r="773" spans="1:8">
      <c r="A773" s="127"/>
      <c r="B773" s="128"/>
      <c r="C773" s="132"/>
      <c r="D773" s="133"/>
      <c r="E773" s="132"/>
      <c r="F773" s="129"/>
      <c r="G773" s="132"/>
      <c r="H773" s="132"/>
    </row>
    <row r="774" spans="1:8">
      <c r="A774" s="127"/>
      <c r="B774" s="128"/>
      <c r="C774" s="132"/>
      <c r="D774" s="133"/>
      <c r="E774" s="132"/>
      <c r="F774" s="129"/>
      <c r="G774" s="132"/>
      <c r="H774" s="132"/>
    </row>
    <row r="775" spans="1:8">
      <c r="A775" s="127"/>
      <c r="B775" s="128"/>
      <c r="C775" s="132"/>
      <c r="D775" s="133"/>
      <c r="E775" s="132"/>
      <c r="F775" s="129"/>
      <c r="G775" s="132"/>
      <c r="H775" s="132"/>
    </row>
    <row r="776" spans="1:8">
      <c r="A776" s="127"/>
      <c r="B776" s="128"/>
      <c r="C776" s="132"/>
      <c r="D776" s="133"/>
      <c r="E776" s="132"/>
      <c r="F776" s="129"/>
      <c r="G776" s="132"/>
      <c r="H776" s="132"/>
    </row>
    <row r="777" spans="1:8">
      <c r="A777" s="127"/>
      <c r="B777" s="128"/>
      <c r="C777" s="132"/>
      <c r="D777" s="133"/>
      <c r="E777" s="132"/>
      <c r="F777" s="129"/>
      <c r="G777" s="132"/>
      <c r="H777" s="132"/>
    </row>
    <row r="778" spans="1:8">
      <c r="A778" s="127"/>
      <c r="B778" s="128"/>
      <c r="C778" s="132"/>
      <c r="D778" s="133"/>
      <c r="E778" s="132"/>
      <c r="F778" s="129"/>
      <c r="G778" s="132"/>
      <c r="H778" s="132"/>
    </row>
    <row r="779" spans="1:8">
      <c r="A779" s="127"/>
      <c r="B779" s="128"/>
      <c r="C779" s="132"/>
      <c r="D779" s="133"/>
      <c r="E779" s="132"/>
      <c r="F779" s="129"/>
      <c r="G779" s="132"/>
      <c r="H779" s="132"/>
    </row>
    <row r="780" spans="1:8">
      <c r="A780" s="127"/>
      <c r="B780" s="128"/>
      <c r="C780" s="132"/>
      <c r="D780" s="133"/>
      <c r="E780" s="132"/>
      <c r="F780" s="129"/>
      <c r="G780" s="132"/>
      <c r="H780" s="132"/>
    </row>
    <row r="781" spans="1:8">
      <c r="A781" s="127"/>
      <c r="B781" s="128"/>
      <c r="C781" s="132"/>
      <c r="D781" s="133"/>
      <c r="E781" s="132"/>
      <c r="F781" s="129"/>
      <c r="G781" s="132"/>
      <c r="H781" s="132"/>
    </row>
    <row r="782" spans="1:8">
      <c r="A782" s="127"/>
      <c r="B782" s="128"/>
      <c r="C782" s="132"/>
      <c r="D782" s="133"/>
      <c r="E782" s="132"/>
      <c r="F782" s="129"/>
      <c r="G782" s="132"/>
      <c r="H782" s="132"/>
    </row>
    <row r="783" spans="1:8">
      <c r="A783" s="127"/>
      <c r="B783" s="128"/>
      <c r="C783" s="132"/>
      <c r="D783" s="133"/>
      <c r="E783" s="132"/>
      <c r="F783" s="129"/>
      <c r="G783" s="132"/>
      <c r="H783" s="132"/>
    </row>
    <row r="784" spans="1:8">
      <c r="A784" s="127"/>
      <c r="B784" s="128"/>
      <c r="C784" s="132"/>
      <c r="D784" s="133"/>
      <c r="E784" s="132"/>
      <c r="F784" s="129"/>
      <c r="G784" s="132"/>
      <c r="H784" s="132"/>
    </row>
    <row r="785" spans="1:8">
      <c r="A785" s="127"/>
      <c r="B785" s="128"/>
      <c r="C785" s="132"/>
      <c r="D785" s="133"/>
      <c r="E785" s="132"/>
      <c r="F785" s="129"/>
      <c r="G785" s="132"/>
      <c r="H785" s="132"/>
    </row>
    <row r="786" spans="1:8">
      <c r="A786" s="127"/>
      <c r="B786" s="128"/>
      <c r="C786" s="132"/>
      <c r="D786" s="133"/>
      <c r="E786" s="132"/>
      <c r="F786" s="129"/>
      <c r="G786" s="132"/>
      <c r="H786" s="132"/>
    </row>
    <row r="787" spans="1:8">
      <c r="A787" s="127"/>
      <c r="B787" s="128"/>
      <c r="C787" s="132"/>
      <c r="D787" s="133"/>
      <c r="E787" s="132"/>
      <c r="F787" s="129"/>
      <c r="G787" s="132"/>
      <c r="H787" s="132"/>
    </row>
    <row r="788" spans="1:8">
      <c r="A788" s="127"/>
      <c r="B788" s="128"/>
      <c r="C788" s="132"/>
      <c r="D788" s="133"/>
      <c r="E788" s="132"/>
      <c r="F788" s="129"/>
      <c r="G788" s="132"/>
      <c r="H788" s="132"/>
    </row>
    <row r="789" spans="1:8">
      <c r="A789" s="127"/>
      <c r="B789" s="128"/>
      <c r="C789" s="132"/>
      <c r="D789" s="133"/>
      <c r="E789" s="132"/>
      <c r="F789" s="129"/>
      <c r="G789" s="132"/>
      <c r="H789" s="132"/>
    </row>
    <row r="790" spans="1:8">
      <c r="A790" s="127"/>
      <c r="B790" s="128"/>
      <c r="C790" s="132"/>
      <c r="D790" s="133"/>
      <c r="E790" s="132"/>
      <c r="F790" s="129"/>
      <c r="G790" s="132"/>
      <c r="H790" s="132"/>
    </row>
    <row r="791" spans="1:8">
      <c r="A791" s="127"/>
      <c r="B791" s="128"/>
      <c r="C791" s="132"/>
      <c r="D791" s="133"/>
      <c r="E791" s="132"/>
      <c r="F791" s="129"/>
      <c r="G791" s="132"/>
      <c r="H791" s="132"/>
    </row>
    <row r="792" spans="1:8">
      <c r="A792" s="127"/>
      <c r="B792" s="128"/>
      <c r="C792" s="132"/>
      <c r="D792" s="133"/>
      <c r="E792" s="132"/>
      <c r="F792" s="129"/>
      <c r="G792" s="132"/>
      <c r="H792" s="132"/>
    </row>
    <row r="793" spans="1:8">
      <c r="A793" s="127"/>
      <c r="B793" s="128"/>
      <c r="C793" s="132"/>
      <c r="D793" s="133"/>
      <c r="E793" s="132"/>
      <c r="F793" s="129"/>
      <c r="G793" s="132"/>
      <c r="H793" s="132"/>
    </row>
    <row r="794" spans="1:8">
      <c r="A794" s="127"/>
      <c r="B794" s="128"/>
      <c r="C794" s="132"/>
      <c r="D794" s="133"/>
      <c r="E794" s="132"/>
      <c r="F794" s="129"/>
      <c r="G794" s="132"/>
      <c r="H794" s="132"/>
    </row>
    <row r="795" spans="1:8">
      <c r="A795" s="127"/>
      <c r="B795" s="128"/>
      <c r="C795" s="132"/>
      <c r="D795" s="133"/>
      <c r="E795" s="132"/>
      <c r="F795" s="129"/>
      <c r="G795" s="132"/>
      <c r="H795" s="132"/>
    </row>
    <row r="796" spans="1:8">
      <c r="A796" s="127"/>
      <c r="B796" s="128"/>
      <c r="C796" s="132"/>
      <c r="D796" s="133"/>
      <c r="E796" s="132"/>
      <c r="F796" s="129"/>
      <c r="G796" s="132"/>
      <c r="H796" s="132"/>
    </row>
    <row r="797" spans="1:8">
      <c r="A797" s="127"/>
      <c r="B797" s="128"/>
      <c r="C797" s="132"/>
      <c r="D797" s="133"/>
      <c r="E797" s="132"/>
      <c r="F797" s="129"/>
      <c r="G797" s="132"/>
      <c r="H797" s="132"/>
    </row>
    <row r="798" spans="1:8">
      <c r="A798" s="127"/>
      <c r="B798" s="128"/>
      <c r="C798" s="132"/>
      <c r="D798" s="133"/>
      <c r="E798" s="132"/>
      <c r="F798" s="129"/>
      <c r="G798" s="132"/>
      <c r="H798" s="132"/>
    </row>
    <row r="799" spans="1:8">
      <c r="A799" s="127"/>
      <c r="B799" s="128"/>
      <c r="C799" s="132"/>
      <c r="D799" s="133"/>
      <c r="E799" s="132"/>
      <c r="F799" s="129"/>
      <c r="G799" s="132"/>
      <c r="H799" s="132"/>
    </row>
    <row r="800" spans="1:8">
      <c r="A800" s="127"/>
      <c r="B800" s="128"/>
      <c r="C800" s="132"/>
      <c r="D800" s="133"/>
      <c r="E800" s="132"/>
      <c r="F800" s="129"/>
      <c r="G800" s="132"/>
      <c r="H800" s="132"/>
    </row>
    <row r="801" spans="1:8">
      <c r="A801" s="127"/>
      <c r="B801" s="128"/>
      <c r="C801" s="132"/>
      <c r="D801" s="133"/>
      <c r="E801" s="132"/>
      <c r="F801" s="129"/>
      <c r="G801" s="132"/>
      <c r="H801" s="132"/>
    </row>
    <row r="802" spans="1:8">
      <c r="A802" s="127"/>
      <c r="B802" s="128"/>
      <c r="C802" s="132"/>
      <c r="D802" s="133"/>
      <c r="E802" s="132"/>
      <c r="F802" s="129"/>
      <c r="G802" s="132"/>
      <c r="H802" s="132"/>
    </row>
    <row r="803" spans="1:8">
      <c r="A803" s="127"/>
      <c r="B803" s="128"/>
      <c r="C803" s="132"/>
      <c r="D803" s="133"/>
      <c r="E803" s="132"/>
      <c r="F803" s="129"/>
      <c r="G803" s="132"/>
      <c r="H803" s="132"/>
    </row>
    <row r="804" spans="1:8">
      <c r="A804" s="127"/>
      <c r="B804" s="128"/>
      <c r="C804" s="132"/>
      <c r="D804" s="133"/>
      <c r="E804" s="132"/>
      <c r="F804" s="129"/>
      <c r="G804" s="132"/>
      <c r="H804" s="132"/>
    </row>
    <row r="805" spans="1:8">
      <c r="A805" s="127"/>
      <c r="B805" s="128"/>
      <c r="C805" s="132"/>
      <c r="D805" s="133"/>
      <c r="E805" s="132"/>
      <c r="F805" s="129"/>
      <c r="G805" s="132"/>
      <c r="H805" s="132"/>
    </row>
    <row r="806" spans="1:8">
      <c r="A806" s="127"/>
      <c r="B806" s="128"/>
      <c r="C806" s="132"/>
      <c r="D806" s="133"/>
      <c r="E806" s="132"/>
      <c r="F806" s="129"/>
      <c r="G806" s="132"/>
      <c r="H806" s="132"/>
    </row>
    <row r="807" spans="1:8">
      <c r="A807" s="127"/>
      <c r="B807" s="128"/>
      <c r="C807" s="132"/>
      <c r="D807" s="133"/>
      <c r="E807" s="132"/>
      <c r="F807" s="129"/>
      <c r="G807" s="132"/>
      <c r="H807" s="132"/>
    </row>
    <row r="808" spans="1:8">
      <c r="A808" s="127"/>
      <c r="B808" s="128"/>
      <c r="C808" s="132"/>
      <c r="D808" s="133"/>
      <c r="E808" s="132"/>
      <c r="F808" s="129"/>
      <c r="G808" s="132"/>
      <c r="H808" s="132"/>
    </row>
    <row r="809" spans="1:8">
      <c r="A809" s="127"/>
      <c r="B809" s="128"/>
      <c r="C809" s="132"/>
      <c r="D809" s="133"/>
      <c r="E809" s="132"/>
      <c r="F809" s="129"/>
      <c r="G809" s="132"/>
      <c r="H809" s="132"/>
    </row>
    <row r="810" spans="1:8">
      <c r="A810" s="127"/>
      <c r="B810" s="128"/>
      <c r="C810" s="132"/>
      <c r="D810" s="133"/>
      <c r="E810" s="132"/>
      <c r="F810" s="129"/>
      <c r="G810" s="132"/>
      <c r="H810" s="132"/>
    </row>
    <row r="811" spans="1:8">
      <c r="A811" s="127"/>
      <c r="B811" s="128"/>
      <c r="C811" s="132"/>
      <c r="D811" s="133"/>
      <c r="E811" s="132"/>
      <c r="F811" s="129"/>
      <c r="G811" s="132"/>
      <c r="H811" s="132"/>
    </row>
    <row r="812" spans="1:8">
      <c r="A812" s="127"/>
      <c r="B812" s="128"/>
      <c r="C812" s="132"/>
      <c r="D812" s="133"/>
      <c r="E812" s="132"/>
      <c r="F812" s="129"/>
      <c r="G812" s="132"/>
      <c r="H812" s="132"/>
    </row>
    <row r="813" spans="1:8">
      <c r="A813" s="127"/>
      <c r="B813" s="128"/>
      <c r="C813" s="132"/>
      <c r="D813" s="133"/>
      <c r="E813" s="132"/>
      <c r="F813" s="129"/>
      <c r="G813" s="132"/>
      <c r="H813" s="132"/>
    </row>
    <row r="814" spans="1:8">
      <c r="A814" s="127"/>
      <c r="B814" s="128"/>
      <c r="C814" s="132"/>
      <c r="D814" s="133"/>
      <c r="E814" s="132"/>
      <c r="F814" s="129"/>
      <c r="G814" s="132"/>
      <c r="H814" s="132"/>
    </row>
    <row r="815" spans="1:8">
      <c r="A815" s="127"/>
      <c r="B815" s="128"/>
      <c r="C815" s="132"/>
      <c r="D815" s="133"/>
      <c r="E815" s="132"/>
      <c r="F815" s="129"/>
      <c r="G815" s="132"/>
      <c r="H815" s="132"/>
    </row>
    <row r="816" spans="1:8">
      <c r="A816" s="127"/>
      <c r="B816" s="128"/>
      <c r="C816" s="132"/>
      <c r="D816" s="133"/>
      <c r="E816" s="132"/>
      <c r="F816" s="129"/>
      <c r="G816" s="132"/>
      <c r="H816" s="132"/>
    </row>
    <row r="817" spans="1:8">
      <c r="A817" s="127"/>
      <c r="B817" s="128"/>
      <c r="C817" s="132"/>
      <c r="D817" s="133"/>
      <c r="E817" s="132"/>
      <c r="F817" s="129"/>
      <c r="G817" s="132"/>
      <c r="H817" s="132"/>
    </row>
    <row r="818" spans="1:8">
      <c r="A818" s="127"/>
      <c r="B818" s="128"/>
      <c r="C818" s="132"/>
      <c r="D818" s="133"/>
      <c r="E818" s="132"/>
      <c r="F818" s="129"/>
      <c r="G818" s="132"/>
      <c r="H818" s="132"/>
    </row>
    <row r="819" spans="1:8">
      <c r="A819" s="127"/>
      <c r="B819" s="128"/>
      <c r="C819" s="132"/>
      <c r="D819" s="133"/>
      <c r="E819" s="132"/>
      <c r="F819" s="129"/>
      <c r="G819" s="132"/>
      <c r="H819" s="132"/>
    </row>
    <row r="820" spans="1:8">
      <c r="A820" s="127"/>
      <c r="B820" s="128"/>
      <c r="C820" s="132"/>
      <c r="D820" s="133"/>
      <c r="E820" s="132"/>
      <c r="F820" s="129"/>
      <c r="G820" s="132"/>
      <c r="H820" s="132"/>
    </row>
    <row r="821" spans="1:8">
      <c r="A821" s="127"/>
      <c r="B821" s="128"/>
      <c r="C821" s="132"/>
      <c r="D821" s="133"/>
      <c r="E821" s="132"/>
      <c r="F821" s="129"/>
      <c r="G821" s="132"/>
      <c r="H821" s="132"/>
    </row>
    <row r="822" spans="1:8">
      <c r="A822" s="127"/>
      <c r="B822" s="128"/>
      <c r="C822" s="132"/>
      <c r="D822" s="133"/>
      <c r="E822" s="132"/>
      <c r="F822" s="129"/>
      <c r="G822" s="132"/>
      <c r="H822" s="132"/>
    </row>
    <row r="823" spans="1:8">
      <c r="A823" s="127"/>
      <c r="B823" s="128"/>
      <c r="C823" s="132"/>
      <c r="D823" s="133"/>
      <c r="E823" s="132"/>
      <c r="F823" s="129"/>
      <c r="G823" s="132"/>
      <c r="H823" s="132"/>
    </row>
    <row r="824" spans="1:8">
      <c r="A824" s="127"/>
      <c r="B824" s="128"/>
      <c r="C824" s="132"/>
      <c r="D824" s="133"/>
      <c r="E824" s="132"/>
      <c r="F824" s="129"/>
      <c r="G824" s="132"/>
      <c r="H824" s="132"/>
    </row>
    <row r="825" spans="1:8">
      <c r="A825" s="127"/>
      <c r="B825" s="128"/>
      <c r="C825" s="132"/>
      <c r="D825" s="133"/>
      <c r="E825" s="132"/>
      <c r="F825" s="129"/>
      <c r="G825" s="132"/>
      <c r="H825" s="132"/>
    </row>
    <row r="826" spans="1:8">
      <c r="A826" s="127"/>
      <c r="B826" s="128"/>
      <c r="C826" s="132"/>
      <c r="D826" s="133"/>
      <c r="E826" s="132"/>
      <c r="F826" s="129"/>
      <c r="G826" s="132"/>
      <c r="H826" s="132"/>
    </row>
    <row r="827" spans="1:8">
      <c r="A827" s="127"/>
      <c r="B827" s="128"/>
      <c r="C827" s="132"/>
      <c r="D827" s="133"/>
      <c r="E827" s="132"/>
      <c r="F827" s="129"/>
      <c r="G827" s="132"/>
      <c r="H827" s="132"/>
    </row>
    <row r="828" spans="1:8">
      <c r="A828" s="127"/>
      <c r="B828" s="128"/>
      <c r="C828" s="132"/>
      <c r="D828" s="133"/>
      <c r="E828" s="132"/>
      <c r="F828" s="129"/>
      <c r="G828" s="132"/>
      <c r="H828" s="132"/>
    </row>
    <row r="829" spans="1:8">
      <c r="A829" s="127"/>
      <c r="B829" s="128"/>
      <c r="C829" s="132"/>
      <c r="D829" s="133"/>
      <c r="E829" s="132"/>
      <c r="F829" s="129"/>
      <c r="G829" s="132"/>
      <c r="H829" s="132"/>
    </row>
    <row r="830" spans="1:8">
      <c r="A830" s="127"/>
      <c r="B830" s="128"/>
      <c r="C830" s="132"/>
      <c r="D830" s="133"/>
      <c r="E830" s="132"/>
      <c r="F830" s="129"/>
      <c r="G830" s="132"/>
      <c r="H830" s="132"/>
    </row>
    <row r="831" spans="1:8">
      <c r="A831" s="127"/>
      <c r="B831" s="128"/>
      <c r="C831" s="132"/>
      <c r="D831" s="133"/>
      <c r="E831" s="132"/>
      <c r="F831" s="129"/>
      <c r="G831" s="132"/>
      <c r="H831" s="132"/>
    </row>
    <row r="832" spans="1:8">
      <c r="A832" s="127"/>
      <c r="B832" s="128"/>
      <c r="C832" s="132"/>
      <c r="D832" s="133"/>
      <c r="E832" s="132"/>
      <c r="F832" s="129"/>
      <c r="G832" s="132"/>
      <c r="H832" s="132"/>
    </row>
    <row r="833" spans="1:8">
      <c r="A833" s="127"/>
      <c r="B833" s="128"/>
      <c r="C833" s="132"/>
      <c r="D833" s="133"/>
      <c r="E833" s="132"/>
      <c r="F833" s="129"/>
      <c r="G833" s="132"/>
      <c r="H833" s="132"/>
    </row>
    <row r="834" spans="1:8">
      <c r="A834" s="127"/>
      <c r="B834" s="128"/>
      <c r="C834" s="132"/>
      <c r="D834" s="133"/>
      <c r="E834" s="132"/>
      <c r="F834" s="129"/>
      <c r="G834" s="132"/>
      <c r="H834" s="132"/>
    </row>
    <row r="835" spans="1:8">
      <c r="A835" s="127"/>
      <c r="B835" s="128"/>
      <c r="C835" s="132"/>
      <c r="D835" s="133"/>
      <c r="E835" s="132"/>
      <c r="F835" s="129"/>
      <c r="G835" s="132"/>
      <c r="H835" s="132"/>
    </row>
    <row r="836" spans="1:8">
      <c r="A836" s="127"/>
      <c r="B836" s="128"/>
      <c r="C836" s="132"/>
      <c r="D836" s="133"/>
      <c r="E836" s="132"/>
      <c r="F836" s="129"/>
      <c r="G836" s="132"/>
      <c r="H836" s="132"/>
    </row>
    <row r="837" spans="1:8">
      <c r="A837" s="127"/>
      <c r="B837" s="128"/>
      <c r="C837" s="132"/>
      <c r="D837" s="133"/>
      <c r="E837" s="132"/>
      <c r="F837" s="129"/>
      <c r="G837" s="132"/>
      <c r="H837" s="132"/>
    </row>
    <row r="838" spans="1:8">
      <c r="A838" s="127"/>
      <c r="B838" s="128"/>
      <c r="C838" s="132"/>
      <c r="D838" s="133"/>
      <c r="E838" s="132"/>
      <c r="F838" s="129"/>
      <c r="G838" s="132"/>
      <c r="H838" s="132"/>
    </row>
    <row r="839" spans="1:8">
      <c r="A839" s="127"/>
      <c r="B839" s="128"/>
      <c r="C839" s="132"/>
      <c r="D839" s="133"/>
      <c r="E839" s="132"/>
      <c r="F839" s="129"/>
      <c r="G839" s="132"/>
      <c r="H839" s="132"/>
    </row>
    <row r="840" spans="1:8">
      <c r="A840" s="127"/>
      <c r="B840" s="128"/>
      <c r="C840" s="132"/>
      <c r="D840" s="133"/>
      <c r="E840" s="132"/>
      <c r="F840" s="129"/>
      <c r="G840" s="132"/>
      <c r="H840" s="132"/>
    </row>
    <row r="841" spans="1:8">
      <c r="A841" s="127"/>
      <c r="B841" s="128"/>
      <c r="C841" s="132"/>
      <c r="D841" s="133"/>
      <c r="E841" s="132"/>
      <c r="F841" s="129"/>
      <c r="G841" s="132"/>
      <c r="H841" s="132"/>
    </row>
    <row r="842" spans="1:8">
      <c r="A842" s="127"/>
      <c r="B842" s="128"/>
      <c r="C842" s="132"/>
      <c r="D842" s="133"/>
      <c r="E842" s="132"/>
      <c r="F842" s="129"/>
      <c r="G842" s="132"/>
      <c r="H842" s="132"/>
    </row>
    <row r="843" spans="1:8">
      <c r="A843" s="127"/>
      <c r="B843" s="128"/>
      <c r="C843" s="132"/>
      <c r="D843" s="133"/>
      <c r="E843" s="132"/>
      <c r="F843" s="129"/>
      <c r="G843" s="132"/>
      <c r="H843" s="132"/>
    </row>
    <row r="844" spans="1:8">
      <c r="A844" s="127"/>
      <c r="B844" s="128"/>
      <c r="C844" s="132"/>
      <c r="D844" s="133"/>
      <c r="E844" s="132"/>
      <c r="F844" s="129"/>
      <c r="G844" s="132"/>
      <c r="H844" s="132"/>
    </row>
    <row r="845" spans="1:8">
      <c r="A845" s="127"/>
      <c r="B845" s="128"/>
      <c r="C845" s="132"/>
      <c r="D845" s="133"/>
      <c r="E845" s="132"/>
      <c r="F845" s="129"/>
      <c r="G845" s="132"/>
      <c r="H845" s="132"/>
    </row>
    <row r="846" spans="1:8">
      <c r="A846" s="127"/>
      <c r="B846" s="128"/>
      <c r="C846" s="132"/>
      <c r="D846" s="133"/>
      <c r="E846" s="132"/>
      <c r="F846" s="129"/>
      <c r="G846" s="132"/>
      <c r="H846" s="132"/>
    </row>
    <row r="847" spans="1:8">
      <c r="A847" s="127"/>
      <c r="B847" s="128"/>
      <c r="C847" s="132"/>
      <c r="D847" s="133"/>
      <c r="E847" s="132"/>
      <c r="F847" s="129"/>
      <c r="G847" s="132"/>
      <c r="H847" s="132"/>
    </row>
    <row r="848" spans="1:8">
      <c r="A848" s="127"/>
      <c r="B848" s="128"/>
      <c r="C848" s="132"/>
      <c r="D848" s="133"/>
      <c r="E848" s="132"/>
      <c r="F848" s="129"/>
      <c r="G848" s="132"/>
      <c r="H848" s="132"/>
    </row>
    <row r="849" spans="1:8">
      <c r="A849" s="127"/>
      <c r="B849" s="128"/>
      <c r="C849" s="132"/>
      <c r="D849" s="133"/>
      <c r="E849" s="132"/>
      <c r="F849" s="129"/>
      <c r="G849" s="132"/>
      <c r="H849" s="132"/>
    </row>
    <row r="850" spans="1:8">
      <c r="A850" s="127"/>
      <c r="B850" s="128"/>
      <c r="C850" s="132"/>
      <c r="D850" s="133"/>
      <c r="E850" s="132"/>
      <c r="F850" s="129"/>
      <c r="G850" s="132"/>
      <c r="H850" s="132"/>
    </row>
    <row r="851" spans="1:8">
      <c r="A851" s="127"/>
      <c r="B851" s="128"/>
      <c r="C851" s="132"/>
      <c r="D851" s="133"/>
      <c r="E851" s="132"/>
      <c r="F851" s="129"/>
      <c r="G851" s="132"/>
      <c r="H851" s="132"/>
    </row>
    <row r="852" spans="1:8">
      <c r="A852" s="127"/>
      <c r="B852" s="128"/>
      <c r="C852" s="132"/>
      <c r="D852" s="133"/>
      <c r="E852" s="132"/>
      <c r="F852" s="129"/>
      <c r="G852" s="132"/>
      <c r="H852" s="132"/>
    </row>
    <row r="853" spans="1:8">
      <c r="A853" s="127"/>
      <c r="B853" s="128"/>
      <c r="C853" s="132"/>
      <c r="D853" s="133"/>
      <c r="E853" s="132"/>
      <c r="F853" s="129"/>
      <c r="G853" s="132"/>
      <c r="H853" s="132"/>
    </row>
    <row r="854" spans="1:8">
      <c r="A854" s="127"/>
      <c r="B854" s="128"/>
      <c r="C854" s="132"/>
      <c r="D854" s="133"/>
      <c r="E854" s="132"/>
      <c r="F854" s="129"/>
      <c r="G854" s="132"/>
      <c r="H854" s="132"/>
    </row>
    <row r="855" spans="1:8">
      <c r="A855" s="127"/>
      <c r="B855" s="128"/>
      <c r="C855" s="132"/>
      <c r="D855" s="133"/>
      <c r="E855" s="132"/>
      <c r="F855" s="129"/>
      <c r="G855" s="132"/>
      <c r="H855" s="132"/>
    </row>
    <row r="856" spans="1:8">
      <c r="A856" s="127"/>
      <c r="B856" s="128"/>
      <c r="C856" s="132"/>
      <c r="D856" s="133"/>
      <c r="E856" s="132"/>
      <c r="F856" s="129"/>
      <c r="G856" s="132"/>
      <c r="H856" s="132"/>
    </row>
    <row r="857" spans="1:8">
      <c r="A857" s="127"/>
      <c r="B857" s="128"/>
      <c r="C857" s="132"/>
      <c r="D857" s="133"/>
      <c r="E857" s="132"/>
      <c r="F857" s="129"/>
      <c r="G857" s="132"/>
      <c r="H857" s="132"/>
    </row>
    <row r="858" spans="1:8">
      <c r="A858" s="127"/>
      <c r="B858" s="128"/>
      <c r="C858" s="132"/>
      <c r="D858" s="133"/>
      <c r="E858" s="132"/>
      <c r="F858" s="129"/>
      <c r="G858" s="132"/>
      <c r="H858" s="132"/>
    </row>
    <row r="859" spans="1:8">
      <c r="A859" s="127"/>
      <c r="B859" s="128"/>
      <c r="C859" s="132"/>
      <c r="D859" s="133"/>
      <c r="E859" s="132"/>
      <c r="F859" s="129"/>
      <c r="G859" s="132"/>
      <c r="H859" s="132"/>
    </row>
    <row r="860" spans="1:8">
      <c r="A860" s="127"/>
      <c r="B860" s="128"/>
      <c r="C860" s="132"/>
      <c r="D860" s="133"/>
      <c r="E860" s="132"/>
      <c r="F860" s="129"/>
      <c r="G860" s="132"/>
      <c r="H860" s="132"/>
    </row>
    <row r="861" spans="1:8">
      <c r="A861" s="127"/>
      <c r="B861" s="128"/>
      <c r="C861" s="132"/>
      <c r="D861" s="133"/>
      <c r="E861" s="132"/>
      <c r="F861" s="129"/>
      <c r="G861" s="132"/>
      <c r="H861" s="132"/>
    </row>
    <row r="862" spans="1:8">
      <c r="A862" s="127"/>
      <c r="B862" s="128"/>
      <c r="C862" s="132"/>
      <c r="D862" s="133"/>
      <c r="E862" s="132"/>
      <c r="F862" s="129"/>
      <c r="G862" s="132"/>
      <c r="H862" s="132"/>
    </row>
    <row r="863" spans="1:8">
      <c r="A863" s="127"/>
      <c r="B863" s="128"/>
      <c r="C863" s="132"/>
      <c r="D863" s="133"/>
      <c r="E863" s="132"/>
      <c r="F863" s="129"/>
      <c r="G863" s="132"/>
      <c r="H863" s="132"/>
    </row>
    <row r="864" spans="1:8">
      <c r="A864" s="127"/>
      <c r="B864" s="128"/>
      <c r="C864" s="132"/>
      <c r="D864" s="133"/>
      <c r="E864" s="132"/>
      <c r="F864" s="129"/>
      <c r="G864" s="132"/>
      <c r="H864" s="132"/>
    </row>
    <row r="865" spans="1:8">
      <c r="A865" s="127"/>
      <c r="B865" s="128"/>
      <c r="C865" s="132"/>
      <c r="D865" s="133"/>
      <c r="E865" s="132"/>
      <c r="F865" s="129"/>
      <c r="G865" s="132"/>
      <c r="H865" s="132"/>
    </row>
    <row r="866" spans="1:8">
      <c r="A866" s="127"/>
      <c r="B866" s="128"/>
      <c r="C866" s="132"/>
      <c r="D866" s="133"/>
      <c r="E866" s="132"/>
      <c r="F866" s="129"/>
      <c r="G866" s="132"/>
      <c r="H866" s="132"/>
    </row>
    <row r="867" spans="1:8">
      <c r="A867" s="127"/>
      <c r="B867" s="128"/>
      <c r="C867" s="132"/>
      <c r="D867" s="133"/>
      <c r="E867" s="132"/>
      <c r="F867" s="129"/>
      <c r="G867" s="132"/>
      <c r="H867" s="132"/>
    </row>
    <row r="868" spans="1:8">
      <c r="A868" s="127"/>
      <c r="B868" s="128"/>
      <c r="C868" s="132"/>
      <c r="D868" s="133"/>
      <c r="E868" s="132"/>
      <c r="F868" s="129"/>
      <c r="G868" s="132"/>
      <c r="H868" s="132"/>
    </row>
    <row r="869" spans="1:8">
      <c r="A869" s="127"/>
      <c r="B869" s="128"/>
      <c r="C869" s="132"/>
      <c r="D869" s="133"/>
      <c r="E869" s="132"/>
      <c r="F869" s="129"/>
      <c r="G869" s="132"/>
      <c r="H869" s="132"/>
    </row>
    <row r="870" spans="1:8">
      <c r="A870" s="127"/>
      <c r="B870" s="128"/>
      <c r="C870" s="132"/>
      <c r="D870" s="133"/>
      <c r="E870" s="132"/>
      <c r="F870" s="129"/>
      <c r="G870" s="132"/>
      <c r="H870" s="132"/>
    </row>
    <row r="871" spans="1:8">
      <c r="A871" s="127"/>
      <c r="B871" s="128"/>
      <c r="C871" s="132"/>
      <c r="D871" s="133"/>
      <c r="E871" s="132"/>
      <c r="F871" s="129"/>
      <c r="G871" s="132"/>
      <c r="H871" s="132"/>
    </row>
    <row r="872" spans="1:8">
      <c r="A872" s="127"/>
      <c r="B872" s="128"/>
      <c r="C872" s="132"/>
      <c r="D872" s="133"/>
      <c r="E872" s="132"/>
      <c r="F872" s="129"/>
      <c r="G872" s="132"/>
      <c r="H872" s="132"/>
    </row>
    <row r="873" spans="1:8">
      <c r="A873" s="127"/>
      <c r="B873" s="128"/>
      <c r="C873" s="132"/>
      <c r="D873" s="133"/>
      <c r="E873" s="132"/>
      <c r="F873" s="129"/>
      <c r="G873" s="132"/>
      <c r="H873" s="132"/>
    </row>
    <row r="874" spans="1:8">
      <c r="A874" s="127"/>
      <c r="B874" s="128"/>
      <c r="C874" s="132"/>
      <c r="D874" s="133"/>
      <c r="E874" s="132"/>
      <c r="F874" s="129"/>
      <c r="G874" s="132"/>
      <c r="H874" s="132"/>
    </row>
    <row r="875" spans="1:8">
      <c r="A875" s="127"/>
      <c r="B875" s="128"/>
      <c r="C875" s="132"/>
      <c r="D875" s="133"/>
      <c r="E875" s="132"/>
      <c r="F875" s="129"/>
      <c r="G875" s="132"/>
      <c r="H875" s="132"/>
    </row>
    <row r="876" spans="1:8">
      <c r="A876" s="127"/>
      <c r="B876" s="128"/>
      <c r="C876" s="132"/>
      <c r="D876" s="133"/>
      <c r="E876" s="132"/>
      <c r="F876" s="129"/>
      <c r="G876" s="132"/>
      <c r="H876" s="132"/>
    </row>
    <row r="877" spans="1:8">
      <c r="A877" s="127"/>
      <c r="B877" s="128"/>
      <c r="C877" s="132"/>
      <c r="D877" s="133"/>
      <c r="E877" s="132"/>
      <c r="F877" s="129"/>
      <c r="G877" s="132"/>
      <c r="H877" s="132"/>
    </row>
    <row r="878" spans="1:8">
      <c r="A878" s="127"/>
      <c r="B878" s="128"/>
      <c r="C878" s="132"/>
      <c r="D878" s="133"/>
      <c r="E878" s="132"/>
      <c r="F878" s="129"/>
      <c r="G878" s="132"/>
      <c r="H878" s="132"/>
    </row>
    <row r="879" spans="1:8">
      <c r="A879" s="127"/>
      <c r="B879" s="128"/>
      <c r="C879" s="132"/>
      <c r="D879" s="133"/>
      <c r="E879" s="132"/>
      <c r="F879" s="129"/>
      <c r="G879" s="132"/>
      <c r="H879" s="132"/>
    </row>
    <row r="880" spans="1:8">
      <c r="A880" s="127"/>
      <c r="B880" s="128"/>
      <c r="C880" s="132"/>
      <c r="D880" s="133"/>
      <c r="E880" s="132"/>
      <c r="F880" s="129"/>
      <c r="G880" s="132"/>
      <c r="H880" s="132"/>
    </row>
    <row r="881" spans="1:8">
      <c r="A881" s="127"/>
      <c r="B881" s="128"/>
      <c r="C881" s="132"/>
      <c r="D881" s="133"/>
      <c r="E881" s="132"/>
      <c r="F881" s="129"/>
      <c r="G881" s="132"/>
      <c r="H881" s="132"/>
    </row>
    <row r="882" spans="1:8">
      <c r="A882" s="127"/>
      <c r="B882" s="128"/>
      <c r="C882" s="132"/>
      <c r="D882" s="133"/>
      <c r="E882" s="132"/>
      <c r="F882" s="129"/>
      <c r="G882" s="132"/>
      <c r="H882" s="132"/>
    </row>
    <row r="883" spans="1:8">
      <c r="A883" s="127"/>
      <c r="B883" s="128"/>
      <c r="C883" s="132"/>
      <c r="D883" s="133"/>
      <c r="E883" s="132"/>
      <c r="F883" s="129"/>
      <c r="G883" s="132"/>
      <c r="H883" s="132"/>
    </row>
    <row r="884" spans="1:8">
      <c r="A884" s="127"/>
      <c r="B884" s="128"/>
      <c r="C884" s="132"/>
      <c r="D884" s="133"/>
      <c r="E884" s="132"/>
      <c r="F884" s="129"/>
      <c r="G884" s="132"/>
      <c r="H884" s="132"/>
    </row>
    <row r="885" spans="1:8">
      <c r="A885" s="127"/>
      <c r="B885" s="128"/>
      <c r="C885" s="132"/>
      <c r="D885" s="133"/>
      <c r="E885" s="132"/>
      <c r="F885" s="129"/>
      <c r="G885" s="132"/>
      <c r="H885" s="132"/>
    </row>
    <row r="886" spans="1:8">
      <c r="A886" s="127"/>
      <c r="B886" s="128"/>
      <c r="C886" s="132"/>
      <c r="D886" s="133"/>
      <c r="E886" s="132"/>
      <c r="F886" s="129"/>
      <c r="G886" s="132"/>
      <c r="H886" s="132"/>
    </row>
    <row r="887" spans="1:8">
      <c r="A887" s="127"/>
      <c r="B887" s="128"/>
      <c r="C887" s="132"/>
      <c r="D887" s="133"/>
      <c r="E887" s="132"/>
      <c r="F887" s="129"/>
      <c r="G887" s="132"/>
      <c r="H887" s="132"/>
    </row>
    <row r="888" spans="1:8">
      <c r="A888" s="127"/>
      <c r="B888" s="128"/>
      <c r="C888" s="132"/>
      <c r="D888" s="133"/>
      <c r="E888" s="132"/>
      <c r="F888" s="129"/>
      <c r="G888" s="132"/>
      <c r="H888" s="132"/>
    </row>
    <row r="889" spans="1:8">
      <c r="A889" s="127"/>
      <c r="B889" s="128"/>
      <c r="C889" s="132"/>
      <c r="D889" s="133"/>
      <c r="E889" s="132"/>
      <c r="F889" s="129"/>
      <c r="G889" s="132"/>
      <c r="H889" s="132"/>
    </row>
    <row r="890" spans="1:8">
      <c r="A890" s="127"/>
      <c r="B890" s="128"/>
      <c r="C890" s="132"/>
      <c r="D890" s="133"/>
      <c r="E890" s="132"/>
      <c r="F890" s="129"/>
      <c r="G890" s="132"/>
      <c r="H890" s="132"/>
    </row>
    <row r="891" spans="1:8">
      <c r="A891" s="127"/>
      <c r="B891" s="128"/>
      <c r="C891" s="132"/>
      <c r="D891" s="133"/>
      <c r="E891" s="132"/>
      <c r="F891" s="129"/>
      <c r="G891" s="132"/>
      <c r="H891" s="132"/>
    </row>
    <row r="892" spans="1:8">
      <c r="A892" s="127"/>
      <c r="B892" s="128"/>
      <c r="C892" s="132"/>
      <c r="D892" s="133"/>
      <c r="E892" s="132"/>
      <c r="F892" s="129"/>
      <c r="G892" s="132"/>
      <c r="H892" s="132"/>
    </row>
    <row r="893" spans="1:8">
      <c r="A893" s="127"/>
      <c r="B893" s="128"/>
      <c r="C893" s="132"/>
      <c r="D893" s="133"/>
      <c r="E893" s="132"/>
      <c r="F893" s="129"/>
      <c r="G893" s="132"/>
      <c r="H893" s="132"/>
    </row>
    <row r="894" spans="1:8">
      <c r="A894" s="127"/>
      <c r="B894" s="128"/>
      <c r="C894" s="132"/>
      <c r="D894" s="133"/>
      <c r="E894" s="132"/>
      <c r="F894" s="129"/>
      <c r="G894" s="132"/>
      <c r="H894" s="132"/>
    </row>
    <row r="895" spans="1:8">
      <c r="A895" s="127"/>
      <c r="B895" s="128"/>
      <c r="C895" s="132"/>
      <c r="D895" s="133"/>
      <c r="E895" s="132"/>
      <c r="F895" s="129"/>
      <c r="G895" s="132"/>
      <c r="H895" s="132"/>
    </row>
    <row r="896" spans="1:8">
      <c r="A896" s="127"/>
      <c r="B896" s="128"/>
      <c r="C896" s="132"/>
      <c r="D896" s="133"/>
      <c r="E896" s="132"/>
      <c r="F896" s="129"/>
      <c r="G896" s="132"/>
      <c r="H896" s="132"/>
    </row>
    <row r="897" spans="1:8">
      <c r="A897" s="127"/>
      <c r="B897" s="128"/>
      <c r="C897" s="132"/>
      <c r="D897" s="133"/>
      <c r="E897" s="132"/>
      <c r="F897" s="129"/>
      <c r="G897" s="132"/>
      <c r="H897" s="132"/>
    </row>
    <row r="898" spans="1:8">
      <c r="A898" s="127"/>
      <c r="B898" s="128"/>
      <c r="C898" s="132"/>
      <c r="D898" s="133"/>
      <c r="E898" s="132"/>
      <c r="F898" s="129"/>
      <c r="G898" s="132"/>
      <c r="H898" s="132"/>
    </row>
    <row r="899" spans="1:8">
      <c r="A899" s="127"/>
      <c r="B899" s="128"/>
      <c r="C899" s="132"/>
      <c r="D899" s="133"/>
      <c r="E899" s="132"/>
      <c r="F899" s="129"/>
      <c r="G899" s="132"/>
      <c r="H899" s="132"/>
    </row>
    <row r="900" spans="1:8">
      <c r="A900" s="127"/>
      <c r="B900" s="128"/>
      <c r="C900" s="132"/>
      <c r="D900" s="133"/>
      <c r="E900" s="132"/>
      <c r="F900" s="129"/>
      <c r="G900" s="132"/>
      <c r="H900" s="132"/>
    </row>
    <row r="901" spans="1:8">
      <c r="A901" s="127"/>
      <c r="B901" s="128"/>
      <c r="C901" s="132"/>
      <c r="D901" s="133"/>
      <c r="E901" s="132"/>
      <c r="F901" s="129"/>
      <c r="G901" s="132"/>
      <c r="H901" s="132"/>
    </row>
    <row r="902" spans="1:8">
      <c r="A902" s="127"/>
      <c r="B902" s="128"/>
      <c r="C902" s="132"/>
      <c r="D902" s="133"/>
      <c r="E902" s="132"/>
      <c r="F902" s="129"/>
      <c r="G902" s="132"/>
      <c r="H902" s="132"/>
    </row>
    <row r="903" spans="1:8">
      <c r="A903" s="127"/>
      <c r="B903" s="128"/>
      <c r="C903" s="132"/>
      <c r="D903" s="133"/>
      <c r="E903" s="132"/>
      <c r="F903" s="129"/>
      <c r="G903" s="132"/>
      <c r="H903" s="132"/>
    </row>
    <row r="904" spans="1:8">
      <c r="A904" s="127"/>
      <c r="B904" s="128"/>
      <c r="C904" s="132"/>
      <c r="D904" s="133"/>
      <c r="E904" s="132"/>
      <c r="F904" s="129"/>
      <c r="G904" s="132"/>
      <c r="H904" s="132"/>
    </row>
  </sheetData>
  <conditionalFormatting sqref="D2:D10 D14:D23">
    <cfRule type="expression" dxfId="35" priority="31">
      <formula>AND($D2&lt;&gt;"",$F2&lt;&gt;"",$D2&lt;$F2)</formula>
    </cfRule>
    <cfRule type="expression" dxfId="34" priority="32">
      <formula>AND($D2&lt;&gt;"",$K2&lt;&gt;"",$D2&lt;=$K2)</formula>
    </cfRule>
    <cfRule type="expression" dxfId="33" priority="33">
      <formula>AND($D2&lt;&gt;"",$K2&lt;&gt;"",$D2&gt;$K2)</formula>
    </cfRule>
  </conditionalFormatting>
  <conditionalFormatting sqref="D12">
    <cfRule type="expression" dxfId="32" priority="15">
      <formula>AND($D12&lt;&gt;"",$F12&lt;&gt;"",$D12&lt;$F12)</formula>
    </cfRule>
    <cfRule type="expression" dxfId="31" priority="16">
      <formula>AND($D12&lt;&gt;"",$K12&lt;&gt;"",$D12&lt;=$K12)</formula>
    </cfRule>
    <cfRule type="expression" dxfId="30" priority="17">
      <formula>AND($D12&lt;&gt;"",$K12&lt;&gt;"",$D12&gt;$K12)</formula>
    </cfRule>
  </conditionalFormatting>
  <conditionalFormatting sqref="G10:G14">
    <cfRule type="expression" dxfId="29" priority="18">
      <formula>AND($D10&lt;&gt;"",$F10&lt;&gt;"",$D10&lt;$F10)</formula>
    </cfRule>
    <cfRule type="expression" dxfId="28" priority="19">
      <formula>AND($D10&lt;&gt;"",$K10&lt;&gt;"",$D10&lt;=$K10)</formula>
    </cfRule>
    <cfRule type="expression" dxfId="27" priority="20">
      <formula>AND($D10&lt;&gt;"",$K10&lt;&gt;"",$D10&gt;$K10)</formula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E272BE8-C28B-455C-A31A-4C752E7BFE33}">
          <x14:formula1>
            <xm:f>' CARGOS Y ESTADOS'!$B$5:$B$42</xm:f>
          </x14:formula1>
          <xm:sqref>B2:B1048576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70E5-AECA-42F8-BD0E-584085CF49DB}">
  <dimension ref="A1:AE947"/>
  <sheetViews>
    <sheetView workbookViewId="0">
      <selection activeCell="G7" sqref="G7"/>
    </sheetView>
  </sheetViews>
  <sheetFormatPr baseColWidth="10" defaultColWidth="11.42578125" defaultRowHeight="12.75"/>
  <cols>
    <col min="1" max="1" width="45.7109375" style="119" customWidth="1"/>
    <col min="2" max="2" width="36.140625" customWidth="1"/>
    <col min="3" max="3" width="16.5703125" style="8" customWidth="1"/>
    <col min="4" max="4" width="21.85546875" style="99" customWidth="1"/>
    <col min="5" max="5" width="18.5703125" style="8" customWidth="1"/>
    <col min="6" max="6" width="23.42578125" style="10" customWidth="1"/>
    <col min="7" max="7" width="18.42578125" style="8" bestFit="1" customWidth="1"/>
    <col min="8" max="8" width="39.140625" style="8" bestFit="1" customWidth="1"/>
    <col min="9" max="9" width="23.140625" customWidth="1"/>
    <col min="10" max="10" width="12.28515625" customWidth="1"/>
    <col min="11" max="11" width="17.42578125" style="10" customWidth="1"/>
    <col min="12" max="12" width="21.7109375" style="76" bestFit="1" customWidth="1"/>
    <col min="13" max="13" width="22.85546875" style="10" bestFit="1" customWidth="1"/>
    <col min="14" max="14" width="12.85546875" bestFit="1" customWidth="1"/>
    <col min="15" max="15" width="25.7109375" style="76" bestFit="1" customWidth="1"/>
    <col min="16" max="16" width="25.28515625" bestFit="1" customWidth="1"/>
    <col min="17" max="17" width="12.7109375" bestFit="1" customWidth="1"/>
    <col min="18" max="18" width="10.140625" bestFit="1" customWidth="1"/>
    <col min="19" max="19" width="12.7109375" bestFit="1" customWidth="1"/>
  </cols>
  <sheetData>
    <row r="1" spans="1:31">
      <c r="A1" s="109" t="s">
        <v>24</v>
      </c>
      <c r="B1" s="110" t="s">
        <v>25</v>
      </c>
      <c r="C1" s="111" t="s">
        <v>26</v>
      </c>
      <c r="D1" s="112" t="s">
        <v>27</v>
      </c>
      <c r="E1" s="109" t="s">
        <v>28</v>
      </c>
      <c r="F1" s="113" t="s">
        <v>29</v>
      </c>
      <c r="G1" s="114" t="s">
        <v>30</v>
      </c>
      <c r="H1" s="109" t="s">
        <v>31</v>
      </c>
      <c r="I1" s="136" t="s">
        <v>32</v>
      </c>
      <c r="J1" s="136" t="s">
        <v>33</v>
      </c>
      <c r="K1" s="137" t="s">
        <v>34</v>
      </c>
      <c r="L1" s="138" t="s">
        <v>35</v>
      </c>
      <c r="M1" s="139" t="s">
        <v>36</v>
      </c>
    </row>
    <row r="2" spans="1:31" ht="15">
      <c r="A2" s="86" t="s">
        <v>976</v>
      </c>
      <c r="B2" s="50" t="s">
        <v>977</v>
      </c>
      <c r="C2" s="85" t="s">
        <v>39</v>
      </c>
      <c r="D2" s="89">
        <v>45995</v>
      </c>
      <c r="E2" s="50" t="s">
        <v>627</v>
      </c>
      <c r="F2" s="83">
        <v>45993</v>
      </c>
      <c r="G2" s="84"/>
      <c r="H2" s="84" t="s">
        <v>978</v>
      </c>
      <c r="I2" s="50"/>
      <c r="J2" s="135"/>
      <c r="K2" s="70" cm="1">
        <f t="array" ref="K2">IF(OR($B2="",$F2=""),"",WORKDAY.INTL(IF(ISNUMBER($F2),$F2,FECHA.VALOR($F2)),IF(UPPER(TRIM($B2))="AUXILIAR DE COCINA",10,15),1,FESTIVOS!$A$3:$A$1000))</f>
        <v>46015</v>
      </c>
      <c r="L2" s="76">
        <f t="shared" ref="L2" si="0">IF($F2="","",DATE(YEAR(EDATE($F2,IF(DAY($F2)&gt;=17,1,0))),MONTH(EDATE($F2,IF(DAY($F2)&gt;=17,1,0))),1))</f>
        <v>45992</v>
      </c>
      <c r="M2" s="89" t="str">
        <f>IF($K2="","",IF(OR($D2="",$D2&lt;$F2),"PENDIENTE",IF($D2&lt;=$K2,"A TIEMPO","FUERA DE TIEMPO")))</f>
        <v>A TIEMPO</v>
      </c>
      <c r="N2" s="13"/>
      <c r="O2" s="78" t="s">
        <v>43</v>
      </c>
      <c r="P2" s="75" t="s">
        <v>36</v>
      </c>
    </row>
    <row r="3" spans="1:31" ht="15">
      <c r="A3" s="86" t="s">
        <v>979</v>
      </c>
      <c r="B3" s="50" t="s">
        <v>977</v>
      </c>
      <c r="C3" s="85" t="s">
        <v>39</v>
      </c>
      <c r="D3" s="67">
        <v>46001</v>
      </c>
      <c r="E3" s="50" t="s">
        <v>627</v>
      </c>
      <c r="F3" s="15">
        <v>46000</v>
      </c>
      <c r="G3" s="84"/>
      <c r="H3" s="84" t="s">
        <v>980</v>
      </c>
      <c r="I3" s="50"/>
      <c r="J3" s="135"/>
      <c r="K3" s="70" cm="1">
        <f t="array" ref="K3">IF(OR($B3="",$F3=""),"",WORKDAY.INTL(IF(ISNUMBER($F3),$F3,FECHA.VALOR($F3)),IF(UPPER(TRIM($B3))="AUXILIAR DE COCINA",10,15),1,FESTIVOS!$A$3:$A$1000))</f>
        <v>46022</v>
      </c>
      <c r="L3" s="88">
        <f t="shared" ref="L3" si="1">IF($F3="","",DATE(YEAR(EDATE($F3,IF(DAY($F3)&gt;=17,1,0))),MONTH(EDATE($F3,IF(DAY($F3)&gt;=17,1,0))),1))</f>
        <v>45992</v>
      </c>
      <c r="M3" s="89" t="str">
        <f t="shared" ref="M3" si="2">IF($K3="","",IF(OR($D3="",$D3&lt;$F3),"PENDIENTE",IF($D3&lt;=$K3,"A TIEMPO","FUERA DE TIEMPO")))</f>
        <v>A TIEMPO</v>
      </c>
      <c r="N3" s="13"/>
      <c r="O3" s="78" t="s">
        <v>35</v>
      </c>
      <c r="P3" t="s">
        <v>49</v>
      </c>
      <c r="R3" t="s">
        <v>47</v>
      </c>
      <c r="S3" t="s">
        <v>51</v>
      </c>
    </row>
    <row r="4" spans="1:31" ht="15">
      <c r="A4" s="47" t="s">
        <v>981</v>
      </c>
      <c r="B4" s="47" t="s">
        <v>977</v>
      </c>
      <c r="C4" s="85" t="s">
        <v>39</v>
      </c>
      <c r="D4" s="332">
        <v>46030</v>
      </c>
      <c r="E4" s="50" t="s">
        <v>627</v>
      </c>
      <c r="F4" s="83">
        <v>46015</v>
      </c>
      <c r="G4" s="47"/>
      <c r="H4" s="231" t="s">
        <v>982</v>
      </c>
      <c r="I4" s="74"/>
      <c r="J4" s="74"/>
      <c r="K4" s="70" cm="1">
        <f t="array" ref="K4">IF(OR($B4="",$F4=""),"",WORKDAY.INTL(IF(ISNUMBER($F4),$F4,FECHA.VALOR($F4)),IF(UPPER(TRIM($B4))="AUXILIAR DE COCINA",10,15),1,FESTIVOS!$A$3:$A$1000))</f>
        <v>46041</v>
      </c>
      <c r="L4" s="90">
        <f t="shared" ref="L4:L9" si="3">IF($F4="","",DATE(YEAR(EDATE($F4,IF(DAY($F4)&gt;=17,1,0))),MONTH(EDATE($F4,IF(DAY($F4)&gt;=17,1,0))),1))</f>
        <v>46023</v>
      </c>
      <c r="M4" s="70" t="str">
        <f t="shared" ref="M4:M9" si="4">IF($K4="","",IF(OR($D4="",$D4&lt;$F4),"PENDIENTE",IF($D4&lt;=$K4,"A TIEMPO","FUERA DE TIEMPO")))</f>
        <v>A TIEMPO</v>
      </c>
      <c r="N4" s="13"/>
      <c r="O4" s="76">
        <v>45992</v>
      </c>
      <c r="R4">
        <v>2</v>
      </c>
      <c r="S4">
        <v>2</v>
      </c>
    </row>
    <row r="5" spans="1:31" ht="15">
      <c r="A5" s="123" t="s">
        <v>983</v>
      </c>
      <c r="B5" s="123" t="s">
        <v>977</v>
      </c>
      <c r="C5" s="85" t="s">
        <v>39</v>
      </c>
      <c r="D5" s="242">
        <v>46030</v>
      </c>
      <c r="E5" s="50" t="s">
        <v>627</v>
      </c>
      <c r="F5" s="142">
        <v>46015</v>
      </c>
      <c r="G5" s="123"/>
      <c r="H5" s="123" t="s">
        <v>984</v>
      </c>
      <c r="I5" s="8"/>
      <c r="J5" s="8"/>
      <c r="K5" s="99" cm="1">
        <f t="array" ref="K5">IF(OR($B5="",$F5=""),"",WORKDAY.INTL(IF(ISNUMBER($F5),$F5,FECHA.VALOR($F5)),IF(UPPER(TRIM($B5))="AUXILIAR DE COCINA",10,15),1,FESTIVOS!$A$3:$A$1000))</f>
        <v>46041</v>
      </c>
      <c r="L5" s="134">
        <f t="shared" si="3"/>
        <v>46023</v>
      </c>
      <c r="M5" s="99" t="str">
        <f t="shared" si="4"/>
        <v>A TIEMPO</v>
      </c>
      <c r="N5" s="13"/>
      <c r="O5" s="76">
        <v>46023</v>
      </c>
      <c r="P5">
        <v>2</v>
      </c>
      <c r="R5">
        <v>4</v>
      </c>
      <c r="S5">
        <v>6</v>
      </c>
    </row>
    <row r="6" spans="1:31" ht="15">
      <c r="A6" s="123" t="s">
        <v>985</v>
      </c>
      <c r="B6" s="123" t="s">
        <v>977</v>
      </c>
      <c r="C6" s="85" t="s">
        <v>39</v>
      </c>
      <c r="D6" s="242">
        <v>46030</v>
      </c>
      <c r="E6" s="50" t="s">
        <v>627</v>
      </c>
      <c r="F6" s="142">
        <v>46028</v>
      </c>
      <c r="G6" s="123"/>
      <c r="H6" s="123" t="s">
        <v>986</v>
      </c>
      <c r="I6" s="8"/>
      <c r="J6" s="8"/>
      <c r="K6" s="99" cm="1">
        <f t="array" ref="K6">IF(OR($B6="",$F6=""),"",WORKDAY.INTL(IF(ISNUMBER($F6),$F6,FECHA.VALOR($F6)),IF(UPPER(TRIM($B6))="AUXILIAR DE COCINA",10,15),1,FESTIVOS!$A$3:$A$1000))</f>
        <v>46050</v>
      </c>
      <c r="L6" s="134">
        <f t="shared" si="3"/>
        <v>46023</v>
      </c>
      <c r="M6" s="99" t="str">
        <f t="shared" si="4"/>
        <v>A TIEMPO</v>
      </c>
      <c r="N6" s="13"/>
      <c r="O6" s="76" t="s">
        <v>987</v>
      </c>
    </row>
    <row r="7" spans="1:31" ht="15">
      <c r="A7" s="123" t="s">
        <v>988</v>
      </c>
      <c r="B7" s="123" t="s">
        <v>977</v>
      </c>
      <c r="C7" s="85" t="s">
        <v>39</v>
      </c>
      <c r="D7" s="242">
        <v>46030</v>
      </c>
      <c r="E7" s="50" t="s">
        <v>627</v>
      </c>
      <c r="F7" s="142">
        <v>46028</v>
      </c>
      <c r="G7" s="123"/>
      <c r="H7" s="123" t="s">
        <v>989</v>
      </c>
      <c r="I7" s="8"/>
      <c r="J7" s="8"/>
      <c r="K7" s="99" cm="1">
        <f t="array" ref="K7">IF(OR($B7="",$F7=""),"",WORKDAY.INTL(IF(ISNUMBER($F7),$F7,FECHA.VALOR($F7)),IF(UPPER(TRIM($B7))="AUXILIAR DE COCINA",10,15),1,FESTIVOS!$A$3:$A$1000))</f>
        <v>46050</v>
      </c>
      <c r="L7" s="134">
        <f t="shared" si="3"/>
        <v>46023</v>
      </c>
      <c r="M7" s="99" t="str">
        <f t="shared" si="4"/>
        <v>A TIEMPO</v>
      </c>
      <c r="N7" s="13"/>
      <c r="O7" s="76" t="s">
        <v>51</v>
      </c>
      <c r="P7">
        <v>2</v>
      </c>
      <c r="R7">
        <v>6</v>
      </c>
      <c r="S7">
        <v>8</v>
      </c>
    </row>
    <row r="8" spans="1:31" ht="15">
      <c r="A8" s="123" t="s">
        <v>990</v>
      </c>
      <c r="B8" s="123" t="s">
        <v>991</v>
      </c>
      <c r="C8" s="123" t="s">
        <v>39</v>
      </c>
      <c r="D8" s="242">
        <v>46065</v>
      </c>
      <c r="E8" s="123" t="s">
        <v>992</v>
      </c>
      <c r="F8" s="142">
        <v>46038</v>
      </c>
      <c r="G8" s="123" t="s">
        <v>993</v>
      </c>
      <c r="H8" s="123" t="s">
        <v>994</v>
      </c>
      <c r="I8" s="8"/>
      <c r="J8" s="8"/>
      <c r="K8" s="99" cm="1">
        <f t="array" ref="K8">IF(OR($B8="",$F8=""),"",WORKDAY.INTL(IF(ISNUMBER($F8),$F8,FECHA.VALOR($F8)),IF(UPPER(TRIM($B8))="AUXILIAR DE COCINA",10,15),1,FESTIVOS!$A$3:$A$1000))</f>
        <v>46059</v>
      </c>
      <c r="L8" s="134">
        <f t="shared" si="3"/>
        <v>46023</v>
      </c>
      <c r="M8" s="99" t="str">
        <f t="shared" si="4"/>
        <v>FUERA DE TIEMPO</v>
      </c>
      <c r="N8" s="13"/>
    </row>
    <row r="9" spans="1:31" ht="15">
      <c r="A9" s="123" t="s">
        <v>995</v>
      </c>
      <c r="B9" s="123" t="s">
        <v>996</v>
      </c>
      <c r="C9" s="123" t="s">
        <v>39</v>
      </c>
      <c r="D9" s="242">
        <v>46071</v>
      </c>
      <c r="E9" s="123" t="s">
        <v>997</v>
      </c>
      <c r="F9" s="142">
        <v>46059</v>
      </c>
      <c r="G9" s="123" t="s">
        <v>993</v>
      </c>
      <c r="H9" s="123" t="s">
        <v>998</v>
      </c>
      <c r="I9" s="8"/>
      <c r="J9" s="8"/>
      <c r="K9" s="99" cm="1">
        <f t="array" ref="K9">IF(OR($B9="",$F9=""),"",WORKDAY.INTL(IF(ISNUMBER($F9),$F9,FECHA.VALOR($F9)),IF(UPPER(TRIM($B9))="AUXILIAR DE COCINA",10,15),1,FESTIVOS!$A$3:$A$1000))</f>
        <v>46080</v>
      </c>
      <c r="L9" s="134">
        <f t="shared" si="3"/>
        <v>46054</v>
      </c>
      <c r="M9" s="99" t="str">
        <f t="shared" si="4"/>
        <v>A TIEMPO</v>
      </c>
      <c r="N9" s="13"/>
    </row>
    <row r="10" spans="1:31" ht="15">
      <c r="A10" s="123" t="s">
        <v>999</v>
      </c>
      <c r="B10" s="123" t="s">
        <v>991</v>
      </c>
      <c r="C10" s="123" t="s">
        <v>39</v>
      </c>
      <c r="D10" s="242">
        <v>46059</v>
      </c>
      <c r="E10" s="123" t="s">
        <v>992</v>
      </c>
      <c r="F10" s="142">
        <v>46054</v>
      </c>
      <c r="G10" s="123" t="s">
        <v>1000</v>
      </c>
      <c r="H10" s="123" t="s">
        <v>975</v>
      </c>
      <c r="I10" s="8"/>
      <c r="J10" s="8"/>
      <c r="K10" s="99" cm="1">
        <f t="array" ref="K10">IF(OR($B10="",$F11=""),"",WORKDAY.INTL(IF(ISNUMBER($F11),$F11,FECHA.VALOR($F11)),IF(UPPER(TRIM($B10))="AUXILIAR DE COCINA",10,15),1,FESTIVOS!$A$3:$A$1000))</f>
        <v>46059</v>
      </c>
      <c r="L10" s="134">
        <f>IF($F11="","",DATE(YEAR(EDATE($F11,IF(DAY($F11)&gt;=17,1,0))),MONTH(EDATE($F11,IF(DAY($F11)&gt;=17,1,0))),1))</f>
        <v>46023</v>
      </c>
      <c r="M10" s="99" t="str">
        <f>IF($K10="","",IF(OR($D10="",$D10&lt;$F11),"PENDIENTE",IF($D10&lt;=$K10,"A TIEMPO","FUERA DE TIEMPO")))</f>
        <v>A TIEMPO</v>
      </c>
      <c r="N10" s="13"/>
    </row>
    <row r="11" spans="1:31" ht="15">
      <c r="A11" s="123" t="s">
        <v>1001</v>
      </c>
      <c r="B11" s="47" t="s">
        <v>1002</v>
      </c>
      <c r="C11" s="47" t="s">
        <v>39</v>
      </c>
      <c r="D11" s="332">
        <v>46060</v>
      </c>
      <c r="E11" s="50" t="s">
        <v>1003</v>
      </c>
      <c r="F11" s="142">
        <v>46038</v>
      </c>
      <c r="G11" s="47" t="s">
        <v>993</v>
      </c>
      <c r="H11" s="250" t="s">
        <v>1004</v>
      </c>
      <c r="I11" s="74"/>
      <c r="J11" s="74"/>
      <c r="K11" s="99" cm="1">
        <f t="array" ref="K11">IF(OR($B11="",$F12=""),"",WORKDAY.INTL(IF(ISNUMBER($F12),$F12,FECHA.VALOR($F12)),IF(UPPER(TRIM($B11))="AUXILIAR DE COCINA",10,15),1,FESTIVOS!$A$3:$A$1000))</f>
        <v>46076</v>
      </c>
      <c r="L11" s="134">
        <f t="shared" ref="L11:L18" si="5">IF($F12="","",DATE(YEAR(EDATE($F12,IF(DAY($F12)&gt;=17,1,0))),MONTH(EDATE($F12,IF(DAY($F12)&gt;=17,1,0))),1))</f>
        <v>46054</v>
      </c>
      <c r="M11" s="99" t="str">
        <f t="shared" ref="M11:M18" si="6">IF($K11="","",IF(OR($D11="",$D11&lt;$F12),"PENDIENTE",IF($D11&lt;=$K11,"A TIEMPO","FUERA DE TIEMPO")))</f>
        <v>A TIEMPO</v>
      </c>
      <c r="N11" s="13"/>
    </row>
    <row r="12" spans="1:31" ht="15">
      <c r="A12" s="123" t="s">
        <v>1005</v>
      </c>
      <c r="B12" s="47" t="s">
        <v>1006</v>
      </c>
      <c r="C12" s="47" t="s">
        <v>39</v>
      </c>
      <c r="D12" s="332">
        <v>46083</v>
      </c>
      <c r="E12" s="50" t="s">
        <v>1007</v>
      </c>
      <c r="F12" s="142">
        <v>46055</v>
      </c>
      <c r="G12" s="47" t="s">
        <v>993</v>
      </c>
      <c r="H12" s="250" t="s">
        <v>1008</v>
      </c>
      <c r="I12" s="74"/>
      <c r="J12" s="74"/>
      <c r="K12" s="99" cm="1">
        <f t="array" ref="K12">IF(OR($B12="",$F13=""),"",WORKDAY.INTL(IF(ISNUMBER($F13),$F13,FECHA.VALOR($F13)),IF(UPPER(TRIM($B12))="AUXILIAR DE COCINA",10,15),1,FESTIVOS!$A$3:$A$1000))</f>
        <v>46059</v>
      </c>
      <c r="L12" s="134">
        <f t="shared" si="5"/>
        <v>46023</v>
      </c>
      <c r="M12" s="99" t="str">
        <f t="shared" si="6"/>
        <v>FUERA DE TIEMPO</v>
      </c>
      <c r="N12" s="13"/>
    </row>
    <row r="13" spans="1:31" ht="15">
      <c r="A13" s="123" t="s">
        <v>1009</v>
      </c>
      <c r="B13" s="47" t="s">
        <v>1010</v>
      </c>
      <c r="C13" s="47" t="s">
        <v>39</v>
      </c>
      <c r="D13" s="333">
        <v>46086</v>
      </c>
      <c r="E13" s="50" t="s">
        <v>1011</v>
      </c>
      <c r="F13" s="142">
        <v>46038</v>
      </c>
      <c r="G13" s="47" t="s">
        <v>993</v>
      </c>
      <c r="H13" s="250" t="s">
        <v>1012</v>
      </c>
      <c r="I13" s="74"/>
      <c r="J13" s="74"/>
      <c r="K13" s="99" cm="1">
        <f t="array" ref="K13">IF(OR($B13="",$F14=""),"",WORKDAY.INTL(IF(ISNUMBER($F14),$F14,FECHA.VALOR($F14)),IF(UPPER(TRIM($B13))="AUXILIAR DE COCINA",10,15),1,FESTIVOS!$A$3:$A$1000))</f>
        <v>46076</v>
      </c>
      <c r="L13" s="134">
        <f t="shared" si="5"/>
        <v>46054</v>
      </c>
      <c r="M13" s="99" t="str">
        <f t="shared" si="6"/>
        <v>FUERA DE TIEMPO</v>
      </c>
      <c r="N13" s="13"/>
    </row>
    <row r="14" spans="1:31">
      <c r="A14" s="123" t="s">
        <v>1013</v>
      </c>
      <c r="B14" s="47" t="s">
        <v>1014</v>
      </c>
      <c r="C14" s="47" t="s">
        <v>39</v>
      </c>
      <c r="D14" s="332">
        <v>46083</v>
      </c>
      <c r="E14" s="50" t="s">
        <v>1007</v>
      </c>
      <c r="F14" s="332">
        <v>46055</v>
      </c>
      <c r="G14" s="47" t="s">
        <v>993</v>
      </c>
      <c r="H14" s="250" t="s">
        <v>975</v>
      </c>
      <c r="I14" s="74"/>
      <c r="J14" s="74"/>
      <c r="K14" s="99" cm="1">
        <f t="array" ref="K14">IF(OR($B14="",$F15=""),"",WORKDAY.INTL(IF(ISNUMBER($F15),$F15,FECHA.VALOR($F15)),IF(UPPER(TRIM($B14))="AUXILIAR DE COCINA",10,15),1,FESTIVOS!$A$3:$A$1000))</f>
        <v>46105</v>
      </c>
      <c r="L14" s="134">
        <f t="shared" si="5"/>
        <v>46082</v>
      </c>
      <c r="M14" s="99" t="str">
        <f t="shared" si="6"/>
        <v>A TIEMPO</v>
      </c>
      <c r="N14" s="13"/>
    </row>
    <row r="15" spans="1:31">
      <c r="A15" s="123" t="s">
        <v>1015</v>
      </c>
      <c r="B15" s="47" t="s">
        <v>977</v>
      </c>
      <c r="C15" s="47" t="s">
        <v>39</v>
      </c>
      <c r="D15" s="332">
        <v>46093</v>
      </c>
      <c r="E15" s="50" t="s">
        <v>627</v>
      </c>
      <c r="F15" s="332">
        <v>46083</v>
      </c>
      <c r="G15" s="47" t="s">
        <v>993</v>
      </c>
      <c r="H15" s="250" t="s">
        <v>1016</v>
      </c>
      <c r="I15" s="74"/>
      <c r="J15" s="74"/>
      <c r="K15" s="99" cm="1">
        <f t="array" ref="K15">IF(OR($B15="",$F16=""),"",WORKDAY.INTL(IF(ISNUMBER($F16),$F16,FECHA.VALOR($F16)),IF(UPPER(TRIM($B15))="AUXILIAR DE COCINA",10,15),1,FESTIVOS!$A$3:$A$1000))</f>
        <v>46091</v>
      </c>
      <c r="L15" s="134">
        <f t="shared" si="5"/>
        <v>46082</v>
      </c>
      <c r="M15" s="99" t="str">
        <f t="shared" si="6"/>
        <v>FUERA DE TIEMPO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1" ht="15">
      <c r="A16" s="123" t="s">
        <v>1017</v>
      </c>
      <c r="B16" s="47" t="s">
        <v>977</v>
      </c>
      <c r="C16" s="47" t="s">
        <v>39</v>
      </c>
      <c r="D16" s="332">
        <v>46085</v>
      </c>
      <c r="E16" s="50" t="s">
        <v>627</v>
      </c>
      <c r="F16" s="332">
        <v>46070</v>
      </c>
      <c r="G16" s="47" t="s">
        <v>993</v>
      </c>
      <c r="H16" s="250" t="s">
        <v>1018</v>
      </c>
      <c r="I16" s="74"/>
      <c r="J16" s="74"/>
      <c r="K16" s="99" cm="1">
        <f t="array" ref="K16">IF(OR($B16="",$F17=""),"",WORKDAY.INTL(IF(ISNUMBER($F17),$F17,FECHA.VALOR($F17)),IF(UPPER(TRIM($B16))="AUXILIAR DE COCINA",10,15),1,FESTIVOS!$A$3:$A$1000))</f>
        <v>46122</v>
      </c>
      <c r="L16" s="134">
        <f t="shared" si="5"/>
        <v>46113</v>
      </c>
      <c r="M16" s="99" t="str">
        <f t="shared" si="6"/>
        <v>PENDIENTE</v>
      </c>
      <c r="P16" s="13"/>
      <c r="Q16" s="13"/>
      <c r="R16" s="47"/>
      <c r="S16" s="47"/>
      <c r="T16" s="47"/>
      <c r="U16" s="141"/>
      <c r="V16" s="47"/>
      <c r="W16" s="83"/>
      <c r="X16" s="47"/>
      <c r="Y16" s="47"/>
      <c r="Z16" s="74"/>
      <c r="AA16" s="74"/>
      <c r="AB16" s="70"/>
      <c r="AC16" s="90"/>
      <c r="AD16" s="70"/>
      <c r="AE16" s="13"/>
    </row>
    <row r="17" spans="1:31">
      <c r="A17" s="123" t="s">
        <v>1019</v>
      </c>
      <c r="B17" s="47" t="s">
        <v>977</v>
      </c>
      <c r="C17" s="47" t="s">
        <v>39</v>
      </c>
      <c r="D17" s="332">
        <v>46108</v>
      </c>
      <c r="E17" s="50" t="s">
        <v>627</v>
      </c>
      <c r="F17" s="332">
        <v>46098</v>
      </c>
      <c r="G17" s="47" t="s">
        <v>1020</v>
      </c>
      <c r="H17" s="250" t="s">
        <v>1021</v>
      </c>
      <c r="I17" s="74"/>
      <c r="J17" s="74"/>
      <c r="K17" s="99" cm="1">
        <f t="array" ref="K17">IF(OR($B17="",$F18=""),"",WORKDAY.INTL(IF(ISNUMBER($F18),$F18,FECHA.VALOR($F18)),IF(UPPER(TRIM($B17))="AUXILIAR DE COCINA",10,15),1,FESTIVOS!$A$3:$A$1000))</f>
        <v>46133</v>
      </c>
      <c r="L17" s="134">
        <f t="shared" si="5"/>
        <v>46113</v>
      </c>
      <c r="M17" s="99" t="str">
        <f t="shared" si="6"/>
        <v>A TIEMPO</v>
      </c>
      <c r="P17" s="13"/>
      <c r="Q17" s="13"/>
      <c r="R17" s="47"/>
      <c r="S17" s="46"/>
      <c r="T17" s="46"/>
      <c r="U17" s="66"/>
      <c r="V17" s="46"/>
      <c r="W17" s="66"/>
      <c r="X17" s="47"/>
      <c r="Y17" s="46"/>
      <c r="Z17" s="13"/>
      <c r="AA17" s="13"/>
      <c r="AB17" s="25"/>
      <c r="AC17" s="77"/>
      <c r="AD17" s="25"/>
      <c r="AE17" s="13"/>
    </row>
    <row r="18" spans="1:31">
      <c r="A18" s="123" t="s">
        <v>1022</v>
      </c>
      <c r="B18" s="47" t="s">
        <v>977</v>
      </c>
      <c r="C18" s="47" t="s">
        <v>39</v>
      </c>
      <c r="D18" s="332">
        <v>46108</v>
      </c>
      <c r="E18" s="50" t="s">
        <v>627</v>
      </c>
      <c r="F18" s="332">
        <v>46108</v>
      </c>
      <c r="G18" s="47" t="s">
        <v>1020</v>
      </c>
      <c r="H18" s="250" t="s">
        <v>1023</v>
      </c>
      <c r="I18" s="74"/>
      <c r="J18" s="74"/>
      <c r="K18" s="99" cm="1">
        <f t="array" ref="K18">IF(OR($B18="",$F19=""),"",WORKDAY.INTL(IF(ISNUMBER($F19),$F19,FECHA.VALOR($F19)),IF(UPPER(TRIM($B18))="AUXILIAR DE COCINA",10,15),1,FESTIVOS!$A$3:$A$1000))</f>
        <v>46136</v>
      </c>
      <c r="L18" s="134">
        <f t="shared" si="5"/>
        <v>46113</v>
      </c>
      <c r="M18" s="99" t="str">
        <f t="shared" si="6"/>
        <v>PENDIENTE</v>
      </c>
      <c r="P18" s="13"/>
      <c r="Q18" s="13"/>
      <c r="R18" s="47"/>
      <c r="S18" s="50"/>
      <c r="T18" s="46"/>
      <c r="U18" s="66"/>
      <c r="V18" s="46"/>
      <c r="W18" s="66"/>
      <c r="X18" s="47"/>
      <c r="Y18" s="46"/>
      <c r="Z18" s="13"/>
      <c r="AA18" s="13"/>
      <c r="AB18" s="25"/>
      <c r="AC18" s="77"/>
      <c r="AD18" s="25"/>
      <c r="AE18" s="13"/>
    </row>
    <row r="19" spans="1:31">
      <c r="A19" s="123" t="s">
        <v>1024</v>
      </c>
      <c r="B19" s="47" t="s">
        <v>1025</v>
      </c>
      <c r="C19" s="47" t="s">
        <v>39</v>
      </c>
      <c r="D19" s="332">
        <v>46119</v>
      </c>
      <c r="E19" s="50" t="s">
        <v>1026</v>
      </c>
      <c r="F19" s="332">
        <v>46113</v>
      </c>
      <c r="G19" s="47" t="s">
        <v>993</v>
      </c>
      <c r="H19" s="250" t="s">
        <v>1027</v>
      </c>
      <c r="I19" s="74"/>
      <c r="J19" s="74"/>
      <c r="K19" s="99" t="e" cm="1">
        <f t="array" aca="1" ref="K19" ca="1">IF(OR($B19="",$F20=""),"",WORKDAY.INTL(IF(ISNUMBER($F20),$F20,FECHA.VALOR($F20)),IF(UPPER(TRIM($B19))="AUXILIAR DE COCINA",10,15),1,FESTIVOS!$A$3:$A$1000))</f>
        <v>#NAME?</v>
      </c>
      <c r="L19" s="90"/>
      <c r="M19" s="70" t="e">
        <f ca="1">IF($K19="","",IF(OR($F19="",$F19&lt;#REF!),"PENDIENTE",IF($F19&lt;=$K19,"A TIEMPO","FUERA DE TIEMPO")))</f>
        <v>#NAME?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1">
      <c r="A20" s="123" t="s">
        <v>1028</v>
      </c>
      <c r="B20" s="47" t="s">
        <v>991</v>
      </c>
      <c r="C20" s="47"/>
      <c r="D20" s="332"/>
      <c r="E20" s="50"/>
      <c r="F20" s="332" t="s">
        <v>1029</v>
      </c>
      <c r="G20" s="47" t="s">
        <v>1020</v>
      </c>
      <c r="H20" s="250" t="s">
        <v>1024</v>
      </c>
      <c r="I20" s="74"/>
      <c r="J20" s="74"/>
      <c r="K20" s="99" cm="1">
        <f t="array" ref="K20">IF(OR($B20="",$F21=""),"",WORKDAY.INTL(IF(ISNUMBER($F21),$F21,FECHA.VALOR($F21)),IF(UPPER(TRIM($B20))="AUXILIAR DE COCINA",10,15),1,FESTIVOS!$A$3:$A$1000))</f>
        <v>46146</v>
      </c>
      <c r="L20" s="90"/>
      <c r="M20" s="70" t="e">
        <f>IF($K20="","",IF(OR($F20="",$F20&lt;#REF!),"PENDIENTE",IF($F20&lt;=$K20,"A TIEMPO","FUERA DE TIEMPO")))</f>
        <v>#REF!</v>
      </c>
      <c r="N20" s="13"/>
      <c r="O20" s="77"/>
      <c r="P20" s="13"/>
    </row>
    <row r="21" spans="1:31" ht="15">
      <c r="A21" s="123" t="s">
        <v>1030</v>
      </c>
      <c r="B21" s="47" t="s">
        <v>977</v>
      </c>
      <c r="C21" s="47" t="s">
        <v>39</v>
      </c>
      <c r="D21" s="332">
        <v>46128</v>
      </c>
      <c r="E21" s="50" t="s">
        <v>627</v>
      </c>
      <c r="F21" s="142">
        <v>46122</v>
      </c>
      <c r="G21" s="47" t="s">
        <v>1020</v>
      </c>
      <c r="H21" s="250" t="s">
        <v>1031</v>
      </c>
      <c r="I21" s="74"/>
      <c r="J21" s="74"/>
      <c r="K21" s="70"/>
      <c r="L21" s="90"/>
      <c r="M21" s="70" t="str">
        <f>IF($K21="","",IF(OR($F14="",$F14&lt;#REF!),"PENDIENTE",IF($F14&lt;=$K21,"A TIEMPO","FUERA DE TIEMPO")))</f>
        <v/>
      </c>
      <c r="N21" s="70"/>
      <c r="O21" s="77"/>
      <c r="P21" s="13"/>
      <c r="Q21" s="13"/>
    </row>
    <row r="22" spans="1:31" ht="15">
      <c r="A22" s="123" t="s">
        <v>1032</v>
      </c>
      <c r="B22" s="47" t="s">
        <v>977</v>
      </c>
      <c r="C22" s="47" t="s">
        <v>39</v>
      </c>
      <c r="D22" s="332">
        <v>46172</v>
      </c>
      <c r="E22" s="50"/>
      <c r="F22" s="142">
        <v>46126</v>
      </c>
      <c r="G22" s="47" t="s">
        <v>1020</v>
      </c>
      <c r="H22" s="250" t="s">
        <v>1033</v>
      </c>
      <c r="I22" s="74"/>
      <c r="J22" s="74"/>
      <c r="K22" s="70"/>
      <c r="L22" s="90"/>
      <c r="M22" s="70" t="str">
        <f>IF($K22="","",IF(OR($F15="",$F15&lt;#REF!),"PENDIENTE",IF($F15&lt;=$K22,"A TIEMPO","FUERA DE TIEMPO")))</f>
        <v/>
      </c>
      <c r="N22" s="70"/>
      <c r="O22" s="77"/>
      <c r="P22" s="13"/>
      <c r="Q22" s="13"/>
    </row>
    <row r="23" spans="1:31">
      <c r="A23" s="123" t="s">
        <v>1034</v>
      </c>
      <c r="B23" s="47" t="s">
        <v>1010</v>
      </c>
      <c r="C23" s="47" t="s">
        <v>39</v>
      </c>
      <c r="D23" s="332">
        <v>46149</v>
      </c>
      <c r="E23" s="50" t="s">
        <v>627</v>
      </c>
      <c r="F23" s="332">
        <v>46129</v>
      </c>
      <c r="G23" s="47" t="s">
        <v>993</v>
      </c>
      <c r="H23" s="250" t="s">
        <v>1009</v>
      </c>
      <c r="I23" s="74"/>
      <c r="J23" s="74"/>
      <c r="K23" s="70"/>
      <c r="L23" s="90"/>
      <c r="M23" s="70" t="str">
        <f>IF($K23="","",IF(OR($F23="",$F23&lt;#REF!),"PENDIENTE",IF($F23&lt;=$K23,"A TIEMPO","FUERA DE TIEMPO")))</f>
        <v/>
      </c>
      <c r="N23" s="25"/>
      <c r="O23" s="77"/>
      <c r="P23" s="13"/>
      <c r="Q23" s="13"/>
    </row>
    <row r="24" spans="1:31">
      <c r="A24" s="123" t="s">
        <v>1035</v>
      </c>
      <c r="B24" s="47" t="s">
        <v>1036</v>
      </c>
      <c r="C24" s="47" t="s">
        <v>39</v>
      </c>
      <c r="D24" s="332">
        <v>46177</v>
      </c>
      <c r="E24" s="50" t="s">
        <v>1011</v>
      </c>
      <c r="F24" s="332">
        <v>46154</v>
      </c>
      <c r="G24" s="47" t="s">
        <v>1020</v>
      </c>
      <c r="H24" s="123" t="s">
        <v>1037</v>
      </c>
      <c r="I24" s="74"/>
      <c r="J24" s="74"/>
      <c r="K24" s="70"/>
      <c r="L24" s="90"/>
      <c r="M24" s="70" t="str">
        <f>IF($K24="","",IF(OR($F24="",$F24&lt;#REF!),"PENDIENTE",IF($F24&lt;=$K24,"A TIEMPO","FUERA DE TIEMPO")))</f>
        <v/>
      </c>
      <c r="N24" s="25"/>
      <c r="O24" s="77"/>
      <c r="P24" s="13"/>
      <c r="Q24" s="13"/>
    </row>
    <row r="25" spans="1:31">
      <c r="A25" s="123" t="s">
        <v>1038</v>
      </c>
      <c r="B25" s="47" t="s">
        <v>977</v>
      </c>
      <c r="C25" s="47" t="s">
        <v>39</v>
      </c>
      <c r="D25" s="332"/>
      <c r="E25" s="50" t="s">
        <v>627</v>
      </c>
      <c r="F25" s="332"/>
      <c r="G25" s="47" t="s">
        <v>1020</v>
      </c>
      <c r="H25" s="250"/>
      <c r="I25" s="74"/>
      <c r="J25" s="74"/>
      <c r="K25" s="70"/>
      <c r="L25" s="90"/>
      <c r="M25" s="70" t="str">
        <f>IF($K25="","",IF(OR($F25="",$F25&lt;#REF!),"PENDIENTE",IF($F25&lt;=$K25,"A TIEMPO","FUERA DE TIEMPO")))</f>
        <v/>
      </c>
      <c r="N25" s="13"/>
      <c r="O25" s="77"/>
      <c r="P25" s="13"/>
      <c r="Q25" s="13"/>
    </row>
    <row r="26" spans="1:31">
      <c r="A26" s="123" t="s">
        <v>1039</v>
      </c>
      <c r="B26" s="47" t="s">
        <v>977</v>
      </c>
      <c r="C26" s="47" t="s">
        <v>39</v>
      </c>
      <c r="D26" s="332">
        <v>46153</v>
      </c>
      <c r="E26" s="50" t="s">
        <v>627</v>
      </c>
      <c r="F26" s="332"/>
      <c r="G26" s="47" t="s">
        <v>1020</v>
      </c>
      <c r="H26" s="250"/>
      <c r="I26" s="74"/>
      <c r="J26" s="74"/>
      <c r="K26" s="70"/>
      <c r="L26" s="90"/>
      <c r="M26" s="70" t="str">
        <f>IF($K26="","",IF(OR($F26="",$F26&lt;#REF!),"PENDIENTE",IF($F26&lt;=$K26,"A TIEMPO","FUERA DE TIEMPO")))</f>
        <v/>
      </c>
      <c r="N26" s="13"/>
      <c r="O26" s="77"/>
      <c r="P26" s="13"/>
    </row>
    <row r="27" spans="1:31">
      <c r="A27" s="123" t="s">
        <v>1040</v>
      </c>
      <c r="B27" s="47" t="s">
        <v>991</v>
      </c>
      <c r="C27" s="47" t="s">
        <v>39</v>
      </c>
      <c r="D27" s="332">
        <v>46161</v>
      </c>
      <c r="E27" s="50"/>
      <c r="F27" s="332"/>
      <c r="G27" s="47" t="s">
        <v>1020</v>
      </c>
      <c r="H27" s="250"/>
      <c r="I27" s="74"/>
      <c r="J27" s="74"/>
      <c r="K27" s="70"/>
      <c r="L27" s="90"/>
      <c r="M27" s="70" t="str">
        <f>IF($K27="","",IF(OR($F27="",$F27&lt;#REF!),"PENDIENTE",IF($F27&lt;=$K27,"A TIEMPO","FUERA DE TIEMPO")))</f>
        <v/>
      </c>
    </row>
    <row r="28" spans="1:31">
      <c r="A28" s="123" t="s">
        <v>1041</v>
      </c>
      <c r="B28" s="47" t="s">
        <v>610</v>
      </c>
      <c r="C28" s="47" t="s">
        <v>39</v>
      </c>
      <c r="D28" s="332">
        <v>46224</v>
      </c>
      <c r="E28" s="50" t="s">
        <v>1042</v>
      </c>
      <c r="F28" s="332"/>
      <c r="G28" s="47" t="s">
        <v>1020</v>
      </c>
      <c r="H28" s="250"/>
      <c r="I28" s="74"/>
      <c r="J28" s="74"/>
      <c r="K28" s="70"/>
      <c r="L28" s="90"/>
      <c r="M28" s="70" t="str">
        <f>IF($K28="","",IF(OR($F28="",$F28&lt;#REF!),"PENDIENTE",IF($F28&lt;=$K28,"A TIEMPO","FUERA DE TIEMPO")))</f>
        <v/>
      </c>
    </row>
    <row r="29" spans="1:31">
      <c r="A29" s="123"/>
      <c r="B29" s="47" t="s">
        <v>1043</v>
      </c>
      <c r="C29" s="47"/>
      <c r="D29" s="332">
        <v>46184</v>
      </c>
      <c r="E29" s="50" t="s">
        <v>1042</v>
      </c>
      <c r="F29" s="332"/>
      <c r="G29" s="47" t="s">
        <v>1020</v>
      </c>
      <c r="H29" s="250"/>
      <c r="I29" s="74"/>
      <c r="J29" s="74"/>
      <c r="K29" s="70"/>
      <c r="L29" s="90"/>
      <c r="M29" s="70" t="str">
        <f>IF($K29="","",IF(OR($F29="",$F29&lt;#REF!),"PENDIENTE",IF($F29&lt;=$K29,"A TIEMPO","FUERA DE TIEMPO")))</f>
        <v/>
      </c>
    </row>
    <row r="30" spans="1:31">
      <c r="A30" s="123" t="s">
        <v>1044</v>
      </c>
      <c r="B30" s="47" t="s">
        <v>1045</v>
      </c>
      <c r="C30" s="47" t="s">
        <v>39</v>
      </c>
      <c r="D30" s="332"/>
      <c r="E30" s="50"/>
      <c r="F30" s="332"/>
      <c r="G30" s="47"/>
      <c r="H30" s="250"/>
      <c r="I30" s="74"/>
      <c r="J30" s="74"/>
      <c r="K30" s="70"/>
      <c r="L30" s="90"/>
      <c r="M30" s="70" t="str">
        <f>IF($K30="","",IF(OR($F30="",$F30&lt;#REF!),"PENDIENTE",IF($F30&lt;=$K30,"A TIEMPO","FUERA DE TIEMPO")))</f>
        <v/>
      </c>
    </row>
    <row r="31" spans="1:31">
      <c r="A31" s="123"/>
      <c r="B31" s="47" t="s">
        <v>1002</v>
      </c>
      <c r="C31" s="47" t="s">
        <v>617</v>
      </c>
      <c r="D31" s="332">
        <v>46190</v>
      </c>
      <c r="E31" s="50"/>
      <c r="F31" s="332"/>
      <c r="G31" s="47"/>
      <c r="H31" s="250"/>
      <c r="I31" s="74"/>
      <c r="J31" s="74"/>
      <c r="K31" s="70"/>
      <c r="L31" s="90"/>
      <c r="M31" s="70" t="str">
        <f>IF($K31="","",IF(OR($F31="",$F31&lt;#REF!),"PENDIENTE",IF($F31&lt;=$K31,"A TIEMPO","FUERA DE TIEMPO")))</f>
        <v/>
      </c>
    </row>
    <row r="32" spans="1:31">
      <c r="A32" s="123" t="s">
        <v>1046</v>
      </c>
      <c r="B32" s="47" t="s">
        <v>1047</v>
      </c>
      <c r="C32" s="47" t="s">
        <v>39</v>
      </c>
      <c r="D32" s="332">
        <v>46182</v>
      </c>
      <c r="E32" s="50"/>
      <c r="F32" s="332"/>
      <c r="G32" s="47"/>
      <c r="H32" s="250"/>
      <c r="I32" s="74"/>
      <c r="J32" s="74"/>
      <c r="K32" s="70"/>
      <c r="L32" s="90"/>
      <c r="M32" s="70" t="str">
        <f>IF($K32="","",IF(OR($F32="",$F32&lt;#REF!),"PENDIENTE",IF($F32&lt;=$K32,"A TIEMPO","FUERA DE TIEMPO")))</f>
        <v/>
      </c>
    </row>
    <row r="33" spans="1:13">
      <c r="A33" s="123" t="s">
        <v>1048</v>
      </c>
      <c r="B33" s="47" t="s">
        <v>610</v>
      </c>
      <c r="C33" s="47" t="s">
        <v>39</v>
      </c>
      <c r="D33" s="332">
        <v>46183</v>
      </c>
      <c r="E33" s="50"/>
      <c r="F33" s="332"/>
      <c r="G33" s="47"/>
      <c r="H33" s="250"/>
      <c r="I33" s="74"/>
      <c r="J33" s="74"/>
      <c r="K33" s="70"/>
      <c r="L33" s="90"/>
      <c r="M33" s="70" t="str">
        <f>IF($K33="","",IF(OR($F33="",$F33&lt;#REF!),"PENDIENTE",IF($F33&lt;=$K33,"A TIEMPO","FUERA DE TIEMPO")))</f>
        <v/>
      </c>
    </row>
    <row r="34" spans="1:13">
      <c r="A34" s="123" t="s">
        <v>1049</v>
      </c>
      <c r="B34" s="47" t="s">
        <v>1050</v>
      </c>
      <c r="C34" s="47" t="s">
        <v>39</v>
      </c>
      <c r="D34" s="332">
        <v>46184</v>
      </c>
      <c r="E34" s="50"/>
      <c r="F34" s="332"/>
      <c r="G34" s="47"/>
      <c r="H34" s="250"/>
      <c r="I34" s="74"/>
      <c r="J34" s="74"/>
      <c r="K34" s="70"/>
      <c r="L34" s="90"/>
      <c r="M34" s="70" t="str">
        <f>IF($K34="","",IF(OR($F34="",$F34&lt;#REF!),"PENDIENTE",IF($F34&lt;=$K34,"A TIEMPO","FUERA DE TIEMPO")))</f>
        <v/>
      </c>
    </row>
    <row r="35" spans="1:13">
      <c r="A35" s="123"/>
      <c r="B35" s="47" t="s">
        <v>1050</v>
      </c>
      <c r="C35" s="47"/>
      <c r="D35" s="332"/>
      <c r="E35" s="50"/>
      <c r="F35" s="332"/>
      <c r="G35" s="47"/>
      <c r="H35" s="250"/>
      <c r="I35" s="74"/>
      <c r="J35" s="74"/>
      <c r="K35" s="70"/>
      <c r="L35" s="90"/>
      <c r="M35" s="70" t="str">
        <f>IF($K35="","",IF(OR($F35="",$F35&lt;#REF!),"PENDIENTE",IF($F35&lt;=$K35,"A TIEMPO","FUERA DE TIEMPO")))</f>
        <v/>
      </c>
    </row>
    <row r="36" spans="1:13">
      <c r="A36" s="123"/>
      <c r="B36" s="47" t="s">
        <v>1050</v>
      </c>
      <c r="C36" s="47"/>
      <c r="D36" s="332"/>
      <c r="E36" s="50"/>
      <c r="F36" s="332"/>
      <c r="G36" s="47"/>
      <c r="H36" s="250"/>
      <c r="I36" s="74"/>
      <c r="J36" s="74"/>
      <c r="K36" s="70"/>
      <c r="L36" s="90"/>
      <c r="M36" s="70" t="str">
        <f>IF($K36="","",IF(OR($F36="",$F36&lt;#REF!),"PENDIENTE",IF($F36&lt;=$K36,"A TIEMPO","FUERA DE TIEMPO")))</f>
        <v/>
      </c>
    </row>
    <row r="37" spans="1:13">
      <c r="A37" s="123"/>
      <c r="B37" s="47" t="s">
        <v>991</v>
      </c>
      <c r="C37" s="47"/>
      <c r="D37" s="332"/>
      <c r="E37" s="50"/>
      <c r="F37" s="332"/>
      <c r="G37" s="47"/>
      <c r="H37" s="250"/>
      <c r="I37" s="74"/>
      <c r="J37" s="74"/>
      <c r="K37" s="70"/>
      <c r="L37" s="90"/>
      <c r="M37" s="70" t="str">
        <f>IF($K37="","",IF(OR($F37="",$F37&lt;#REF!),"PENDIENTE",IF($F37&lt;=$K37,"A TIEMPO","FUERA DE TIEMPO")))</f>
        <v/>
      </c>
    </row>
    <row r="38" spans="1:13">
      <c r="A38" s="123" t="s">
        <v>1051</v>
      </c>
      <c r="B38" s="47" t="s">
        <v>996</v>
      </c>
      <c r="C38" s="47"/>
      <c r="D38" s="332"/>
      <c r="E38" s="50" t="s">
        <v>1052</v>
      </c>
      <c r="F38" s="332">
        <v>46220</v>
      </c>
      <c r="G38" s="47" t="s">
        <v>993</v>
      </c>
      <c r="H38" s="250"/>
      <c r="I38" s="74"/>
      <c r="J38" s="74"/>
      <c r="K38" s="70"/>
      <c r="L38" s="90"/>
      <c r="M38" s="70" t="str">
        <f>IF($K38="","",IF(OR($F38="",$F38&lt;#REF!),"PENDIENTE",IF($F38&lt;=$K38,"A TIEMPO","FUERA DE TIEMPO")))</f>
        <v/>
      </c>
    </row>
    <row r="39" spans="1:13">
      <c r="A39" s="123"/>
      <c r="B39" s="47" t="s">
        <v>991</v>
      </c>
      <c r="C39" s="47"/>
      <c r="D39" s="332"/>
      <c r="E39" s="50" t="s">
        <v>627</v>
      </c>
      <c r="F39" s="332">
        <v>46217</v>
      </c>
      <c r="G39" s="47" t="s">
        <v>1020</v>
      </c>
      <c r="H39" s="250"/>
      <c r="I39" s="74"/>
      <c r="J39" s="74"/>
      <c r="K39" s="70"/>
      <c r="L39" s="90"/>
      <c r="M39" s="70" t="str">
        <f>IF($K39="","",IF(OR($F39="",$F39&lt;#REF!),"PENDIENTE",IF($F39&lt;=$K39,"A TIEMPO","FUERA DE TIEMPO")))</f>
        <v/>
      </c>
    </row>
    <row r="40" spans="1:13">
      <c r="A40" s="123"/>
      <c r="B40" s="47" t="s">
        <v>1053</v>
      </c>
      <c r="C40" s="47"/>
      <c r="D40" s="332"/>
      <c r="E40" s="50" t="s">
        <v>627</v>
      </c>
      <c r="F40" s="332">
        <v>46217</v>
      </c>
      <c r="G40" s="47" t="s">
        <v>1020</v>
      </c>
      <c r="H40" s="250"/>
      <c r="I40" s="74"/>
      <c r="J40" s="74"/>
      <c r="K40" s="70"/>
      <c r="L40" s="90"/>
      <c r="M40" s="70" t="str">
        <f>IF($K40="","",IF(OR($F40="",$F40&lt;#REF!),"PENDIENTE",IF($F40&lt;=$K40,"A TIEMPO","FUERA DE TIEMPO")))</f>
        <v/>
      </c>
    </row>
    <row r="41" spans="1:13">
      <c r="A41" s="123"/>
      <c r="B41" s="47"/>
      <c r="C41" s="47"/>
      <c r="D41" s="332"/>
      <c r="E41" s="50"/>
      <c r="F41" s="332"/>
      <c r="G41" s="47"/>
      <c r="H41" s="250"/>
      <c r="I41" s="74"/>
      <c r="J41" s="74"/>
      <c r="K41" s="70"/>
      <c r="L41" s="90"/>
      <c r="M41" s="70" t="str">
        <f>IF($K41="","",IF(OR($F41="",$F41&lt;#REF!),"PENDIENTE",IF($F41&lt;=$K41,"A TIEMPO","FUERA DE TIEMPO")))</f>
        <v/>
      </c>
    </row>
    <row r="42" spans="1:13">
      <c r="A42" s="123"/>
      <c r="B42" s="47"/>
      <c r="C42" s="47"/>
      <c r="D42" s="332"/>
      <c r="E42" s="50"/>
      <c r="F42" s="332"/>
      <c r="G42" s="47"/>
      <c r="H42" s="250"/>
      <c r="I42" s="74"/>
      <c r="J42" s="74"/>
      <c r="K42" s="70"/>
      <c r="L42" s="90"/>
      <c r="M42" s="70" t="str">
        <f>IF($K42="","",IF(OR($F42="",$F42&lt;#REF!),"PENDIENTE",IF($F42&lt;=$K42,"A TIEMPO","FUERA DE TIEMPO")))</f>
        <v/>
      </c>
    </row>
    <row r="43" spans="1:13">
      <c r="A43" s="123"/>
      <c r="B43" s="47"/>
      <c r="C43" s="47"/>
      <c r="D43" s="332"/>
      <c r="E43" s="50"/>
      <c r="F43" s="332"/>
      <c r="G43" s="47"/>
      <c r="H43" s="250"/>
      <c r="I43" s="74"/>
      <c r="J43" s="74"/>
      <c r="K43" s="70"/>
      <c r="L43" s="90"/>
      <c r="M43" s="70" t="str">
        <f>IF($K43="","",IF(OR($F43="",$F43&lt;#REF!),"PENDIENTE",IF($F43&lt;=$K43,"A TIEMPO","FUERA DE TIEMPO")))</f>
        <v/>
      </c>
    </row>
    <row r="44" spans="1:13">
      <c r="A44" s="123"/>
      <c r="B44" s="47"/>
      <c r="C44" s="47"/>
      <c r="D44" s="332"/>
      <c r="E44" s="50"/>
      <c r="F44" s="332"/>
      <c r="G44" s="47"/>
      <c r="H44" s="250"/>
      <c r="I44" s="74"/>
      <c r="J44" s="74"/>
      <c r="K44" s="70"/>
      <c r="L44" s="90"/>
      <c r="M44" s="70" t="str">
        <f>IF($K44="","",IF(OR($F44="",$F44&lt;#REF!),"PENDIENTE",IF($F44&lt;=$K44,"A TIEMPO","FUERA DE TIEMPO")))</f>
        <v/>
      </c>
    </row>
    <row r="45" spans="1:13">
      <c r="A45" s="123"/>
      <c r="B45" s="47"/>
      <c r="C45" s="47"/>
      <c r="D45" s="332"/>
      <c r="E45" s="50"/>
      <c r="F45" s="332"/>
      <c r="G45" s="47"/>
      <c r="H45" s="250"/>
      <c r="I45" s="74"/>
      <c r="J45" s="74"/>
      <c r="K45" s="70"/>
      <c r="L45" s="90"/>
      <c r="M45" s="70" t="str">
        <f>IF($K45="","",IF(OR($F45="",$F45&lt;#REF!),"PENDIENTE",IF($F45&lt;=$K45,"A TIEMPO","FUERA DE TIEMPO")))</f>
        <v/>
      </c>
    </row>
    <row r="46" spans="1:13">
      <c r="A46" s="123"/>
      <c r="B46" s="47"/>
      <c r="C46" s="47"/>
      <c r="D46" s="332"/>
      <c r="E46" s="50"/>
      <c r="F46" s="332"/>
      <c r="G46" s="47"/>
      <c r="H46" s="250"/>
      <c r="I46" s="74"/>
      <c r="J46" s="74"/>
      <c r="K46" s="70"/>
      <c r="L46" s="90"/>
      <c r="M46" s="70" t="str">
        <f>IF($K46="","",IF(OR($F46="",$F46&lt;#REF!),"PENDIENTE",IF($F46&lt;=$K46,"A TIEMPO","FUERA DE TIEMPO")))</f>
        <v/>
      </c>
    </row>
    <row r="47" spans="1:13">
      <c r="A47" s="123"/>
      <c r="B47" s="47"/>
      <c r="C47" s="47"/>
      <c r="D47" s="332"/>
      <c r="E47" s="50"/>
      <c r="F47" s="332"/>
      <c r="G47" s="47"/>
      <c r="H47" s="250"/>
      <c r="I47" s="74"/>
      <c r="J47" s="74"/>
      <c r="K47" s="70"/>
      <c r="L47" s="90"/>
      <c r="M47" s="70" t="str">
        <f>IF($K47="","",IF(OR($F47="",$F47&lt;#REF!),"PENDIENTE",IF($F47&lt;=$K47,"A TIEMPO","FUERA DE TIEMPO")))</f>
        <v/>
      </c>
    </row>
    <row r="48" spans="1:13">
      <c r="A48" s="123"/>
      <c r="B48" s="47"/>
      <c r="C48" s="47"/>
      <c r="D48" s="332"/>
      <c r="E48" s="50"/>
      <c r="F48" s="332"/>
      <c r="G48" s="47"/>
      <c r="H48" s="250"/>
      <c r="I48" s="74"/>
      <c r="J48" s="74"/>
      <c r="K48" s="70"/>
      <c r="L48" s="90"/>
      <c r="M48" s="70" t="str">
        <f>IF($K48="","",IF(OR($F48="",$F48&lt;#REF!),"PENDIENTE",IF($F48&lt;=$K48,"A TIEMPO","FUERA DE TIEMPO")))</f>
        <v/>
      </c>
    </row>
    <row r="49" spans="1:13">
      <c r="A49" s="123"/>
      <c r="B49" s="47"/>
      <c r="C49" s="47"/>
      <c r="D49" s="332"/>
      <c r="E49" s="50"/>
      <c r="F49" s="332"/>
      <c r="G49" s="47"/>
      <c r="H49" s="250"/>
      <c r="I49" s="74"/>
      <c r="J49" s="74"/>
      <c r="K49" s="70"/>
      <c r="L49" s="90"/>
      <c r="M49" s="70" t="str">
        <f>IF($K49="","",IF(OR($F49="",$F49&lt;#REF!),"PENDIENTE",IF($F49&lt;=$K49,"A TIEMPO","FUERA DE TIEMPO")))</f>
        <v/>
      </c>
    </row>
    <row r="50" spans="1:13">
      <c r="A50" s="123"/>
      <c r="B50" s="47"/>
      <c r="C50" s="47"/>
      <c r="D50" s="332"/>
      <c r="E50" s="50"/>
      <c r="F50" s="332"/>
      <c r="G50" s="47"/>
      <c r="H50" s="250"/>
      <c r="I50" s="74"/>
      <c r="J50" s="74"/>
      <c r="K50" s="70"/>
      <c r="L50" s="90"/>
      <c r="M50" s="70" t="str">
        <f>IF($K50="","",IF(OR($F50="",$F50&lt;#REF!),"PENDIENTE",IF($F50&lt;=$K50,"A TIEMPO","FUERA DE TIEMPO")))</f>
        <v/>
      </c>
    </row>
    <row r="51" spans="1:13">
      <c r="A51" s="123"/>
      <c r="B51" s="47"/>
      <c r="C51" s="47"/>
      <c r="D51" s="332"/>
      <c r="E51" s="50"/>
      <c r="F51" s="332"/>
      <c r="G51" s="47"/>
      <c r="H51" s="250"/>
      <c r="I51" s="74"/>
      <c r="J51" s="74"/>
      <c r="K51" s="70"/>
      <c r="L51" s="90"/>
      <c r="M51" s="70" t="str">
        <f>IF($K51="","",IF(OR($F51="",$F51&lt;#REF!),"PENDIENTE",IF($F51&lt;=$K51,"A TIEMPO","FUERA DE TIEMPO")))</f>
        <v/>
      </c>
    </row>
    <row r="52" spans="1:13">
      <c r="A52" s="123"/>
      <c r="B52" s="47"/>
      <c r="C52" s="47"/>
      <c r="D52" s="332"/>
      <c r="E52" s="50"/>
      <c r="F52" s="332"/>
      <c r="G52" s="47"/>
      <c r="H52" s="250"/>
      <c r="I52" s="74"/>
      <c r="J52" s="74"/>
      <c r="K52" s="70"/>
      <c r="L52" s="90"/>
      <c r="M52" s="70" t="str">
        <f>IF($K52="","",IF(OR($F52="",$F52&lt;#REF!),"PENDIENTE",IF($F52&lt;=$K52,"A TIEMPO","FUERA DE TIEMPO")))</f>
        <v/>
      </c>
    </row>
    <row r="53" spans="1:13">
      <c r="A53" s="68"/>
      <c r="B53" s="46"/>
      <c r="C53" s="46"/>
      <c r="D53" s="66"/>
      <c r="E53" s="46"/>
      <c r="F53" s="69"/>
      <c r="G53" s="47"/>
      <c r="H53" s="46"/>
      <c r="I53" s="13"/>
      <c r="J53" s="13"/>
      <c r="K53" s="25"/>
      <c r="L53" s="77"/>
      <c r="M53" s="25"/>
    </row>
    <row r="54" spans="1:13">
      <c r="A54" s="120"/>
      <c r="B54" s="2"/>
      <c r="C54" s="2"/>
      <c r="D54" s="121"/>
      <c r="E54" s="2"/>
      <c r="F54" s="122"/>
      <c r="G54" s="123"/>
      <c r="H54" s="2"/>
    </row>
    <row r="55" spans="1:13">
      <c r="A55" s="120"/>
      <c r="B55" s="2"/>
      <c r="C55" s="2"/>
      <c r="D55" s="121"/>
      <c r="E55" s="2"/>
      <c r="F55" s="122"/>
      <c r="G55" s="123"/>
      <c r="H55" s="2"/>
    </row>
    <row r="56" spans="1:13">
      <c r="A56" s="120"/>
      <c r="B56" s="2"/>
      <c r="C56" s="2"/>
      <c r="D56" s="121"/>
      <c r="E56" s="2"/>
      <c r="F56" s="122"/>
      <c r="G56" s="123"/>
      <c r="H56" s="2"/>
    </row>
    <row r="57" spans="1:13">
      <c r="A57" s="120"/>
      <c r="B57" s="2"/>
      <c r="C57" s="2"/>
      <c r="D57" s="121"/>
      <c r="E57" s="2"/>
      <c r="F57" s="122"/>
      <c r="G57" s="123"/>
      <c r="H57" s="2"/>
    </row>
    <row r="58" spans="1:13">
      <c r="A58" s="120"/>
      <c r="B58" s="2"/>
      <c r="C58" s="46"/>
      <c r="D58" s="66"/>
      <c r="E58" s="46"/>
      <c r="F58" s="69"/>
      <c r="G58" s="47"/>
      <c r="H58" s="46"/>
      <c r="I58" s="13"/>
      <c r="J58" s="13"/>
      <c r="K58" s="25"/>
      <c r="L58" s="77"/>
      <c r="M58" s="25"/>
    </row>
    <row r="59" spans="1:13">
      <c r="A59" s="120"/>
      <c r="B59" s="47"/>
      <c r="C59" s="47"/>
      <c r="D59" s="332"/>
      <c r="E59" s="141"/>
      <c r="F59" s="67"/>
      <c r="G59" s="141"/>
      <c r="H59" s="47"/>
      <c r="I59" s="250"/>
      <c r="J59" s="74"/>
      <c r="K59" s="74"/>
      <c r="L59" s="70"/>
      <c r="M59" s="90"/>
    </row>
    <row r="60" spans="1:13" ht="15">
      <c r="A60" s="120"/>
      <c r="B60" s="47"/>
      <c r="C60" s="47"/>
      <c r="D60" s="332"/>
      <c r="E60" s="141"/>
      <c r="F60" s="332"/>
      <c r="G60" s="83"/>
      <c r="H60" s="47"/>
      <c r="I60" s="47"/>
      <c r="J60" s="74"/>
      <c r="K60" s="74"/>
      <c r="L60" s="70"/>
      <c r="M60" s="90"/>
    </row>
    <row r="61" spans="1:13">
      <c r="A61" s="120"/>
      <c r="B61" s="47"/>
      <c r="C61" s="46"/>
      <c r="D61" s="66"/>
      <c r="E61" s="66"/>
      <c r="F61" s="66"/>
      <c r="G61" s="66"/>
      <c r="H61" s="47"/>
      <c r="I61" s="46"/>
      <c r="J61" s="13"/>
      <c r="K61" s="13"/>
      <c r="L61" s="25"/>
      <c r="M61" s="77"/>
    </row>
    <row r="62" spans="1:13">
      <c r="A62" s="120"/>
      <c r="B62" s="47"/>
      <c r="C62" s="50"/>
      <c r="D62" s="66"/>
      <c r="E62" s="66"/>
      <c r="F62" s="66"/>
      <c r="G62" s="66"/>
      <c r="H62" s="47"/>
      <c r="I62" s="46"/>
      <c r="J62" s="13"/>
      <c r="K62" s="13"/>
      <c r="L62" s="25"/>
      <c r="M62" s="77"/>
    </row>
    <row r="63" spans="1:13">
      <c r="A63" s="120"/>
      <c r="B63" s="46"/>
      <c r="C63" s="46"/>
      <c r="D63" s="66"/>
      <c r="E63" s="46"/>
      <c r="F63" s="69"/>
      <c r="G63" s="47"/>
      <c r="H63" s="46"/>
      <c r="I63" s="13"/>
      <c r="J63" s="13"/>
      <c r="K63" s="25"/>
      <c r="L63" s="77"/>
      <c r="M63" s="25"/>
    </row>
    <row r="64" spans="1:13">
      <c r="A64" s="120"/>
      <c r="B64" s="2"/>
      <c r="C64" s="46"/>
      <c r="D64" s="66"/>
      <c r="E64" s="46"/>
      <c r="F64" s="69"/>
      <c r="G64" s="47"/>
      <c r="H64" s="46"/>
      <c r="I64" s="13"/>
      <c r="J64" s="13"/>
      <c r="K64" s="25"/>
      <c r="L64" s="77"/>
      <c r="M64" s="25"/>
    </row>
    <row r="65" spans="1:8">
      <c r="A65" s="120"/>
      <c r="B65" s="2"/>
      <c r="C65" s="2"/>
      <c r="D65" s="121"/>
      <c r="E65" s="2"/>
      <c r="F65" s="122"/>
      <c r="G65" s="123"/>
      <c r="H65" s="2"/>
    </row>
    <row r="66" spans="1:8">
      <c r="A66" s="120"/>
      <c r="B66" s="2"/>
      <c r="C66" s="2"/>
      <c r="D66" s="121"/>
      <c r="E66" s="2"/>
      <c r="F66" s="122"/>
      <c r="G66" s="123"/>
      <c r="H66" s="2"/>
    </row>
    <row r="67" spans="1:8">
      <c r="A67" s="120"/>
      <c r="B67" s="2"/>
      <c r="C67" s="2"/>
      <c r="D67" s="121"/>
      <c r="E67" s="2"/>
      <c r="F67" s="122"/>
      <c r="G67" s="123"/>
      <c r="H67" s="2"/>
    </row>
    <row r="68" spans="1:8">
      <c r="A68" s="120"/>
      <c r="B68" s="2"/>
      <c r="C68" s="2"/>
      <c r="D68" s="121"/>
      <c r="E68" s="2"/>
      <c r="F68" s="122"/>
      <c r="G68" s="123"/>
      <c r="H68" s="2"/>
    </row>
    <row r="69" spans="1:8">
      <c r="A69" s="120"/>
      <c r="B69" s="2"/>
      <c r="C69" s="2"/>
      <c r="D69" s="121"/>
      <c r="E69" s="2"/>
      <c r="F69" s="122"/>
      <c r="G69" s="123"/>
      <c r="H69" s="2"/>
    </row>
    <row r="70" spans="1:8">
      <c r="A70" s="120"/>
      <c r="B70" s="2"/>
      <c r="C70" s="2"/>
      <c r="D70" s="121"/>
      <c r="E70" s="2"/>
      <c r="F70" s="122"/>
      <c r="G70" s="123"/>
      <c r="H70" s="2"/>
    </row>
    <row r="71" spans="1:8">
      <c r="A71" s="120"/>
      <c r="B71" s="2"/>
      <c r="C71" s="2"/>
      <c r="D71" s="121"/>
      <c r="E71" s="2"/>
      <c r="F71" s="122"/>
      <c r="G71" s="123"/>
      <c r="H71" s="2"/>
    </row>
    <row r="72" spans="1:8">
      <c r="A72" s="120"/>
      <c r="B72" s="2"/>
      <c r="C72" s="2"/>
      <c r="D72" s="121"/>
      <c r="E72" s="2"/>
      <c r="F72" s="122"/>
      <c r="G72" s="123"/>
      <c r="H72" s="2"/>
    </row>
    <row r="73" spans="1:8">
      <c r="A73" s="120"/>
      <c r="B73" s="2"/>
      <c r="C73" s="2"/>
      <c r="D73" s="121"/>
      <c r="E73" s="2"/>
      <c r="F73" s="122"/>
      <c r="G73" s="123"/>
      <c r="H73" s="2"/>
    </row>
    <row r="74" spans="1:8">
      <c r="A74" s="124"/>
      <c r="B74" s="125"/>
      <c r="C74" s="2"/>
      <c r="D74" s="121"/>
      <c r="E74" s="2"/>
      <c r="F74" s="126"/>
      <c r="G74" s="123"/>
      <c r="H74" s="2"/>
    </row>
    <row r="75" spans="1:8">
      <c r="A75" s="124"/>
      <c r="B75" s="125"/>
      <c r="C75" s="2"/>
      <c r="D75" s="121"/>
      <c r="E75" s="2"/>
      <c r="F75" s="126"/>
      <c r="G75" s="123"/>
      <c r="H75" s="2"/>
    </row>
    <row r="76" spans="1:8">
      <c r="A76" s="124"/>
      <c r="B76" s="125"/>
      <c r="C76" s="2"/>
      <c r="D76" s="121"/>
      <c r="E76" s="2"/>
      <c r="F76" s="126"/>
      <c r="G76" s="123"/>
      <c r="H76" s="2"/>
    </row>
    <row r="77" spans="1:8">
      <c r="A77" s="124"/>
      <c r="B77" s="125"/>
      <c r="C77" s="2"/>
      <c r="D77" s="121"/>
      <c r="E77" s="2"/>
      <c r="F77" s="126"/>
      <c r="G77" s="123"/>
      <c r="H77" s="2"/>
    </row>
    <row r="78" spans="1:8">
      <c r="A78" s="124"/>
      <c r="B78" s="125"/>
      <c r="C78" s="2"/>
      <c r="D78" s="121"/>
      <c r="E78" s="2"/>
      <c r="F78" s="126"/>
      <c r="G78" s="123"/>
      <c r="H78" s="2"/>
    </row>
    <row r="79" spans="1:8">
      <c r="A79" s="124"/>
      <c r="B79" s="125"/>
      <c r="C79" s="2"/>
      <c r="D79" s="121"/>
      <c r="E79" s="2"/>
      <c r="F79" s="126"/>
      <c r="G79" s="123"/>
      <c r="H79" s="2"/>
    </row>
    <row r="80" spans="1:8">
      <c r="A80" s="124"/>
      <c r="B80" s="125"/>
      <c r="C80" s="2"/>
      <c r="D80" s="121"/>
      <c r="E80" s="2"/>
      <c r="F80" s="126"/>
      <c r="G80" s="123"/>
      <c r="H80" s="2"/>
    </row>
    <row r="81" spans="1:8">
      <c r="A81" s="124"/>
      <c r="B81" s="125"/>
      <c r="C81" s="2"/>
      <c r="D81" s="121"/>
      <c r="E81" s="2"/>
      <c r="F81" s="126"/>
      <c r="G81" s="123"/>
      <c r="H81" s="2"/>
    </row>
    <row r="82" spans="1:8">
      <c r="A82" s="124"/>
      <c r="B82" s="125"/>
      <c r="C82" s="2"/>
      <c r="D82" s="121"/>
      <c r="E82" s="2"/>
      <c r="F82" s="126"/>
      <c r="G82" s="123"/>
      <c r="H82" s="2"/>
    </row>
    <row r="83" spans="1:8">
      <c r="A83" s="124"/>
      <c r="B83" s="125"/>
      <c r="C83" s="2"/>
      <c r="D83" s="121"/>
      <c r="E83" s="2"/>
      <c r="F83" s="126"/>
      <c r="G83" s="123"/>
      <c r="H83" s="2"/>
    </row>
    <row r="84" spans="1:8">
      <c r="A84" s="124"/>
      <c r="B84" s="125"/>
      <c r="C84" s="2"/>
      <c r="D84" s="121"/>
      <c r="E84" s="2"/>
      <c r="F84" s="126"/>
      <c r="G84" s="123"/>
      <c r="H84" s="2"/>
    </row>
    <row r="85" spans="1:8">
      <c r="A85" s="124"/>
      <c r="B85" s="125"/>
      <c r="C85" s="2"/>
      <c r="D85" s="121"/>
      <c r="E85" s="2"/>
      <c r="F85" s="126"/>
      <c r="G85" s="123"/>
      <c r="H85" s="2"/>
    </row>
    <row r="86" spans="1:8">
      <c r="A86" s="124"/>
      <c r="B86" s="125"/>
      <c r="C86" s="2"/>
      <c r="D86" s="121"/>
      <c r="E86" s="2"/>
      <c r="F86" s="126"/>
      <c r="G86" s="123"/>
      <c r="H86" s="2"/>
    </row>
    <row r="87" spans="1:8">
      <c r="A87" s="124"/>
      <c r="B87" s="125"/>
      <c r="C87" s="2"/>
      <c r="D87" s="121"/>
      <c r="E87" s="2"/>
      <c r="F87" s="126"/>
      <c r="G87" s="123"/>
      <c r="H87" s="2"/>
    </row>
    <row r="88" spans="1:8">
      <c r="A88" s="124"/>
      <c r="B88" s="125"/>
      <c r="C88" s="2"/>
      <c r="D88" s="121"/>
      <c r="E88" s="2"/>
      <c r="F88" s="126"/>
      <c r="G88" s="123"/>
      <c r="H88" s="2"/>
    </row>
    <row r="89" spans="1:8">
      <c r="A89" s="124"/>
      <c r="B89" s="125"/>
      <c r="C89" s="2"/>
      <c r="D89" s="121"/>
      <c r="E89" s="2"/>
      <c r="F89" s="126"/>
      <c r="G89" s="123"/>
      <c r="H89" s="2"/>
    </row>
    <row r="90" spans="1:8">
      <c r="A90" s="124"/>
      <c r="B90" s="125"/>
      <c r="C90" s="2"/>
      <c r="D90" s="121"/>
      <c r="E90" s="2"/>
      <c r="F90" s="126"/>
      <c r="G90" s="123"/>
      <c r="H90" s="2"/>
    </row>
    <row r="91" spans="1:8">
      <c r="A91" s="124"/>
      <c r="B91" s="125"/>
      <c r="C91" s="2"/>
      <c r="D91" s="121"/>
      <c r="E91" s="2"/>
      <c r="F91" s="126"/>
      <c r="G91" s="123"/>
      <c r="H91" s="2"/>
    </row>
    <row r="92" spans="1:8">
      <c r="A92" s="124"/>
      <c r="B92" s="125"/>
      <c r="C92" s="2"/>
      <c r="D92" s="121"/>
      <c r="E92" s="2"/>
      <c r="F92" s="126"/>
      <c r="G92" s="123"/>
      <c r="H92" s="2"/>
    </row>
    <row r="93" spans="1:8">
      <c r="A93" s="124"/>
      <c r="B93" s="125"/>
      <c r="C93" s="2"/>
      <c r="D93" s="121"/>
      <c r="E93" s="2"/>
      <c r="F93" s="126"/>
      <c r="G93" s="123"/>
      <c r="H93" s="2"/>
    </row>
    <row r="94" spans="1:8">
      <c r="A94" s="124"/>
      <c r="B94" s="125"/>
      <c r="C94" s="2"/>
      <c r="D94" s="121"/>
      <c r="E94" s="2"/>
      <c r="F94" s="126"/>
      <c r="G94" s="123"/>
      <c r="H94" s="2"/>
    </row>
    <row r="95" spans="1:8">
      <c r="A95" s="124"/>
      <c r="B95" s="125"/>
      <c r="C95" s="2"/>
      <c r="D95" s="121"/>
      <c r="E95" s="2"/>
      <c r="F95" s="126"/>
      <c r="G95" s="123"/>
      <c r="H95" s="2"/>
    </row>
    <row r="96" spans="1:8">
      <c r="A96" s="124"/>
      <c r="B96" s="125"/>
      <c r="C96" s="2"/>
      <c r="D96" s="121"/>
      <c r="E96" s="2"/>
      <c r="F96" s="126"/>
      <c r="G96" s="123"/>
      <c r="H96" s="2"/>
    </row>
    <row r="97" spans="1:8">
      <c r="A97" s="124"/>
      <c r="B97" s="125"/>
      <c r="C97" s="2"/>
      <c r="D97" s="121"/>
      <c r="E97" s="2"/>
      <c r="F97" s="126"/>
      <c r="G97" s="123"/>
      <c r="H97" s="2"/>
    </row>
    <row r="98" spans="1:8">
      <c r="A98" s="124"/>
      <c r="B98" s="125"/>
      <c r="C98" s="2"/>
      <c r="D98" s="121"/>
      <c r="E98" s="2"/>
      <c r="F98" s="126"/>
      <c r="G98" s="123"/>
      <c r="H98" s="2"/>
    </row>
    <row r="99" spans="1:8">
      <c r="A99" s="124"/>
      <c r="B99" s="125"/>
      <c r="C99" s="2"/>
      <c r="D99" s="121"/>
      <c r="E99" s="2"/>
      <c r="F99" s="126"/>
      <c r="G99" s="123"/>
      <c r="H99" s="2"/>
    </row>
    <row r="100" spans="1:8">
      <c r="A100" s="124"/>
      <c r="B100" s="125"/>
      <c r="C100" s="2"/>
      <c r="D100" s="121"/>
      <c r="E100" s="2"/>
      <c r="F100" s="126"/>
      <c r="G100" s="123"/>
      <c r="H100" s="2"/>
    </row>
    <row r="101" spans="1:8">
      <c r="A101" s="124"/>
      <c r="B101" s="125"/>
      <c r="C101" s="2"/>
      <c r="D101" s="121"/>
      <c r="E101" s="2"/>
      <c r="F101" s="126"/>
      <c r="G101" s="123"/>
      <c r="H101" s="2"/>
    </row>
    <row r="102" spans="1:8">
      <c r="A102" s="124"/>
      <c r="B102" s="125"/>
      <c r="C102" s="2"/>
      <c r="D102" s="121"/>
      <c r="E102" s="2"/>
      <c r="F102" s="126"/>
      <c r="G102" s="123"/>
      <c r="H102" s="2"/>
    </row>
    <row r="103" spans="1:8">
      <c r="A103" s="127"/>
      <c r="B103" s="128"/>
      <c r="C103" s="2"/>
      <c r="D103" s="121"/>
      <c r="E103" s="2"/>
      <c r="F103" s="129"/>
      <c r="G103" s="123"/>
      <c r="H103" s="2"/>
    </row>
    <row r="104" spans="1:8">
      <c r="A104" s="127"/>
      <c r="B104" s="128"/>
      <c r="C104" s="2"/>
      <c r="D104" s="121"/>
      <c r="E104" s="2"/>
      <c r="F104" s="129"/>
      <c r="G104" s="123"/>
      <c r="H104" s="2"/>
    </row>
    <row r="105" spans="1:8">
      <c r="A105" s="127"/>
      <c r="B105" s="128"/>
      <c r="C105" s="2"/>
      <c r="D105" s="121"/>
      <c r="E105" s="2"/>
      <c r="F105" s="129"/>
      <c r="G105" s="123"/>
      <c r="H105" s="2"/>
    </row>
    <row r="106" spans="1:8">
      <c r="A106" s="127"/>
      <c r="B106" s="128"/>
      <c r="C106" s="2"/>
      <c r="D106" s="121"/>
      <c r="E106" s="2"/>
      <c r="F106" s="129"/>
      <c r="G106" s="123"/>
      <c r="H106" s="2"/>
    </row>
    <row r="107" spans="1:8">
      <c r="A107" s="127"/>
      <c r="B107" s="128"/>
      <c r="C107" s="2"/>
      <c r="D107" s="121"/>
      <c r="E107" s="2"/>
      <c r="F107" s="129"/>
      <c r="G107" s="123"/>
      <c r="H107" s="2"/>
    </row>
    <row r="108" spans="1:8">
      <c r="A108" s="127"/>
      <c r="B108" s="128"/>
      <c r="C108" s="2"/>
      <c r="D108" s="121"/>
      <c r="E108" s="2"/>
      <c r="F108" s="129"/>
      <c r="G108" s="123"/>
      <c r="H108" s="2"/>
    </row>
    <row r="109" spans="1:8">
      <c r="A109" s="127"/>
      <c r="B109" s="128"/>
      <c r="C109" s="2"/>
      <c r="D109" s="121"/>
      <c r="E109" s="2"/>
      <c r="F109" s="129"/>
      <c r="G109" s="123"/>
      <c r="H109" s="2"/>
    </row>
    <row r="110" spans="1:8">
      <c r="A110" s="127"/>
      <c r="B110" s="128"/>
      <c r="C110" s="2"/>
      <c r="D110" s="121"/>
      <c r="E110" s="2"/>
      <c r="F110" s="129"/>
      <c r="G110" s="123"/>
      <c r="H110" s="2"/>
    </row>
    <row r="111" spans="1:8">
      <c r="A111" s="127"/>
      <c r="B111" s="128"/>
      <c r="C111" s="2"/>
      <c r="D111" s="121"/>
      <c r="E111" s="2"/>
      <c r="F111" s="129"/>
      <c r="G111" s="123"/>
      <c r="H111" s="2"/>
    </row>
    <row r="112" spans="1:8" ht="15">
      <c r="A112" s="130"/>
      <c r="B112" s="2"/>
      <c r="C112" s="131"/>
      <c r="D112" s="121"/>
      <c r="E112" s="2"/>
      <c r="F112" s="122"/>
      <c r="G112" s="123"/>
      <c r="H112" s="131"/>
    </row>
    <row r="113" spans="1:8">
      <c r="A113" s="127"/>
      <c r="B113" s="128"/>
      <c r="C113" s="2"/>
      <c r="D113" s="121"/>
      <c r="E113" s="2"/>
      <c r="F113" s="129"/>
      <c r="G113" s="123"/>
      <c r="H113" s="2"/>
    </row>
    <row r="114" spans="1:8">
      <c r="A114" s="127"/>
      <c r="B114" s="128"/>
      <c r="C114" s="2"/>
      <c r="D114" s="121"/>
      <c r="E114" s="2"/>
      <c r="F114" s="129"/>
      <c r="G114" s="123"/>
      <c r="H114" s="2"/>
    </row>
    <row r="115" spans="1:8">
      <c r="A115" s="127"/>
      <c r="B115" s="128"/>
      <c r="C115" s="2"/>
      <c r="D115" s="121"/>
      <c r="E115" s="2"/>
      <c r="F115" s="129"/>
      <c r="G115" s="123"/>
      <c r="H115" s="2"/>
    </row>
    <row r="116" spans="1:8">
      <c r="A116" s="127"/>
      <c r="B116" s="128"/>
      <c r="C116" s="2"/>
      <c r="D116" s="121"/>
      <c r="E116" s="2"/>
      <c r="F116" s="129"/>
      <c r="G116" s="123"/>
      <c r="H116" s="2"/>
    </row>
    <row r="117" spans="1:8">
      <c r="A117" s="127"/>
      <c r="B117" s="128"/>
      <c r="C117" s="2"/>
      <c r="D117" s="121"/>
      <c r="E117" s="2"/>
      <c r="F117" s="129"/>
      <c r="G117" s="123"/>
      <c r="H117" s="2"/>
    </row>
    <row r="118" spans="1:8">
      <c r="A118" s="127"/>
      <c r="B118" s="128"/>
      <c r="C118" s="2"/>
      <c r="D118" s="121"/>
      <c r="E118" s="2"/>
      <c r="F118" s="129"/>
      <c r="G118" s="123"/>
      <c r="H118" s="2"/>
    </row>
    <row r="119" spans="1:8">
      <c r="A119" s="127"/>
      <c r="B119" s="128"/>
      <c r="C119" s="2"/>
      <c r="D119" s="121"/>
      <c r="E119" s="2"/>
      <c r="F119" s="129"/>
      <c r="G119" s="123"/>
      <c r="H119" s="2"/>
    </row>
    <row r="120" spans="1:8">
      <c r="A120" s="127"/>
      <c r="B120" s="128"/>
      <c r="C120" s="2"/>
      <c r="D120" s="121"/>
      <c r="E120" s="2"/>
      <c r="F120" s="129"/>
      <c r="G120" s="123"/>
      <c r="H120" s="2"/>
    </row>
    <row r="121" spans="1:8">
      <c r="A121" s="127"/>
      <c r="B121" s="128"/>
      <c r="C121" s="2"/>
      <c r="D121" s="121"/>
      <c r="E121" s="2"/>
      <c r="F121" s="129"/>
      <c r="G121" s="123"/>
      <c r="H121" s="2"/>
    </row>
    <row r="122" spans="1:8">
      <c r="A122" s="127"/>
      <c r="B122" s="128"/>
      <c r="C122" s="2"/>
      <c r="D122" s="121"/>
      <c r="E122" s="2"/>
      <c r="F122" s="129"/>
      <c r="G122" s="123"/>
      <c r="H122" s="2"/>
    </row>
    <row r="123" spans="1:8">
      <c r="A123" s="127"/>
      <c r="B123" s="128"/>
      <c r="C123" s="2"/>
      <c r="D123" s="121"/>
      <c r="E123" s="2"/>
      <c r="F123" s="129"/>
      <c r="G123" s="123"/>
      <c r="H123" s="2"/>
    </row>
    <row r="124" spans="1:8">
      <c r="A124" s="127"/>
      <c r="B124" s="128"/>
      <c r="C124" s="2"/>
      <c r="D124" s="121"/>
      <c r="E124" s="2"/>
      <c r="F124" s="129"/>
      <c r="G124" s="123"/>
      <c r="H124" s="2"/>
    </row>
    <row r="125" spans="1:8">
      <c r="A125" s="127"/>
      <c r="B125" s="128"/>
      <c r="C125" s="2"/>
      <c r="D125" s="121"/>
      <c r="E125" s="2"/>
      <c r="F125" s="129"/>
      <c r="G125" s="123"/>
      <c r="H125" s="2"/>
    </row>
    <row r="126" spans="1:8">
      <c r="A126" s="127"/>
      <c r="B126" s="128"/>
      <c r="C126" s="2"/>
      <c r="D126" s="121"/>
      <c r="E126" s="2"/>
      <c r="F126" s="129"/>
      <c r="G126" s="123"/>
      <c r="H126" s="2"/>
    </row>
    <row r="127" spans="1:8">
      <c r="A127" s="127"/>
      <c r="B127" s="128"/>
      <c r="C127" s="2"/>
      <c r="D127" s="121"/>
      <c r="E127" s="2"/>
      <c r="F127" s="129"/>
      <c r="G127" s="123"/>
      <c r="H127" s="2"/>
    </row>
    <row r="128" spans="1:8">
      <c r="A128" s="127"/>
      <c r="B128" s="128"/>
      <c r="C128" s="2"/>
      <c r="D128" s="121"/>
      <c r="E128" s="2"/>
      <c r="F128" s="129"/>
      <c r="G128" s="123"/>
      <c r="H128" s="2"/>
    </row>
    <row r="129" spans="1:8">
      <c r="A129" s="127"/>
      <c r="B129" s="128"/>
      <c r="C129" s="2"/>
      <c r="D129" s="121"/>
      <c r="E129" s="2"/>
      <c r="F129" s="129"/>
      <c r="G129" s="123"/>
      <c r="H129" s="2"/>
    </row>
    <row r="130" spans="1:8">
      <c r="A130" s="127"/>
      <c r="B130" s="128"/>
      <c r="C130" s="2"/>
      <c r="D130" s="121"/>
      <c r="E130" s="2"/>
      <c r="F130" s="129"/>
      <c r="G130" s="123"/>
      <c r="H130" s="2"/>
    </row>
    <row r="131" spans="1:8">
      <c r="A131" s="127"/>
      <c r="B131" s="128"/>
      <c r="C131" s="2"/>
      <c r="D131" s="121"/>
      <c r="E131" s="2"/>
      <c r="F131" s="129"/>
      <c r="G131" s="123"/>
      <c r="H131" s="2"/>
    </row>
    <row r="132" spans="1:8">
      <c r="A132" s="127"/>
      <c r="B132" s="128"/>
      <c r="C132" s="2"/>
      <c r="D132" s="121"/>
      <c r="E132" s="2"/>
      <c r="F132" s="129"/>
      <c r="G132" s="123"/>
      <c r="H132" s="2"/>
    </row>
    <row r="133" spans="1:8">
      <c r="A133" s="127"/>
      <c r="B133" s="128"/>
      <c r="C133" s="2"/>
      <c r="D133" s="121"/>
      <c r="E133" s="2"/>
      <c r="F133" s="129"/>
      <c r="G133" s="123"/>
      <c r="H133" s="2"/>
    </row>
    <row r="134" spans="1:8">
      <c r="A134" s="127"/>
      <c r="B134" s="128"/>
      <c r="C134" s="2"/>
      <c r="D134" s="121"/>
      <c r="E134" s="2"/>
      <c r="F134" s="129"/>
      <c r="G134" s="123"/>
      <c r="H134" s="2"/>
    </row>
    <row r="135" spans="1:8">
      <c r="A135" s="127"/>
      <c r="B135" s="128"/>
      <c r="C135" s="2"/>
      <c r="D135" s="121"/>
      <c r="E135" s="2"/>
      <c r="F135" s="129"/>
      <c r="G135" s="123"/>
      <c r="H135" s="2"/>
    </row>
    <row r="136" spans="1:8">
      <c r="A136" s="127"/>
      <c r="B136" s="128"/>
      <c r="C136" s="2"/>
      <c r="D136" s="121"/>
      <c r="E136" s="2"/>
      <c r="F136" s="129"/>
      <c r="G136" s="123"/>
      <c r="H136" s="2"/>
    </row>
    <row r="137" spans="1:8">
      <c r="A137" s="127"/>
      <c r="B137" s="128"/>
      <c r="C137" s="2"/>
      <c r="D137" s="121"/>
      <c r="E137" s="2"/>
      <c r="F137" s="129"/>
      <c r="G137" s="123"/>
      <c r="H137" s="2"/>
    </row>
    <row r="138" spans="1:8">
      <c r="A138" s="127"/>
      <c r="B138" s="128"/>
      <c r="C138" s="2"/>
      <c r="D138" s="121"/>
      <c r="E138" s="2"/>
      <c r="F138" s="129"/>
      <c r="G138" s="123"/>
      <c r="H138" s="2"/>
    </row>
    <row r="139" spans="1:8">
      <c r="A139" s="127"/>
      <c r="B139" s="128"/>
      <c r="C139" s="2"/>
      <c r="D139" s="121"/>
      <c r="E139" s="2"/>
      <c r="F139" s="129"/>
      <c r="G139" s="123"/>
      <c r="H139" s="2"/>
    </row>
    <row r="140" spans="1:8">
      <c r="A140" s="127"/>
      <c r="B140" s="128"/>
      <c r="C140" s="2"/>
      <c r="D140" s="121"/>
      <c r="E140" s="2"/>
      <c r="F140" s="129"/>
      <c r="G140" s="123"/>
      <c r="H140" s="2"/>
    </row>
    <row r="141" spans="1:8">
      <c r="A141" s="127"/>
      <c r="B141" s="128"/>
      <c r="C141" s="2"/>
      <c r="D141" s="121"/>
      <c r="E141" s="2"/>
      <c r="F141" s="129"/>
      <c r="G141" s="123"/>
      <c r="H141" s="2"/>
    </row>
    <row r="142" spans="1:8">
      <c r="A142" s="127"/>
      <c r="B142" s="128"/>
      <c r="C142" s="2"/>
      <c r="D142" s="121"/>
      <c r="E142" s="2"/>
      <c r="F142" s="129"/>
      <c r="G142" s="123"/>
      <c r="H142" s="2"/>
    </row>
    <row r="143" spans="1:8">
      <c r="A143" s="127"/>
      <c r="B143" s="128"/>
      <c r="C143" s="2"/>
      <c r="D143" s="121"/>
      <c r="E143" s="2"/>
      <c r="F143" s="129"/>
      <c r="G143" s="123"/>
      <c r="H143" s="2"/>
    </row>
    <row r="144" spans="1:8">
      <c r="A144" s="127"/>
      <c r="B144" s="128"/>
      <c r="C144" s="2"/>
      <c r="D144" s="121"/>
      <c r="E144" s="2"/>
      <c r="F144" s="129"/>
      <c r="G144" s="123"/>
      <c r="H144" s="2"/>
    </row>
    <row r="145" spans="1:8">
      <c r="A145" s="127"/>
      <c r="B145" s="128"/>
      <c r="C145" s="2"/>
      <c r="D145" s="121"/>
      <c r="E145" s="2"/>
      <c r="F145" s="129"/>
      <c r="G145" s="123"/>
      <c r="H145" s="2"/>
    </row>
    <row r="146" spans="1:8">
      <c r="A146" s="127"/>
      <c r="B146" s="128"/>
      <c r="C146" s="2"/>
      <c r="D146" s="121"/>
      <c r="E146" s="2"/>
      <c r="F146" s="129"/>
      <c r="G146" s="123"/>
      <c r="H146" s="2"/>
    </row>
    <row r="147" spans="1:8">
      <c r="A147" s="127"/>
      <c r="B147" s="128"/>
      <c r="C147" s="2"/>
      <c r="D147" s="121"/>
      <c r="E147" s="2"/>
      <c r="F147" s="129"/>
      <c r="G147" s="123"/>
      <c r="H147" s="2"/>
    </row>
    <row r="148" spans="1:8">
      <c r="A148" s="127"/>
      <c r="B148" s="128"/>
      <c r="C148" s="2"/>
      <c r="D148" s="121"/>
      <c r="E148" s="2"/>
      <c r="F148" s="129"/>
      <c r="G148" s="123"/>
      <c r="H148" s="2"/>
    </row>
    <row r="149" spans="1:8">
      <c r="A149" s="127"/>
      <c r="B149" s="128"/>
      <c r="C149" s="2"/>
      <c r="D149" s="121"/>
      <c r="E149" s="2"/>
      <c r="F149" s="129"/>
      <c r="G149" s="123"/>
      <c r="H149" s="2"/>
    </row>
    <row r="150" spans="1:8">
      <c r="A150" s="127"/>
      <c r="B150" s="128"/>
      <c r="C150" s="2"/>
      <c r="D150" s="121"/>
      <c r="E150" s="2"/>
      <c r="F150" s="129"/>
      <c r="G150" s="123"/>
      <c r="H150" s="2"/>
    </row>
    <row r="151" spans="1:8">
      <c r="A151" s="127"/>
      <c r="B151" s="128"/>
      <c r="C151" s="2"/>
      <c r="D151" s="121"/>
      <c r="E151" s="2"/>
      <c r="F151" s="129"/>
      <c r="G151" s="123"/>
      <c r="H151" s="2"/>
    </row>
    <row r="152" spans="1:8">
      <c r="A152" s="127"/>
      <c r="B152" s="128"/>
      <c r="C152" s="2"/>
      <c r="D152" s="121"/>
      <c r="E152" s="2"/>
      <c r="F152" s="129"/>
      <c r="G152" s="123"/>
      <c r="H152" s="2"/>
    </row>
    <row r="153" spans="1:8">
      <c r="A153" s="127"/>
      <c r="B153" s="128"/>
      <c r="C153" s="2"/>
      <c r="D153" s="121"/>
      <c r="E153" s="2"/>
      <c r="F153" s="129"/>
      <c r="G153" s="123"/>
      <c r="H153" s="2"/>
    </row>
    <row r="154" spans="1:8">
      <c r="A154" s="127"/>
      <c r="B154" s="128"/>
      <c r="C154" s="2"/>
      <c r="D154" s="121"/>
      <c r="E154" s="2"/>
      <c r="F154" s="129"/>
      <c r="G154" s="123"/>
      <c r="H154" s="2"/>
    </row>
    <row r="155" spans="1:8">
      <c r="A155" s="127"/>
      <c r="B155" s="128"/>
      <c r="C155" s="2"/>
      <c r="D155" s="121"/>
      <c r="E155" s="2"/>
      <c r="F155" s="129"/>
      <c r="G155" s="123"/>
      <c r="H155" s="2"/>
    </row>
    <row r="156" spans="1:8">
      <c r="A156" s="127"/>
      <c r="B156" s="128"/>
      <c r="C156" s="2"/>
      <c r="D156" s="121"/>
      <c r="E156" s="2"/>
      <c r="F156" s="129"/>
      <c r="G156" s="123"/>
      <c r="H156" s="2"/>
    </row>
    <row r="157" spans="1:8">
      <c r="A157" s="127"/>
      <c r="B157" s="128"/>
      <c r="C157" s="2"/>
      <c r="D157" s="121"/>
      <c r="E157" s="2"/>
      <c r="F157" s="129"/>
      <c r="G157" s="123"/>
      <c r="H157" s="2"/>
    </row>
    <row r="158" spans="1:8">
      <c r="A158" s="127"/>
      <c r="B158" s="128"/>
      <c r="C158" s="2"/>
      <c r="D158" s="121"/>
      <c r="E158" s="2"/>
      <c r="F158" s="129"/>
      <c r="G158" s="123"/>
      <c r="H158" s="2"/>
    </row>
    <row r="159" spans="1:8">
      <c r="A159" s="127"/>
      <c r="B159" s="128"/>
      <c r="C159" s="2"/>
      <c r="D159" s="121"/>
      <c r="E159" s="2"/>
      <c r="F159" s="129"/>
      <c r="G159" s="123"/>
      <c r="H159" s="2"/>
    </row>
    <row r="160" spans="1:8">
      <c r="A160" s="127"/>
      <c r="B160" s="128"/>
      <c r="C160" s="2"/>
      <c r="D160" s="121"/>
      <c r="E160" s="2"/>
      <c r="F160" s="129"/>
      <c r="G160" s="123"/>
      <c r="H160" s="2"/>
    </row>
    <row r="161" spans="1:8">
      <c r="A161" s="127"/>
      <c r="B161" s="128"/>
      <c r="C161" s="2"/>
      <c r="D161" s="121"/>
      <c r="E161" s="2"/>
      <c r="F161" s="129"/>
      <c r="G161" s="123"/>
      <c r="H161" s="2"/>
    </row>
    <row r="162" spans="1:8">
      <c r="A162" s="127"/>
      <c r="B162" s="128"/>
      <c r="C162" s="2"/>
      <c r="D162" s="121"/>
      <c r="E162" s="2"/>
      <c r="F162" s="129"/>
      <c r="G162" s="123"/>
      <c r="H162" s="2"/>
    </row>
    <row r="163" spans="1:8">
      <c r="A163" s="127"/>
      <c r="B163" s="128"/>
      <c r="C163" s="2"/>
      <c r="D163" s="121"/>
      <c r="E163" s="2"/>
      <c r="F163" s="129"/>
      <c r="G163" s="123"/>
      <c r="H163" s="2"/>
    </row>
    <row r="164" spans="1:8">
      <c r="A164" s="127"/>
      <c r="B164" s="128"/>
      <c r="C164" s="2"/>
      <c r="D164" s="121"/>
      <c r="E164" s="2"/>
      <c r="F164" s="129"/>
      <c r="G164" s="123"/>
      <c r="H164" s="2"/>
    </row>
    <row r="165" spans="1:8">
      <c r="A165" s="127"/>
      <c r="B165" s="128"/>
      <c r="C165" s="2"/>
      <c r="D165" s="121"/>
      <c r="E165" s="2"/>
      <c r="F165" s="129"/>
      <c r="G165" s="123"/>
      <c r="H165" s="2"/>
    </row>
    <row r="166" spans="1:8">
      <c r="A166" s="127"/>
      <c r="B166" s="128"/>
      <c r="C166" s="2"/>
      <c r="D166" s="121"/>
      <c r="E166" s="2"/>
      <c r="F166" s="129"/>
      <c r="G166" s="123"/>
      <c r="H166" s="2"/>
    </row>
    <row r="167" spans="1:8">
      <c r="A167" s="127"/>
      <c r="B167" s="128"/>
      <c r="C167" s="2"/>
      <c r="D167" s="121"/>
      <c r="E167" s="2"/>
      <c r="F167" s="129"/>
      <c r="G167" s="123"/>
      <c r="H167" s="2"/>
    </row>
    <row r="168" spans="1:8">
      <c r="A168" s="127"/>
      <c r="B168" s="128"/>
      <c r="C168" s="2"/>
      <c r="D168" s="121"/>
      <c r="E168" s="2"/>
      <c r="F168" s="129"/>
      <c r="G168" s="123"/>
      <c r="H168" s="2"/>
    </row>
    <row r="169" spans="1:8">
      <c r="A169" s="127"/>
      <c r="B169" s="128"/>
      <c r="C169" s="2"/>
      <c r="D169" s="121"/>
      <c r="E169" s="2"/>
      <c r="F169" s="129"/>
      <c r="G169" s="123"/>
      <c r="H169" s="2"/>
    </row>
    <row r="170" spans="1:8">
      <c r="A170" s="127"/>
      <c r="B170" s="128"/>
      <c r="C170" s="2"/>
      <c r="D170" s="121"/>
      <c r="E170" s="2"/>
      <c r="F170" s="129"/>
      <c r="G170" s="123"/>
      <c r="H170" s="2"/>
    </row>
    <row r="171" spans="1:8">
      <c r="A171" s="127"/>
      <c r="B171" s="128"/>
      <c r="C171" s="2"/>
      <c r="D171" s="121"/>
      <c r="E171" s="2"/>
      <c r="F171" s="129"/>
      <c r="G171" s="123"/>
      <c r="H171" s="2"/>
    </row>
    <row r="172" spans="1:8">
      <c r="A172" s="127"/>
      <c r="B172" s="128"/>
      <c r="C172" s="2"/>
      <c r="D172" s="121"/>
      <c r="E172" s="2"/>
      <c r="F172" s="129"/>
      <c r="G172" s="123"/>
      <c r="H172" s="2"/>
    </row>
    <row r="173" spans="1:8">
      <c r="A173" s="127"/>
      <c r="B173" s="128"/>
      <c r="C173" s="2"/>
      <c r="D173" s="121"/>
      <c r="E173" s="2"/>
      <c r="F173" s="129"/>
      <c r="G173" s="123"/>
      <c r="H173" s="2"/>
    </row>
    <row r="174" spans="1:8">
      <c r="A174" s="127"/>
      <c r="B174" s="128"/>
      <c r="C174" s="132"/>
      <c r="D174" s="133"/>
      <c r="E174" s="132"/>
      <c r="F174" s="129"/>
      <c r="G174" s="132"/>
      <c r="H174" s="132"/>
    </row>
    <row r="175" spans="1:8">
      <c r="A175" s="127"/>
      <c r="B175" s="128"/>
      <c r="C175" s="132"/>
      <c r="D175" s="133"/>
      <c r="E175" s="132"/>
      <c r="F175" s="129"/>
      <c r="G175" s="132"/>
      <c r="H175" s="132"/>
    </row>
    <row r="176" spans="1:8">
      <c r="A176" s="127"/>
      <c r="B176" s="128"/>
      <c r="C176" s="132"/>
      <c r="D176" s="133"/>
      <c r="E176" s="132"/>
      <c r="F176" s="129"/>
      <c r="G176" s="132"/>
      <c r="H176" s="132"/>
    </row>
    <row r="177" spans="1:8">
      <c r="A177" s="127"/>
      <c r="B177" s="128"/>
      <c r="C177" s="132"/>
      <c r="D177" s="133"/>
      <c r="E177" s="132"/>
      <c r="F177" s="129"/>
      <c r="G177" s="132"/>
      <c r="H177" s="132"/>
    </row>
    <row r="178" spans="1:8">
      <c r="A178" s="127"/>
      <c r="B178" s="128"/>
      <c r="C178" s="132"/>
      <c r="D178" s="133"/>
      <c r="E178" s="132"/>
      <c r="F178" s="129"/>
      <c r="G178" s="132"/>
      <c r="H178" s="132"/>
    </row>
    <row r="179" spans="1:8">
      <c r="A179" s="127"/>
      <c r="B179" s="128"/>
      <c r="C179" s="132"/>
      <c r="D179" s="133"/>
      <c r="E179" s="132"/>
      <c r="F179" s="129"/>
      <c r="G179" s="132"/>
      <c r="H179" s="132"/>
    </row>
    <row r="180" spans="1:8">
      <c r="A180" s="127"/>
      <c r="B180" s="128"/>
      <c r="C180" s="132"/>
      <c r="D180" s="133"/>
      <c r="E180" s="132"/>
      <c r="F180" s="129"/>
      <c r="G180" s="132"/>
      <c r="H180" s="132"/>
    </row>
    <row r="181" spans="1:8">
      <c r="A181" s="127"/>
      <c r="B181" s="128"/>
      <c r="C181" s="132"/>
      <c r="D181" s="133"/>
      <c r="E181" s="132"/>
      <c r="F181" s="129"/>
      <c r="G181" s="132"/>
      <c r="H181" s="132"/>
    </row>
    <row r="182" spans="1:8">
      <c r="A182" s="127"/>
      <c r="B182" s="128"/>
      <c r="C182" s="132"/>
      <c r="D182" s="133"/>
      <c r="E182" s="132"/>
      <c r="F182" s="129"/>
      <c r="G182" s="132"/>
      <c r="H182" s="132"/>
    </row>
    <row r="183" spans="1:8">
      <c r="A183" s="127"/>
      <c r="B183" s="128"/>
      <c r="C183" s="132"/>
      <c r="D183" s="133"/>
      <c r="E183" s="132"/>
      <c r="F183" s="129"/>
      <c r="G183" s="132"/>
      <c r="H183" s="132"/>
    </row>
    <row r="184" spans="1:8">
      <c r="A184" s="127"/>
      <c r="B184" s="128"/>
      <c r="C184" s="132"/>
      <c r="D184" s="133"/>
      <c r="E184" s="132"/>
      <c r="F184" s="129"/>
      <c r="G184" s="132"/>
      <c r="H184" s="132"/>
    </row>
    <row r="185" spans="1:8">
      <c r="A185" s="127"/>
      <c r="B185" s="128"/>
      <c r="C185" s="132"/>
      <c r="D185" s="133"/>
      <c r="E185" s="132"/>
      <c r="F185" s="129"/>
      <c r="G185" s="132"/>
      <c r="H185" s="132"/>
    </row>
    <row r="186" spans="1:8">
      <c r="A186" s="127"/>
      <c r="B186" s="128"/>
      <c r="C186" s="132"/>
      <c r="D186" s="133"/>
      <c r="E186" s="132"/>
      <c r="F186" s="129"/>
      <c r="G186" s="132"/>
      <c r="H186" s="132"/>
    </row>
    <row r="187" spans="1:8">
      <c r="A187" s="127"/>
      <c r="B187" s="128"/>
      <c r="C187" s="132"/>
      <c r="D187" s="133"/>
      <c r="E187" s="132"/>
      <c r="F187" s="129"/>
      <c r="G187" s="132"/>
      <c r="H187" s="132"/>
    </row>
    <row r="188" spans="1:8">
      <c r="A188" s="127"/>
      <c r="B188" s="128"/>
      <c r="C188" s="132"/>
      <c r="D188" s="133"/>
      <c r="E188" s="132"/>
      <c r="F188" s="129"/>
      <c r="G188" s="132"/>
      <c r="H188" s="132"/>
    </row>
    <row r="189" spans="1:8">
      <c r="A189" s="127"/>
      <c r="B189" s="128"/>
      <c r="C189" s="132"/>
      <c r="D189" s="133"/>
      <c r="E189" s="132"/>
      <c r="F189" s="129"/>
      <c r="G189" s="132"/>
      <c r="H189" s="132"/>
    </row>
    <row r="190" spans="1:8">
      <c r="A190" s="127"/>
      <c r="B190" s="128"/>
      <c r="C190" s="132"/>
      <c r="D190" s="133"/>
      <c r="E190" s="132"/>
      <c r="F190" s="129"/>
      <c r="G190" s="132"/>
      <c r="H190" s="132"/>
    </row>
    <row r="191" spans="1:8">
      <c r="A191" s="127"/>
      <c r="B191" s="128"/>
      <c r="C191" s="132"/>
      <c r="D191" s="133"/>
      <c r="E191" s="132"/>
      <c r="F191" s="129"/>
      <c r="G191" s="132"/>
      <c r="H191" s="132"/>
    </row>
    <row r="192" spans="1:8">
      <c r="A192" s="127"/>
      <c r="B192" s="128"/>
      <c r="C192" s="132"/>
      <c r="D192" s="133"/>
      <c r="E192" s="132"/>
      <c r="F192" s="129"/>
      <c r="G192" s="132"/>
      <c r="H192" s="132"/>
    </row>
    <row r="193" spans="1:8">
      <c r="A193" s="127"/>
      <c r="B193" s="128"/>
      <c r="C193" s="132"/>
      <c r="D193" s="133"/>
      <c r="E193" s="132"/>
      <c r="F193" s="129"/>
      <c r="G193" s="132"/>
      <c r="H193" s="132"/>
    </row>
    <row r="194" spans="1:8">
      <c r="A194" s="127"/>
      <c r="B194" s="128"/>
      <c r="C194" s="132"/>
      <c r="D194" s="133"/>
      <c r="E194" s="132"/>
      <c r="F194" s="129"/>
      <c r="G194" s="132"/>
      <c r="H194" s="132"/>
    </row>
    <row r="195" spans="1:8">
      <c r="A195" s="127"/>
      <c r="B195" s="128"/>
      <c r="C195" s="132"/>
      <c r="D195" s="133"/>
      <c r="E195" s="132"/>
      <c r="F195" s="129"/>
      <c r="G195" s="132"/>
      <c r="H195" s="132"/>
    </row>
    <row r="196" spans="1:8">
      <c r="A196" s="127"/>
      <c r="B196" s="128"/>
      <c r="C196" s="132"/>
      <c r="D196" s="133"/>
      <c r="E196" s="132"/>
      <c r="F196" s="129"/>
      <c r="G196" s="132"/>
      <c r="H196" s="132"/>
    </row>
    <row r="197" spans="1:8">
      <c r="A197" s="127"/>
      <c r="B197" s="128"/>
      <c r="C197" s="132"/>
      <c r="D197" s="133"/>
      <c r="E197" s="132"/>
      <c r="F197" s="129"/>
      <c r="G197" s="132"/>
      <c r="H197" s="132"/>
    </row>
    <row r="198" spans="1:8">
      <c r="A198" s="127"/>
      <c r="B198" s="128"/>
      <c r="C198" s="132"/>
      <c r="D198" s="133"/>
      <c r="E198" s="132"/>
      <c r="F198" s="129"/>
      <c r="G198" s="132"/>
      <c r="H198" s="132"/>
    </row>
    <row r="199" spans="1:8">
      <c r="A199" s="127"/>
      <c r="B199" s="128"/>
      <c r="C199" s="132"/>
      <c r="D199" s="133"/>
      <c r="E199" s="132"/>
      <c r="F199" s="129"/>
      <c r="G199" s="132"/>
      <c r="H199" s="132"/>
    </row>
    <row r="200" spans="1:8">
      <c r="A200" s="127"/>
      <c r="B200" s="128"/>
      <c r="C200" s="132"/>
      <c r="D200" s="133"/>
      <c r="E200" s="132"/>
      <c r="F200" s="129"/>
      <c r="G200" s="132"/>
      <c r="H200" s="132"/>
    </row>
    <row r="201" spans="1:8">
      <c r="A201" s="127"/>
      <c r="B201" s="128"/>
      <c r="C201" s="132"/>
      <c r="D201" s="133"/>
      <c r="E201" s="132"/>
      <c r="F201" s="129"/>
      <c r="G201" s="132"/>
      <c r="H201" s="132"/>
    </row>
    <row r="202" spans="1:8">
      <c r="A202" s="127"/>
      <c r="B202" s="128"/>
      <c r="C202" s="132"/>
      <c r="D202" s="133"/>
      <c r="E202" s="132"/>
      <c r="F202" s="129"/>
      <c r="G202" s="132"/>
      <c r="H202" s="132"/>
    </row>
    <row r="203" spans="1:8">
      <c r="A203" s="127"/>
      <c r="B203" s="128"/>
      <c r="C203" s="132"/>
      <c r="D203" s="133"/>
      <c r="E203" s="132"/>
      <c r="F203" s="129"/>
      <c r="G203" s="132"/>
      <c r="H203" s="132"/>
    </row>
    <row r="204" spans="1:8">
      <c r="A204" s="127"/>
      <c r="B204" s="128"/>
      <c r="C204" s="132"/>
      <c r="D204" s="133"/>
      <c r="E204" s="132"/>
      <c r="F204" s="129"/>
      <c r="G204" s="132"/>
      <c r="H204" s="132"/>
    </row>
    <row r="205" spans="1:8">
      <c r="A205" s="127"/>
      <c r="B205" s="128"/>
      <c r="C205" s="132"/>
      <c r="D205" s="133"/>
      <c r="E205" s="132"/>
      <c r="F205" s="129"/>
      <c r="G205" s="132"/>
      <c r="H205" s="132"/>
    </row>
    <row r="206" spans="1:8">
      <c r="A206" s="127"/>
      <c r="B206" s="128"/>
      <c r="C206" s="132"/>
      <c r="D206" s="133"/>
      <c r="E206" s="132"/>
      <c r="F206" s="129"/>
      <c r="G206" s="132"/>
      <c r="H206" s="132"/>
    </row>
    <row r="207" spans="1:8">
      <c r="A207" s="127"/>
      <c r="B207" s="128"/>
      <c r="C207" s="132"/>
      <c r="D207" s="133"/>
      <c r="E207" s="132"/>
      <c r="F207" s="129"/>
      <c r="G207" s="132"/>
      <c r="H207" s="132"/>
    </row>
    <row r="208" spans="1:8">
      <c r="A208" s="127"/>
      <c r="B208" s="128"/>
      <c r="C208" s="132"/>
      <c r="D208" s="133"/>
      <c r="E208" s="132"/>
      <c r="F208" s="129"/>
      <c r="G208" s="132"/>
      <c r="H208" s="132"/>
    </row>
    <row r="209" spans="1:8">
      <c r="A209" s="127"/>
      <c r="B209" s="128"/>
      <c r="C209" s="132"/>
      <c r="D209" s="133"/>
      <c r="E209" s="132"/>
      <c r="F209" s="129"/>
      <c r="G209" s="132"/>
      <c r="H209" s="132"/>
    </row>
    <row r="210" spans="1:8">
      <c r="A210" s="127"/>
      <c r="B210" s="128"/>
      <c r="C210" s="132"/>
      <c r="D210" s="133"/>
      <c r="E210" s="132"/>
      <c r="F210" s="129"/>
      <c r="G210" s="132"/>
      <c r="H210" s="132"/>
    </row>
    <row r="211" spans="1:8">
      <c r="A211" s="127"/>
      <c r="B211" s="128"/>
      <c r="C211" s="132"/>
      <c r="D211" s="133"/>
      <c r="E211" s="132"/>
      <c r="F211" s="129"/>
      <c r="G211" s="132"/>
      <c r="H211" s="132"/>
    </row>
    <row r="212" spans="1:8">
      <c r="A212" s="127"/>
      <c r="B212" s="128"/>
      <c r="C212" s="132"/>
      <c r="D212" s="133"/>
      <c r="E212" s="132"/>
      <c r="F212" s="129"/>
      <c r="G212" s="132"/>
      <c r="H212" s="132"/>
    </row>
    <row r="213" spans="1:8">
      <c r="A213" s="127"/>
      <c r="B213" s="128"/>
      <c r="C213" s="132"/>
      <c r="D213" s="133"/>
      <c r="E213" s="132"/>
      <c r="F213" s="129"/>
      <c r="G213" s="132"/>
      <c r="H213" s="132"/>
    </row>
    <row r="214" spans="1:8">
      <c r="A214" s="127"/>
      <c r="B214" s="128"/>
      <c r="C214" s="132"/>
      <c r="D214" s="133"/>
      <c r="E214" s="132"/>
      <c r="F214" s="129"/>
      <c r="G214" s="132"/>
      <c r="H214" s="132"/>
    </row>
    <row r="215" spans="1:8">
      <c r="A215" s="127"/>
      <c r="B215" s="128"/>
      <c r="C215" s="132"/>
      <c r="D215" s="133"/>
      <c r="E215" s="132"/>
      <c r="F215" s="129"/>
      <c r="G215" s="132"/>
      <c r="H215" s="132"/>
    </row>
    <row r="216" spans="1:8">
      <c r="A216" s="127"/>
      <c r="B216" s="128"/>
      <c r="C216" s="132"/>
      <c r="D216" s="133"/>
      <c r="E216" s="132"/>
      <c r="F216" s="129"/>
      <c r="G216" s="132"/>
      <c r="H216" s="132"/>
    </row>
    <row r="217" spans="1:8">
      <c r="A217" s="127"/>
      <c r="B217" s="128"/>
      <c r="C217" s="132"/>
      <c r="D217" s="133"/>
      <c r="E217" s="132"/>
      <c r="F217" s="129"/>
      <c r="G217" s="132"/>
      <c r="H217" s="132"/>
    </row>
    <row r="218" spans="1:8">
      <c r="A218" s="127"/>
      <c r="B218" s="128"/>
      <c r="C218" s="132"/>
      <c r="D218" s="133"/>
      <c r="E218" s="132"/>
      <c r="F218" s="129"/>
      <c r="G218" s="132"/>
      <c r="H218" s="132"/>
    </row>
    <row r="219" spans="1:8">
      <c r="A219" s="127"/>
      <c r="B219" s="128"/>
      <c r="C219" s="132"/>
      <c r="D219" s="133"/>
      <c r="E219" s="132"/>
      <c r="F219" s="129"/>
      <c r="G219" s="132"/>
      <c r="H219" s="132"/>
    </row>
    <row r="220" spans="1:8">
      <c r="A220" s="127"/>
      <c r="B220" s="128"/>
      <c r="C220" s="132"/>
      <c r="D220" s="133"/>
      <c r="E220" s="132"/>
      <c r="F220" s="129"/>
      <c r="G220" s="132"/>
      <c r="H220" s="132"/>
    </row>
    <row r="221" spans="1:8">
      <c r="A221" s="127"/>
      <c r="B221" s="128"/>
      <c r="C221" s="132"/>
      <c r="D221" s="133"/>
      <c r="E221" s="132"/>
      <c r="F221" s="129"/>
      <c r="G221" s="132"/>
      <c r="H221" s="132"/>
    </row>
    <row r="222" spans="1:8">
      <c r="A222" s="127"/>
      <c r="B222" s="128"/>
      <c r="C222" s="132"/>
      <c r="D222" s="133"/>
      <c r="E222" s="132"/>
      <c r="F222" s="129"/>
      <c r="G222" s="132"/>
      <c r="H222" s="132"/>
    </row>
    <row r="223" spans="1:8">
      <c r="A223" s="127"/>
      <c r="B223" s="128"/>
      <c r="C223" s="132"/>
      <c r="D223" s="133"/>
      <c r="E223" s="132"/>
      <c r="F223" s="129"/>
      <c r="G223" s="132"/>
      <c r="H223" s="132"/>
    </row>
    <row r="224" spans="1:8">
      <c r="A224" s="127"/>
      <c r="B224" s="128"/>
      <c r="C224" s="132"/>
      <c r="D224" s="133"/>
      <c r="E224" s="132"/>
      <c r="F224" s="129"/>
      <c r="G224" s="132"/>
      <c r="H224" s="132"/>
    </row>
    <row r="225" spans="1:8">
      <c r="A225" s="127"/>
      <c r="B225" s="128"/>
      <c r="C225" s="132"/>
      <c r="D225" s="133"/>
      <c r="E225" s="132"/>
      <c r="F225" s="129"/>
      <c r="G225" s="132"/>
      <c r="H225" s="132"/>
    </row>
    <row r="226" spans="1:8">
      <c r="A226" s="127"/>
      <c r="B226" s="128"/>
      <c r="C226" s="132"/>
      <c r="D226" s="133"/>
      <c r="E226" s="132"/>
      <c r="F226" s="129"/>
      <c r="G226" s="132"/>
      <c r="H226" s="132"/>
    </row>
    <row r="227" spans="1:8">
      <c r="A227" s="127"/>
      <c r="B227" s="128"/>
      <c r="C227" s="132"/>
      <c r="D227" s="133"/>
      <c r="E227" s="132"/>
      <c r="F227" s="129"/>
      <c r="G227" s="132"/>
      <c r="H227" s="132"/>
    </row>
    <row r="228" spans="1:8">
      <c r="A228" s="127"/>
      <c r="B228" s="128"/>
      <c r="C228" s="132"/>
      <c r="D228" s="133"/>
      <c r="E228" s="132"/>
      <c r="F228" s="129"/>
      <c r="G228" s="132"/>
      <c r="H228" s="132"/>
    </row>
    <row r="229" spans="1:8">
      <c r="A229" s="127"/>
      <c r="B229" s="128"/>
      <c r="C229" s="132"/>
      <c r="D229" s="133"/>
      <c r="E229" s="132"/>
      <c r="F229" s="129"/>
      <c r="G229" s="132"/>
      <c r="H229" s="132"/>
    </row>
    <row r="230" spans="1:8">
      <c r="A230" s="127"/>
      <c r="B230" s="128"/>
      <c r="C230" s="132"/>
      <c r="D230" s="133"/>
      <c r="E230" s="132"/>
      <c r="F230" s="129"/>
      <c r="G230" s="132"/>
      <c r="H230" s="132"/>
    </row>
    <row r="231" spans="1:8">
      <c r="A231" s="127"/>
      <c r="B231" s="128"/>
      <c r="C231" s="132"/>
      <c r="D231" s="133"/>
      <c r="E231" s="132"/>
      <c r="F231" s="129"/>
      <c r="G231" s="132"/>
      <c r="H231" s="132"/>
    </row>
    <row r="232" spans="1:8">
      <c r="A232" s="127"/>
      <c r="B232" s="128"/>
      <c r="C232" s="132"/>
      <c r="D232" s="133"/>
      <c r="E232" s="132"/>
      <c r="F232" s="129"/>
      <c r="G232" s="132"/>
      <c r="H232" s="132"/>
    </row>
    <row r="233" spans="1:8">
      <c r="A233" s="127"/>
      <c r="B233" s="128"/>
      <c r="C233" s="132"/>
      <c r="D233" s="133"/>
      <c r="E233" s="132"/>
      <c r="F233" s="129"/>
      <c r="G233" s="132"/>
      <c r="H233" s="132"/>
    </row>
    <row r="234" spans="1:8">
      <c r="A234" s="127"/>
      <c r="B234" s="128"/>
      <c r="C234" s="132"/>
      <c r="D234" s="133"/>
      <c r="E234" s="132"/>
      <c r="F234" s="129"/>
      <c r="G234" s="132"/>
      <c r="H234" s="132"/>
    </row>
    <row r="235" spans="1:8">
      <c r="A235" s="127"/>
      <c r="B235" s="128"/>
      <c r="C235" s="132"/>
      <c r="D235" s="133"/>
      <c r="E235" s="132"/>
      <c r="F235" s="129"/>
      <c r="G235" s="132"/>
      <c r="H235" s="132"/>
    </row>
    <row r="236" spans="1:8">
      <c r="A236" s="127"/>
      <c r="B236" s="128"/>
      <c r="C236" s="132"/>
      <c r="D236" s="133"/>
      <c r="E236" s="132"/>
      <c r="F236" s="129"/>
      <c r="G236" s="132"/>
      <c r="H236" s="132"/>
    </row>
    <row r="237" spans="1:8">
      <c r="A237" s="127"/>
      <c r="B237" s="128"/>
      <c r="C237" s="132"/>
      <c r="D237" s="133"/>
      <c r="E237" s="132"/>
      <c r="F237" s="129"/>
      <c r="G237" s="132"/>
      <c r="H237" s="132"/>
    </row>
    <row r="238" spans="1:8">
      <c r="A238" s="127"/>
      <c r="B238" s="128"/>
      <c r="C238" s="132"/>
      <c r="D238" s="133"/>
      <c r="E238" s="132"/>
      <c r="F238" s="129"/>
      <c r="G238" s="132"/>
      <c r="H238" s="132"/>
    </row>
    <row r="239" spans="1:8">
      <c r="A239" s="127"/>
      <c r="B239" s="128"/>
      <c r="C239" s="132"/>
      <c r="D239" s="133"/>
      <c r="E239" s="132"/>
      <c r="F239" s="129"/>
      <c r="G239" s="132"/>
      <c r="H239" s="132"/>
    </row>
    <row r="240" spans="1:8">
      <c r="A240" s="127"/>
      <c r="B240" s="128"/>
      <c r="C240" s="132"/>
      <c r="D240" s="133"/>
      <c r="E240" s="132"/>
      <c r="F240" s="129"/>
      <c r="G240" s="132"/>
      <c r="H240" s="132"/>
    </row>
    <row r="241" spans="1:8">
      <c r="A241" s="127"/>
      <c r="B241" s="128"/>
      <c r="C241" s="132"/>
      <c r="D241" s="133"/>
      <c r="E241" s="132"/>
      <c r="F241" s="129"/>
      <c r="G241" s="132"/>
      <c r="H241" s="132"/>
    </row>
    <row r="242" spans="1:8">
      <c r="A242" s="127"/>
      <c r="B242" s="128"/>
      <c r="C242" s="132"/>
      <c r="D242" s="133"/>
      <c r="E242" s="132"/>
      <c r="F242" s="129"/>
      <c r="G242" s="132"/>
      <c r="H242" s="132"/>
    </row>
    <row r="243" spans="1:8">
      <c r="A243" s="127"/>
      <c r="B243" s="128"/>
      <c r="C243" s="132"/>
      <c r="D243" s="133"/>
      <c r="E243" s="132"/>
      <c r="F243" s="129"/>
      <c r="G243" s="132"/>
      <c r="H243" s="132"/>
    </row>
    <row r="244" spans="1:8">
      <c r="A244" s="127"/>
      <c r="B244" s="128"/>
      <c r="C244" s="132"/>
      <c r="D244" s="133"/>
      <c r="E244" s="132"/>
      <c r="F244" s="129"/>
      <c r="G244" s="132"/>
      <c r="H244" s="132"/>
    </row>
    <row r="245" spans="1:8">
      <c r="A245" s="127"/>
      <c r="B245" s="128"/>
      <c r="C245" s="132"/>
      <c r="D245" s="133"/>
      <c r="E245" s="132"/>
      <c r="F245" s="129"/>
      <c r="G245" s="132"/>
      <c r="H245" s="132"/>
    </row>
    <row r="246" spans="1:8">
      <c r="A246" s="127"/>
      <c r="B246" s="128"/>
      <c r="C246" s="132"/>
      <c r="D246" s="133"/>
      <c r="E246" s="132"/>
      <c r="F246" s="129"/>
      <c r="G246" s="132"/>
      <c r="H246" s="132"/>
    </row>
    <row r="247" spans="1:8">
      <c r="A247" s="127"/>
      <c r="B247" s="128"/>
      <c r="C247" s="132"/>
      <c r="D247" s="133"/>
      <c r="E247" s="132"/>
      <c r="F247" s="129"/>
      <c r="G247" s="132"/>
      <c r="H247" s="132"/>
    </row>
    <row r="248" spans="1:8">
      <c r="A248" s="127"/>
      <c r="B248" s="128"/>
      <c r="C248" s="132"/>
      <c r="D248" s="133"/>
      <c r="E248" s="132"/>
      <c r="F248" s="129"/>
      <c r="G248" s="132"/>
      <c r="H248" s="132"/>
    </row>
    <row r="249" spans="1:8">
      <c r="A249" s="127"/>
      <c r="B249" s="128"/>
      <c r="C249" s="132"/>
      <c r="D249" s="133"/>
      <c r="E249" s="132"/>
      <c r="F249" s="129"/>
      <c r="G249" s="132"/>
      <c r="H249" s="132"/>
    </row>
    <row r="250" spans="1:8">
      <c r="A250" s="127"/>
      <c r="B250" s="128"/>
      <c r="C250" s="132"/>
      <c r="D250" s="133"/>
      <c r="E250" s="132"/>
      <c r="F250" s="129"/>
      <c r="G250" s="132"/>
      <c r="H250" s="132"/>
    </row>
    <row r="251" spans="1:8">
      <c r="A251" s="127"/>
      <c r="B251" s="128"/>
      <c r="C251" s="132"/>
      <c r="D251" s="133"/>
      <c r="E251" s="132"/>
      <c r="F251" s="129"/>
      <c r="G251" s="132"/>
      <c r="H251" s="132"/>
    </row>
    <row r="252" spans="1:8">
      <c r="A252" s="127"/>
      <c r="B252" s="128"/>
      <c r="C252" s="132"/>
      <c r="D252" s="133"/>
      <c r="E252" s="132"/>
      <c r="F252" s="129"/>
      <c r="G252" s="132"/>
      <c r="H252" s="132"/>
    </row>
    <row r="253" spans="1:8">
      <c r="A253" s="127"/>
      <c r="B253" s="128"/>
      <c r="C253" s="132"/>
      <c r="D253" s="133"/>
      <c r="E253" s="132"/>
      <c r="F253" s="129"/>
      <c r="G253" s="132"/>
      <c r="H253" s="132"/>
    </row>
    <row r="254" spans="1:8">
      <c r="A254" s="127"/>
      <c r="B254" s="128"/>
      <c r="C254" s="132"/>
      <c r="D254" s="133"/>
      <c r="E254" s="132"/>
      <c r="F254" s="129"/>
      <c r="G254" s="132"/>
      <c r="H254" s="132"/>
    </row>
    <row r="255" spans="1:8">
      <c r="A255" s="127"/>
      <c r="B255" s="128"/>
      <c r="C255" s="132"/>
      <c r="D255" s="133"/>
      <c r="E255" s="132"/>
      <c r="F255" s="129"/>
      <c r="G255" s="132"/>
      <c r="H255" s="132"/>
    </row>
    <row r="256" spans="1:8">
      <c r="A256" s="127"/>
      <c r="B256" s="128"/>
      <c r="C256" s="132"/>
      <c r="D256" s="133"/>
      <c r="E256" s="132"/>
      <c r="F256" s="129"/>
      <c r="G256" s="132"/>
      <c r="H256" s="132"/>
    </row>
    <row r="257" spans="1:8">
      <c r="A257" s="127"/>
      <c r="B257" s="128"/>
      <c r="C257" s="132"/>
      <c r="D257" s="133"/>
      <c r="E257" s="132"/>
      <c r="F257" s="129"/>
      <c r="G257" s="132"/>
      <c r="H257" s="132"/>
    </row>
    <row r="258" spans="1:8">
      <c r="A258" s="127"/>
      <c r="B258" s="128"/>
      <c r="C258" s="132"/>
      <c r="D258" s="133"/>
      <c r="E258" s="132"/>
      <c r="F258" s="129"/>
      <c r="G258" s="132"/>
      <c r="H258" s="132"/>
    </row>
    <row r="259" spans="1:8">
      <c r="A259" s="127"/>
      <c r="B259" s="128"/>
      <c r="C259" s="132"/>
      <c r="D259" s="133"/>
      <c r="E259" s="132"/>
      <c r="F259" s="129"/>
      <c r="G259" s="132"/>
      <c r="H259" s="132"/>
    </row>
    <row r="260" spans="1:8">
      <c r="A260" s="127"/>
      <c r="B260" s="128"/>
      <c r="C260" s="132"/>
      <c r="D260" s="133"/>
      <c r="E260" s="132"/>
      <c r="F260" s="129"/>
      <c r="G260" s="132"/>
      <c r="H260" s="132"/>
    </row>
    <row r="261" spans="1:8">
      <c r="A261" s="127"/>
      <c r="B261" s="128"/>
      <c r="C261" s="132"/>
      <c r="D261" s="133"/>
      <c r="E261" s="132"/>
      <c r="F261" s="129"/>
      <c r="G261" s="132"/>
      <c r="H261" s="132"/>
    </row>
    <row r="262" spans="1:8">
      <c r="A262" s="127"/>
      <c r="B262" s="128"/>
      <c r="C262" s="132"/>
      <c r="D262" s="133"/>
      <c r="E262" s="132"/>
      <c r="F262" s="129"/>
      <c r="G262" s="132"/>
      <c r="H262" s="132"/>
    </row>
    <row r="263" spans="1:8">
      <c r="A263" s="127"/>
      <c r="B263" s="128"/>
      <c r="C263" s="132"/>
      <c r="D263" s="133"/>
      <c r="E263" s="132"/>
      <c r="F263" s="129"/>
      <c r="G263" s="132"/>
      <c r="H263" s="132"/>
    </row>
    <row r="264" spans="1:8">
      <c r="A264" s="127"/>
      <c r="B264" s="128"/>
      <c r="C264" s="132"/>
      <c r="D264" s="133"/>
      <c r="E264" s="132"/>
      <c r="F264" s="129"/>
      <c r="G264" s="132"/>
      <c r="H264" s="132"/>
    </row>
    <row r="265" spans="1:8">
      <c r="A265" s="127"/>
      <c r="B265" s="128"/>
      <c r="C265" s="132"/>
      <c r="D265" s="133"/>
      <c r="E265" s="132"/>
      <c r="F265" s="129"/>
      <c r="G265" s="132"/>
      <c r="H265" s="132"/>
    </row>
    <row r="266" spans="1:8">
      <c r="A266" s="127"/>
      <c r="B266" s="128"/>
      <c r="C266" s="132"/>
      <c r="D266" s="133"/>
      <c r="E266" s="132"/>
      <c r="F266" s="129"/>
      <c r="G266" s="132"/>
      <c r="H266" s="132"/>
    </row>
    <row r="267" spans="1:8">
      <c r="A267" s="127"/>
      <c r="B267" s="128"/>
      <c r="C267" s="132"/>
      <c r="D267" s="133"/>
      <c r="E267" s="132"/>
      <c r="F267" s="129"/>
      <c r="G267" s="132"/>
      <c r="H267" s="132"/>
    </row>
    <row r="268" spans="1:8">
      <c r="A268" s="127"/>
      <c r="B268" s="128"/>
      <c r="C268" s="132"/>
      <c r="D268" s="133"/>
      <c r="E268" s="132"/>
      <c r="F268" s="129"/>
      <c r="G268" s="132"/>
      <c r="H268" s="132"/>
    </row>
    <row r="269" spans="1:8">
      <c r="A269" s="127"/>
      <c r="B269" s="128"/>
      <c r="C269" s="132"/>
      <c r="D269" s="133"/>
      <c r="E269" s="132"/>
      <c r="F269" s="129"/>
      <c r="G269" s="132"/>
      <c r="H269" s="132"/>
    </row>
    <row r="270" spans="1:8">
      <c r="A270" s="127"/>
      <c r="B270" s="128"/>
      <c r="C270" s="132"/>
      <c r="D270" s="133"/>
      <c r="E270" s="132"/>
      <c r="F270" s="129"/>
      <c r="G270" s="132"/>
      <c r="H270" s="132"/>
    </row>
    <row r="271" spans="1:8">
      <c r="A271" s="127"/>
      <c r="B271" s="128"/>
      <c r="C271" s="132"/>
      <c r="D271" s="133"/>
      <c r="E271" s="132"/>
      <c r="F271" s="129"/>
      <c r="G271" s="132"/>
      <c r="H271" s="132"/>
    </row>
    <row r="272" spans="1:8">
      <c r="A272" s="127"/>
      <c r="B272" s="128"/>
      <c r="C272" s="132"/>
      <c r="D272" s="133"/>
      <c r="E272" s="132"/>
      <c r="F272" s="129"/>
      <c r="G272" s="132"/>
      <c r="H272" s="132"/>
    </row>
    <row r="273" spans="1:8">
      <c r="A273" s="127"/>
      <c r="B273" s="128"/>
      <c r="C273" s="132"/>
      <c r="D273" s="133"/>
      <c r="E273" s="132"/>
      <c r="F273" s="129"/>
      <c r="G273" s="132"/>
      <c r="H273" s="132"/>
    </row>
    <row r="274" spans="1:8">
      <c r="A274" s="127"/>
      <c r="B274" s="128"/>
      <c r="C274" s="132"/>
      <c r="D274" s="133"/>
      <c r="E274" s="132"/>
      <c r="F274" s="129"/>
      <c r="G274" s="132"/>
      <c r="H274" s="132"/>
    </row>
    <row r="275" spans="1:8">
      <c r="A275" s="127"/>
      <c r="B275" s="128"/>
      <c r="C275" s="132"/>
      <c r="D275" s="133"/>
      <c r="E275" s="132"/>
      <c r="F275" s="129"/>
      <c r="G275" s="132"/>
      <c r="H275" s="132"/>
    </row>
    <row r="276" spans="1:8">
      <c r="A276" s="127"/>
      <c r="B276" s="128"/>
      <c r="C276" s="132"/>
      <c r="D276" s="133"/>
      <c r="E276" s="132"/>
      <c r="F276" s="129"/>
      <c r="G276" s="132"/>
      <c r="H276" s="132"/>
    </row>
    <row r="277" spans="1:8">
      <c r="A277" s="127"/>
      <c r="B277" s="128"/>
      <c r="C277" s="132"/>
      <c r="D277" s="133"/>
      <c r="E277" s="132"/>
      <c r="F277" s="129"/>
      <c r="G277" s="132"/>
      <c r="H277" s="132"/>
    </row>
    <row r="278" spans="1:8">
      <c r="A278" s="127"/>
      <c r="B278" s="128"/>
      <c r="C278" s="132"/>
      <c r="D278" s="133"/>
      <c r="E278" s="132"/>
      <c r="F278" s="129"/>
      <c r="G278" s="132"/>
      <c r="H278" s="132"/>
    </row>
    <row r="279" spans="1:8">
      <c r="A279" s="127"/>
      <c r="B279" s="128"/>
      <c r="C279" s="132"/>
      <c r="D279" s="133"/>
      <c r="E279" s="132"/>
      <c r="F279" s="129"/>
      <c r="G279" s="132"/>
      <c r="H279" s="132"/>
    </row>
    <row r="280" spans="1:8">
      <c r="A280" s="127"/>
      <c r="B280" s="128"/>
      <c r="C280" s="132"/>
      <c r="D280" s="133"/>
      <c r="E280" s="132"/>
      <c r="F280" s="129"/>
      <c r="G280" s="132"/>
      <c r="H280" s="132"/>
    </row>
    <row r="281" spans="1:8">
      <c r="A281" s="127"/>
      <c r="B281" s="128"/>
      <c r="C281" s="132"/>
      <c r="D281" s="133"/>
      <c r="E281" s="132"/>
      <c r="F281" s="129"/>
      <c r="G281" s="132"/>
      <c r="H281" s="132"/>
    </row>
    <row r="282" spans="1:8">
      <c r="A282" s="127"/>
      <c r="B282" s="128"/>
      <c r="C282" s="132"/>
      <c r="D282" s="133"/>
      <c r="E282" s="132"/>
      <c r="F282" s="129"/>
      <c r="G282" s="132"/>
      <c r="H282" s="132"/>
    </row>
    <row r="283" spans="1:8">
      <c r="A283" s="127"/>
      <c r="B283" s="128"/>
      <c r="C283" s="132"/>
      <c r="D283" s="133"/>
      <c r="E283" s="132"/>
      <c r="F283" s="129"/>
      <c r="G283" s="132"/>
      <c r="H283" s="132"/>
    </row>
    <row r="284" spans="1:8">
      <c r="A284" s="127"/>
      <c r="B284" s="128"/>
      <c r="C284" s="132"/>
      <c r="D284" s="133"/>
      <c r="E284" s="132"/>
      <c r="F284" s="129"/>
      <c r="G284" s="132"/>
      <c r="H284" s="132"/>
    </row>
    <row r="285" spans="1:8">
      <c r="A285" s="127"/>
      <c r="B285" s="128"/>
      <c r="C285" s="132"/>
      <c r="D285" s="133"/>
      <c r="E285" s="132"/>
      <c r="F285" s="129"/>
      <c r="G285" s="132"/>
      <c r="H285" s="132"/>
    </row>
    <row r="286" spans="1:8">
      <c r="A286" s="127"/>
      <c r="B286" s="128"/>
      <c r="C286" s="132"/>
      <c r="D286" s="133"/>
      <c r="E286" s="132"/>
      <c r="F286" s="129"/>
      <c r="G286" s="132"/>
      <c r="H286" s="132"/>
    </row>
    <row r="287" spans="1:8">
      <c r="A287" s="127"/>
      <c r="B287" s="128"/>
      <c r="C287" s="132"/>
      <c r="D287" s="133"/>
      <c r="E287" s="132"/>
      <c r="F287" s="129"/>
      <c r="G287" s="132"/>
      <c r="H287" s="132"/>
    </row>
    <row r="288" spans="1:8">
      <c r="A288" s="127"/>
      <c r="B288" s="128"/>
      <c r="C288" s="132"/>
      <c r="D288" s="133"/>
      <c r="E288" s="132"/>
      <c r="F288" s="129"/>
      <c r="G288" s="132"/>
      <c r="H288" s="132"/>
    </row>
    <row r="289" spans="1:8">
      <c r="A289" s="127"/>
      <c r="B289" s="128"/>
      <c r="C289" s="132"/>
      <c r="D289" s="133"/>
      <c r="E289" s="132"/>
      <c r="F289" s="129"/>
      <c r="G289" s="132"/>
      <c r="H289" s="132"/>
    </row>
    <row r="290" spans="1:8">
      <c r="A290" s="127"/>
      <c r="B290" s="128"/>
      <c r="C290" s="132"/>
      <c r="D290" s="133"/>
      <c r="E290" s="132"/>
      <c r="F290" s="129"/>
      <c r="G290" s="132"/>
      <c r="H290" s="132"/>
    </row>
    <row r="291" spans="1:8">
      <c r="A291" s="127"/>
      <c r="B291" s="128"/>
      <c r="C291" s="132"/>
      <c r="D291" s="133"/>
      <c r="E291" s="132"/>
      <c r="F291" s="129"/>
      <c r="G291" s="132"/>
      <c r="H291" s="132"/>
    </row>
    <row r="292" spans="1:8">
      <c r="A292" s="127"/>
      <c r="B292" s="128"/>
      <c r="C292" s="132"/>
      <c r="D292" s="133"/>
      <c r="E292" s="132"/>
      <c r="F292" s="129"/>
      <c r="G292" s="132"/>
      <c r="H292" s="132"/>
    </row>
    <row r="293" spans="1:8">
      <c r="A293" s="127"/>
      <c r="B293" s="128"/>
      <c r="C293" s="132"/>
      <c r="D293" s="133"/>
      <c r="E293" s="132"/>
      <c r="F293" s="129"/>
      <c r="G293" s="132"/>
      <c r="H293" s="132"/>
    </row>
    <row r="294" spans="1:8">
      <c r="A294" s="127"/>
      <c r="B294" s="128"/>
      <c r="C294" s="132"/>
      <c r="D294" s="133"/>
      <c r="E294" s="132"/>
      <c r="F294" s="129"/>
      <c r="G294" s="132"/>
      <c r="H294" s="132"/>
    </row>
    <row r="295" spans="1:8">
      <c r="A295" s="127"/>
      <c r="B295" s="128"/>
      <c r="C295" s="132"/>
      <c r="D295" s="133"/>
      <c r="E295" s="132"/>
      <c r="F295" s="129"/>
      <c r="G295" s="132"/>
      <c r="H295" s="132"/>
    </row>
    <row r="296" spans="1:8">
      <c r="A296" s="127"/>
      <c r="B296" s="128"/>
      <c r="C296" s="132"/>
      <c r="D296" s="133"/>
      <c r="E296" s="132"/>
      <c r="F296" s="129"/>
      <c r="G296" s="132"/>
      <c r="H296" s="132"/>
    </row>
    <row r="297" spans="1:8">
      <c r="A297" s="127"/>
      <c r="B297" s="128"/>
      <c r="C297" s="132"/>
      <c r="D297" s="133"/>
      <c r="E297" s="132"/>
      <c r="F297" s="129"/>
      <c r="G297" s="132"/>
      <c r="H297" s="132"/>
    </row>
    <row r="298" spans="1:8">
      <c r="A298" s="127"/>
      <c r="B298" s="128"/>
      <c r="C298" s="132"/>
      <c r="D298" s="133"/>
      <c r="E298" s="132"/>
      <c r="F298" s="129"/>
      <c r="G298" s="132"/>
      <c r="H298" s="132"/>
    </row>
    <row r="299" spans="1:8">
      <c r="A299" s="127"/>
      <c r="B299" s="128"/>
      <c r="C299" s="132"/>
      <c r="D299" s="133"/>
      <c r="E299" s="132"/>
      <c r="F299" s="129"/>
      <c r="G299" s="132"/>
      <c r="H299" s="132"/>
    </row>
    <row r="300" spans="1:8">
      <c r="A300" s="127"/>
      <c r="B300" s="128"/>
      <c r="C300" s="132"/>
      <c r="D300" s="133"/>
      <c r="E300" s="132"/>
      <c r="F300" s="129"/>
      <c r="G300" s="132"/>
      <c r="H300" s="132"/>
    </row>
    <row r="301" spans="1:8">
      <c r="A301" s="127"/>
      <c r="B301" s="128"/>
      <c r="C301" s="132"/>
      <c r="D301" s="133"/>
      <c r="E301" s="132"/>
      <c r="F301" s="129"/>
      <c r="G301" s="132"/>
      <c r="H301" s="132"/>
    </row>
    <row r="302" spans="1:8">
      <c r="A302" s="127"/>
      <c r="B302" s="128"/>
      <c r="C302" s="132"/>
      <c r="D302" s="133"/>
      <c r="E302" s="132"/>
      <c r="F302" s="129"/>
      <c r="G302" s="132"/>
      <c r="H302" s="132"/>
    </row>
    <row r="303" spans="1:8">
      <c r="A303" s="127"/>
      <c r="B303" s="128"/>
      <c r="C303" s="132"/>
      <c r="D303" s="133"/>
      <c r="E303" s="132"/>
      <c r="F303" s="129"/>
      <c r="G303" s="132"/>
      <c r="H303" s="132"/>
    </row>
    <row r="304" spans="1:8">
      <c r="A304" s="127"/>
      <c r="B304" s="128"/>
      <c r="C304" s="132"/>
      <c r="D304" s="133"/>
      <c r="E304" s="132"/>
      <c r="F304" s="129"/>
      <c r="G304" s="132"/>
      <c r="H304" s="132"/>
    </row>
    <row r="305" spans="1:8">
      <c r="A305" s="127"/>
      <c r="B305" s="128"/>
      <c r="C305" s="132"/>
      <c r="D305" s="133"/>
      <c r="E305" s="132"/>
      <c r="F305" s="129"/>
      <c r="G305" s="132"/>
      <c r="H305" s="132"/>
    </row>
    <row r="306" spans="1:8">
      <c r="A306" s="127"/>
      <c r="B306" s="128"/>
      <c r="C306" s="132"/>
      <c r="D306" s="133"/>
      <c r="E306" s="132"/>
      <c r="F306" s="129"/>
      <c r="G306" s="132"/>
      <c r="H306" s="132"/>
    </row>
    <row r="307" spans="1:8">
      <c r="A307" s="127"/>
      <c r="B307" s="128"/>
      <c r="C307" s="132"/>
      <c r="D307" s="133"/>
      <c r="E307" s="132"/>
      <c r="F307" s="129"/>
      <c r="G307" s="132"/>
      <c r="H307" s="132"/>
    </row>
    <row r="308" spans="1:8">
      <c r="A308" s="127"/>
      <c r="B308" s="128"/>
      <c r="C308" s="132"/>
      <c r="D308" s="133"/>
      <c r="E308" s="132"/>
      <c r="F308" s="129"/>
      <c r="G308" s="132"/>
      <c r="H308" s="132"/>
    </row>
    <row r="309" spans="1:8">
      <c r="A309" s="127"/>
      <c r="B309" s="128"/>
      <c r="C309" s="132"/>
      <c r="D309" s="133"/>
      <c r="E309" s="132"/>
      <c r="F309" s="129"/>
      <c r="G309" s="132"/>
      <c r="H309" s="132"/>
    </row>
    <row r="310" spans="1:8">
      <c r="A310" s="127"/>
      <c r="B310" s="128"/>
      <c r="C310" s="132"/>
      <c r="D310" s="133"/>
      <c r="E310" s="132"/>
      <c r="F310" s="129"/>
      <c r="G310" s="132"/>
      <c r="H310" s="132"/>
    </row>
    <row r="311" spans="1:8">
      <c r="A311" s="127"/>
      <c r="B311" s="128"/>
      <c r="C311" s="132"/>
      <c r="D311" s="133"/>
      <c r="E311" s="132"/>
      <c r="F311" s="129"/>
      <c r="G311" s="132"/>
      <c r="H311" s="132"/>
    </row>
    <row r="312" spans="1:8">
      <c r="A312" s="127"/>
      <c r="B312" s="128"/>
      <c r="C312" s="132"/>
      <c r="D312" s="133"/>
      <c r="E312" s="132"/>
      <c r="F312" s="129"/>
      <c r="G312" s="132"/>
      <c r="H312" s="132"/>
    </row>
    <row r="313" spans="1:8">
      <c r="A313" s="127"/>
      <c r="B313" s="128"/>
      <c r="C313" s="132"/>
      <c r="D313" s="133"/>
      <c r="E313" s="132"/>
      <c r="F313" s="129"/>
      <c r="G313" s="132"/>
      <c r="H313" s="132"/>
    </row>
    <row r="314" spans="1:8">
      <c r="A314" s="127"/>
      <c r="B314" s="128"/>
      <c r="C314" s="132"/>
      <c r="D314" s="133"/>
      <c r="E314" s="132"/>
      <c r="F314" s="129"/>
      <c r="G314" s="132"/>
      <c r="H314" s="132"/>
    </row>
    <row r="315" spans="1:8">
      <c r="A315" s="127"/>
      <c r="B315" s="128"/>
      <c r="C315" s="132"/>
      <c r="D315" s="133"/>
      <c r="E315" s="132"/>
      <c r="F315" s="129"/>
      <c r="G315" s="132"/>
      <c r="H315" s="132"/>
    </row>
    <row r="316" spans="1:8">
      <c r="A316" s="127"/>
      <c r="B316" s="128"/>
      <c r="C316" s="132"/>
      <c r="D316" s="133"/>
      <c r="E316" s="132"/>
      <c r="F316" s="129"/>
      <c r="G316" s="132"/>
      <c r="H316" s="132"/>
    </row>
    <row r="317" spans="1:8">
      <c r="A317" s="127"/>
      <c r="B317" s="128"/>
      <c r="C317" s="132"/>
      <c r="D317" s="133"/>
      <c r="E317" s="132"/>
      <c r="F317" s="129"/>
      <c r="G317" s="132"/>
      <c r="H317" s="132"/>
    </row>
    <row r="318" spans="1:8">
      <c r="A318" s="127"/>
      <c r="B318" s="128"/>
      <c r="C318" s="132"/>
      <c r="D318" s="133"/>
      <c r="E318" s="132"/>
      <c r="F318" s="129"/>
      <c r="G318" s="132"/>
      <c r="H318" s="132"/>
    </row>
    <row r="319" spans="1:8">
      <c r="A319" s="127"/>
      <c r="B319" s="128"/>
      <c r="C319" s="132"/>
      <c r="D319" s="133"/>
      <c r="E319" s="132"/>
      <c r="F319" s="129"/>
      <c r="G319" s="132"/>
      <c r="H319" s="132"/>
    </row>
    <row r="320" spans="1:8">
      <c r="A320" s="127"/>
      <c r="B320" s="128"/>
      <c r="C320" s="132"/>
      <c r="D320" s="133"/>
      <c r="E320" s="132"/>
      <c r="F320" s="129"/>
      <c r="G320" s="132"/>
      <c r="H320" s="132"/>
    </row>
    <row r="321" spans="1:8">
      <c r="A321" s="127"/>
      <c r="B321" s="128"/>
      <c r="C321" s="132"/>
      <c r="D321" s="133"/>
      <c r="E321" s="132"/>
      <c r="F321" s="129"/>
      <c r="G321" s="132"/>
      <c r="H321" s="132"/>
    </row>
    <row r="322" spans="1:8">
      <c r="A322" s="127"/>
      <c r="B322" s="128"/>
      <c r="C322" s="132"/>
      <c r="D322" s="133"/>
      <c r="E322" s="132"/>
      <c r="F322" s="129"/>
      <c r="G322" s="132"/>
      <c r="H322" s="132"/>
    </row>
    <row r="323" spans="1:8">
      <c r="A323" s="127"/>
      <c r="B323" s="128"/>
      <c r="C323" s="132"/>
      <c r="D323" s="133"/>
      <c r="E323" s="132"/>
      <c r="F323" s="129"/>
      <c r="G323" s="132"/>
      <c r="H323" s="132"/>
    </row>
    <row r="324" spans="1:8">
      <c r="A324" s="127"/>
      <c r="B324" s="128"/>
      <c r="C324" s="132"/>
      <c r="D324" s="133"/>
      <c r="E324" s="132"/>
      <c r="F324" s="129"/>
      <c r="G324" s="132"/>
      <c r="H324" s="132"/>
    </row>
    <row r="325" spans="1:8">
      <c r="A325" s="127"/>
      <c r="B325" s="128"/>
      <c r="C325" s="132"/>
      <c r="D325" s="133"/>
      <c r="E325" s="132"/>
      <c r="F325" s="129"/>
      <c r="G325" s="132"/>
      <c r="H325" s="132"/>
    </row>
    <row r="326" spans="1:8">
      <c r="A326" s="127"/>
      <c r="B326" s="128"/>
      <c r="C326" s="132"/>
      <c r="D326" s="133"/>
      <c r="E326" s="132"/>
      <c r="F326" s="129"/>
      <c r="G326" s="132"/>
      <c r="H326" s="132"/>
    </row>
    <row r="327" spans="1:8">
      <c r="A327" s="127"/>
      <c r="B327" s="128"/>
      <c r="C327" s="132"/>
      <c r="D327" s="133"/>
      <c r="E327" s="132"/>
      <c r="F327" s="129"/>
      <c r="G327" s="132"/>
      <c r="H327" s="132"/>
    </row>
    <row r="328" spans="1:8">
      <c r="A328" s="127"/>
      <c r="B328" s="128"/>
      <c r="C328" s="132"/>
      <c r="D328" s="133"/>
      <c r="E328" s="132"/>
      <c r="F328" s="129"/>
      <c r="G328" s="132"/>
      <c r="H328" s="132"/>
    </row>
    <row r="329" spans="1:8">
      <c r="A329" s="127"/>
      <c r="B329" s="128"/>
      <c r="C329" s="132"/>
      <c r="D329" s="133"/>
      <c r="E329" s="132"/>
      <c r="F329" s="129"/>
      <c r="G329" s="132"/>
      <c r="H329" s="132"/>
    </row>
    <row r="330" spans="1:8">
      <c r="A330" s="127"/>
      <c r="B330" s="128"/>
      <c r="C330" s="132"/>
      <c r="D330" s="133"/>
      <c r="E330" s="132"/>
      <c r="F330" s="129"/>
      <c r="G330" s="132"/>
      <c r="H330" s="132"/>
    </row>
    <row r="331" spans="1:8">
      <c r="A331" s="127"/>
      <c r="B331" s="128"/>
      <c r="C331" s="132"/>
      <c r="D331" s="133"/>
      <c r="E331" s="132"/>
      <c r="F331" s="129"/>
      <c r="G331" s="132"/>
      <c r="H331" s="132"/>
    </row>
    <row r="332" spans="1:8">
      <c r="A332" s="127"/>
      <c r="B332" s="128"/>
      <c r="C332" s="132"/>
      <c r="D332" s="133"/>
      <c r="E332" s="132"/>
      <c r="F332" s="129"/>
      <c r="G332" s="132"/>
      <c r="H332" s="132"/>
    </row>
    <row r="333" spans="1:8">
      <c r="A333" s="127"/>
      <c r="B333" s="128"/>
      <c r="C333" s="132"/>
      <c r="D333" s="133"/>
      <c r="E333" s="132"/>
      <c r="F333" s="129"/>
      <c r="G333" s="132"/>
      <c r="H333" s="132"/>
    </row>
    <row r="334" spans="1:8">
      <c r="A334" s="127"/>
      <c r="B334" s="128"/>
      <c r="C334" s="132"/>
      <c r="D334" s="133"/>
      <c r="E334" s="132"/>
      <c r="F334" s="129"/>
      <c r="G334" s="132"/>
      <c r="H334" s="132"/>
    </row>
    <row r="335" spans="1:8">
      <c r="A335" s="127"/>
      <c r="B335" s="128"/>
      <c r="C335" s="132"/>
      <c r="D335" s="133"/>
      <c r="E335" s="132"/>
      <c r="F335" s="129"/>
      <c r="G335" s="132"/>
      <c r="H335" s="132"/>
    </row>
    <row r="336" spans="1:8">
      <c r="A336" s="127"/>
      <c r="B336" s="128"/>
      <c r="C336" s="132"/>
      <c r="D336" s="133"/>
      <c r="E336" s="132"/>
      <c r="F336" s="129"/>
      <c r="G336" s="132"/>
      <c r="H336" s="132"/>
    </row>
    <row r="337" spans="1:8">
      <c r="A337" s="127"/>
      <c r="B337" s="128"/>
      <c r="C337" s="132"/>
      <c r="D337" s="133"/>
      <c r="E337" s="132"/>
      <c r="F337" s="129"/>
      <c r="G337" s="132"/>
      <c r="H337" s="132"/>
    </row>
    <row r="338" spans="1:8">
      <c r="A338" s="127"/>
      <c r="B338" s="128"/>
      <c r="C338" s="132"/>
      <c r="D338" s="133"/>
      <c r="E338" s="132"/>
      <c r="F338" s="129"/>
      <c r="G338" s="132"/>
      <c r="H338" s="132"/>
    </row>
    <row r="339" spans="1:8">
      <c r="A339" s="127"/>
      <c r="B339" s="128"/>
      <c r="C339" s="132"/>
      <c r="D339" s="133"/>
      <c r="E339" s="132"/>
      <c r="F339" s="129"/>
      <c r="G339" s="132"/>
      <c r="H339" s="132"/>
    </row>
    <row r="340" spans="1:8">
      <c r="A340" s="127"/>
      <c r="B340" s="128"/>
      <c r="C340" s="132"/>
      <c r="D340" s="133"/>
      <c r="E340" s="132"/>
      <c r="F340" s="129"/>
      <c r="G340" s="132"/>
      <c r="H340" s="132"/>
    </row>
    <row r="341" spans="1:8">
      <c r="A341" s="127"/>
      <c r="B341" s="128"/>
      <c r="C341" s="132"/>
      <c r="D341" s="133"/>
      <c r="E341" s="132"/>
      <c r="F341" s="129"/>
      <c r="G341" s="132"/>
      <c r="H341" s="132"/>
    </row>
    <row r="342" spans="1:8">
      <c r="A342" s="127"/>
      <c r="B342" s="128"/>
      <c r="C342" s="132"/>
      <c r="D342" s="133"/>
      <c r="E342" s="132"/>
      <c r="F342" s="129"/>
      <c r="G342" s="132"/>
      <c r="H342" s="132"/>
    </row>
    <row r="343" spans="1:8">
      <c r="A343" s="127"/>
      <c r="B343" s="128"/>
      <c r="C343" s="132"/>
      <c r="D343" s="133"/>
      <c r="E343" s="132"/>
      <c r="F343" s="129"/>
      <c r="G343" s="132"/>
      <c r="H343" s="132"/>
    </row>
    <row r="344" spans="1:8">
      <c r="A344" s="127"/>
      <c r="B344" s="128"/>
      <c r="C344" s="132"/>
      <c r="D344" s="133"/>
      <c r="E344" s="132"/>
      <c r="F344" s="129"/>
      <c r="G344" s="132"/>
      <c r="H344" s="132"/>
    </row>
    <row r="345" spans="1:8">
      <c r="A345" s="127"/>
      <c r="B345" s="128"/>
      <c r="C345" s="132"/>
      <c r="D345" s="133"/>
      <c r="E345" s="132"/>
      <c r="F345" s="129"/>
      <c r="G345" s="132"/>
      <c r="H345" s="132"/>
    </row>
    <row r="346" spans="1:8">
      <c r="A346" s="127"/>
      <c r="B346" s="128"/>
      <c r="C346" s="132"/>
      <c r="D346" s="133"/>
      <c r="E346" s="132"/>
      <c r="F346" s="129"/>
      <c r="G346" s="132"/>
      <c r="H346" s="132"/>
    </row>
    <row r="347" spans="1:8">
      <c r="A347" s="127"/>
      <c r="B347" s="128"/>
      <c r="C347" s="132"/>
      <c r="D347" s="133"/>
      <c r="E347" s="132"/>
      <c r="F347" s="129"/>
      <c r="G347" s="132"/>
      <c r="H347" s="132"/>
    </row>
    <row r="348" spans="1:8">
      <c r="A348" s="127"/>
      <c r="B348" s="128"/>
      <c r="C348" s="132"/>
      <c r="D348" s="133"/>
      <c r="E348" s="132"/>
      <c r="F348" s="129"/>
      <c r="G348" s="132"/>
      <c r="H348" s="132"/>
    </row>
    <row r="349" spans="1:8">
      <c r="A349" s="127"/>
      <c r="B349" s="128"/>
      <c r="C349" s="132"/>
      <c r="D349" s="133"/>
      <c r="E349" s="132"/>
      <c r="F349" s="129"/>
      <c r="G349" s="132"/>
      <c r="H349" s="132"/>
    </row>
    <row r="350" spans="1:8">
      <c r="A350" s="127"/>
      <c r="B350" s="128"/>
      <c r="C350" s="132"/>
      <c r="D350" s="133"/>
      <c r="E350" s="132"/>
      <c r="F350" s="129"/>
      <c r="G350" s="132"/>
      <c r="H350" s="132"/>
    </row>
    <row r="351" spans="1:8">
      <c r="A351" s="127"/>
      <c r="B351" s="128"/>
      <c r="C351" s="132"/>
      <c r="D351" s="133"/>
      <c r="E351" s="132"/>
      <c r="F351" s="129"/>
      <c r="G351" s="132"/>
      <c r="H351" s="132"/>
    </row>
    <row r="352" spans="1:8">
      <c r="A352" s="127"/>
      <c r="B352" s="128"/>
      <c r="C352" s="132"/>
      <c r="D352" s="133"/>
      <c r="E352" s="132"/>
      <c r="F352" s="129"/>
      <c r="G352" s="132"/>
      <c r="H352" s="132"/>
    </row>
    <row r="353" spans="1:8">
      <c r="A353" s="127"/>
      <c r="B353" s="128"/>
      <c r="C353" s="132"/>
      <c r="D353" s="133"/>
      <c r="E353" s="132"/>
      <c r="F353" s="129"/>
      <c r="G353" s="132"/>
      <c r="H353" s="132"/>
    </row>
    <row r="354" spans="1:8">
      <c r="A354" s="127"/>
      <c r="B354" s="128"/>
      <c r="C354" s="132"/>
      <c r="D354" s="133"/>
      <c r="E354" s="132"/>
      <c r="F354" s="129"/>
      <c r="G354" s="132"/>
      <c r="H354" s="132"/>
    </row>
    <row r="355" spans="1:8">
      <c r="A355" s="127"/>
      <c r="B355" s="128"/>
      <c r="C355" s="132"/>
      <c r="D355" s="133"/>
      <c r="E355" s="132"/>
      <c r="F355" s="129"/>
      <c r="G355" s="132"/>
      <c r="H355" s="132"/>
    </row>
    <row r="356" spans="1:8">
      <c r="A356" s="127"/>
      <c r="B356" s="128"/>
      <c r="C356" s="132"/>
      <c r="D356" s="133"/>
      <c r="E356" s="132"/>
      <c r="F356" s="129"/>
      <c r="G356" s="132"/>
      <c r="H356" s="132"/>
    </row>
    <row r="357" spans="1:8">
      <c r="A357" s="127"/>
      <c r="B357" s="128"/>
      <c r="C357" s="132"/>
      <c r="D357" s="133"/>
      <c r="E357" s="132"/>
      <c r="F357" s="129"/>
      <c r="G357" s="132"/>
      <c r="H357" s="132"/>
    </row>
    <row r="358" spans="1:8">
      <c r="A358" s="127"/>
      <c r="B358" s="128"/>
      <c r="C358" s="132"/>
      <c r="D358" s="133"/>
      <c r="E358" s="132"/>
      <c r="F358" s="129"/>
      <c r="G358" s="132"/>
      <c r="H358" s="132"/>
    </row>
    <row r="359" spans="1:8">
      <c r="A359" s="127"/>
      <c r="B359" s="128"/>
      <c r="C359" s="132"/>
      <c r="D359" s="133"/>
      <c r="E359" s="132"/>
      <c r="F359" s="129"/>
      <c r="G359" s="132"/>
      <c r="H359" s="132"/>
    </row>
    <row r="360" spans="1:8">
      <c r="A360" s="127"/>
      <c r="B360" s="128"/>
      <c r="C360" s="132"/>
      <c r="D360" s="133"/>
      <c r="E360" s="132"/>
      <c r="F360" s="129"/>
      <c r="G360" s="132"/>
      <c r="H360" s="132"/>
    </row>
    <row r="361" spans="1:8">
      <c r="A361" s="127"/>
      <c r="B361" s="128"/>
      <c r="C361" s="132"/>
      <c r="D361" s="133"/>
      <c r="E361" s="132"/>
      <c r="F361" s="129"/>
      <c r="G361" s="132"/>
      <c r="H361" s="132"/>
    </row>
    <row r="362" spans="1:8">
      <c r="A362" s="127"/>
      <c r="B362" s="128"/>
      <c r="C362" s="132"/>
      <c r="D362" s="133"/>
      <c r="E362" s="132"/>
      <c r="F362" s="129"/>
      <c r="G362" s="132"/>
      <c r="H362" s="132"/>
    </row>
    <row r="363" spans="1:8">
      <c r="A363" s="127"/>
      <c r="B363" s="128"/>
      <c r="C363" s="132"/>
      <c r="D363" s="133"/>
      <c r="E363" s="132"/>
      <c r="F363" s="129"/>
      <c r="G363" s="132"/>
      <c r="H363" s="132"/>
    </row>
    <row r="364" spans="1:8">
      <c r="A364" s="127"/>
      <c r="B364" s="128"/>
      <c r="C364" s="132"/>
      <c r="D364" s="133"/>
      <c r="E364" s="132"/>
      <c r="F364" s="129"/>
      <c r="G364" s="132"/>
      <c r="H364" s="132"/>
    </row>
    <row r="365" spans="1:8">
      <c r="A365" s="127"/>
      <c r="B365" s="128"/>
      <c r="C365" s="132"/>
      <c r="D365" s="133"/>
      <c r="E365" s="132"/>
      <c r="F365" s="129"/>
      <c r="G365" s="132"/>
      <c r="H365" s="132"/>
    </row>
    <row r="366" spans="1:8">
      <c r="A366" s="127"/>
      <c r="B366" s="128"/>
      <c r="C366" s="132"/>
      <c r="D366" s="133"/>
      <c r="E366" s="132"/>
      <c r="F366" s="129"/>
      <c r="G366" s="132"/>
      <c r="H366" s="132"/>
    </row>
    <row r="367" spans="1:8">
      <c r="A367" s="127"/>
      <c r="B367" s="128"/>
      <c r="C367" s="132"/>
      <c r="D367" s="133"/>
      <c r="E367" s="132"/>
      <c r="F367" s="129"/>
      <c r="G367" s="132"/>
      <c r="H367" s="132"/>
    </row>
    <row r="368" spans="1:8">
      <c r="A368" s="127"/>
      <c r="B368" s="128"/>
      <c r="C368" s="132"/>
      <c r="D368" s="133"/>
      <c r="E368" s="132"/>
      <c r="F368" s="129"/>
      <c r="G368" s="132"/>
      <c r="H368" s="132"/>
    </row>
    <row r="369" spans="1:8">
      <c r="A369" s="127"/>
      <c r="B369" s="128"/>
      <c r="C369" s="132"/>
      <c r="D369" s="133"/>
      <c r="E369" s="132"/>
      <c r="F369" s="129"/>
      <c r="G369" s="132"/>
      <c r="H369" s="132"/>
    </row>
    <row r="370" spans="1:8">
      <c r="A370" s="127"/>
      <c r="B370" s="128"/>
      <c r="C370" s="132"/>
      <c r="D370" s="133"/>
      <c r="E370" s="132"/>
      <c r="F370" s="129"/>
      <c r="G370" s="132"/>
      <c r="H370" s="132"/>
    </row>
    <row r="371" spans="1:8">
      <c r="A371" s="127"/>
      <c r="B371" s="128"/>
      <c r="C371" s="132"/>
      <c r="D371" s="133"/>
      <c r="E371" s="132"/>
      <c r="F371" s="129"/>
      <c r="G371" s="132"/>
      <c r="H371" s="132"/>
    </row>
    <row r="372" spans="1:8">
      <c r="A372" s="127"/>
      <c r="B372" s="128"/>
      <c r="C372" s="132"/>
      <c r="D372" s="133"/>
      <c r="E372" s="132"/>
      <c r="F372" s="129"/>
      <c r="G372" s="132"/>
      <c r="H372" s="132"/>
    </row>
    <row r="373" spans="1:8">
      <c r="A373" s="127"/>
      <c r="B373" s="128"/>
      <c r="C373" s="132"/>
      <c r="D373" s="133"/>
      <c r="E373" s="132"/>
      <c r="F373" s="129"/>
      <c r="G373" s="132"/>
      <c r="H373" s="132"/>
    </row>
    <row r="374" spans="1:8">
      <c r="A374" s="127"/>
      <c r="B374" s="128"/>
      <c r="C374" s="132"/>
      <c r="D374" s="133"/>
      <c r="E374" s="132"/>
      <c r="F374" s="129"/>
      <c r="G374" s="132"/>
      <c r="H374" s="132"/>
    </row>
    <row r="375" spans="1:8">
      <c r="A375" s="127"/>
      <c r="B375" s="128"/>
      <c r="C375" s="132"/>
      <c r="D375" s="133"/>
      <c r="E375" s="132"/>
      <c r="F375" s="129"/>
      <c r="G375" s="132"/>
      <c r="H375" s="132"/>
    </row>
    <row r="376" spans="1:8">
      <c r="A376" s="127"/>
      <c r="B376" s="128"/>
      <c r="C376" s="132"/>
      <c r="D376" s="133"/>
      <c r="E376" s="132"/>
      <c r="F376" s="129"/>
      <c r="G376" s="132"/>
      <c r="H376" s="132"/>
    </row>
    <row r="377" spans="1:8">
      <c r="A377" s="127"/>
      <c r="B377" s="128"/>
      <c r="C377" s="132"/>
      <c r="D377" s="133"/>
      <c r="E377" s="132"/>
      <c r="F377" s="129"/>
      <c r="G377" s="132"/>
      <c r="H377" s="132"/>
    </row>
    <row r="378" spans="1:8">
      <c r="A378" s="127"/>
      <c r="B378" s="128"/>
      <c r="C378" s="132"/>
      <c r="D378" s="133"/>
      <c r="E378" s="132"/>
      <c r="F378" s="129"/>
      <c r="G378" s="132"/>
      <c r="H378" s="132"/>
    </row>
    <row r="379" spans="1:8">
      <c r="A379" s="127"/>
      <c r="B379" s="128"/>
      <c r="C379" s="132"/>
      <c r="D379" s="133"/>
      <c r="E379" s="132"/>
      <c r="F379" s="129"/>
      <c r="G379" s="132"/>
      <c r="H379" s="132"/>
    </row>
    <row r="380" spans="1:8">
      <c r="A380" s="127"/>
      <c r="B380" s="128"/>
      <c r="C380" s="132"/>
      <c r="D380" s="133"/>
      <c r="E380" s="132"/>
      <c r="F380" s="129"/>
      <c r="G380" s="132"/>
      <c r="H380" s="132"/>
    </row>
    <row r="381" spans="1:8">
      <c r="A381" s="127"/>
      <c r="B381" s="128"/>
      <c r="C381" s="132"/>
      <c r="D381" s="133"/>
      <c r="E381" s="132"/>
      <c r="F381" s="129"/>
      <c r="G381" s="132"/>
      <c r="H381" s="132"/>
    </row>
    <row r="382" spans="1:8">
      <c r="A382" s="127"/>
      <c r="B382" s="128"/>
      <c r="C382" s="132"/>
      <c r="D382" s="133"/>
      <c r="E382" s="132"/>
      <c r="F382" s="129"/>
      <c r="G382" s="132"/>
      <c r="H382" s="132"/>
    </row>
    <row r="383" spans="1:8">
      <c r="A383" s="127"/>
      <c r="B383" s="128"/>
      <c r="C383" s="132"/>
      <c r="D383" s="133"/>
      <c r="E383" s="132"/>
      <c r="F383" s="129"/>
      <c r="G383" s="132"/>
      <c r="H383" s="132"/>
    </row>
    <row r="384" spans="1:8">
      <c r="A384" s="127"/>
      <c r="B384" s="128"/>
      <c r="C384" s="132"/>
      <c r="D384" s="133"/>
      <c r="E384" s="132"/>
      <c r="F384" s="129"/>
      <c r="G384" s="132"/>
      <c r="H384" s="132"/>
    </row>
    <row r="385" spans="1:8">
      <c r="A385" s="127"/>
      <c r="B385" s="128"/>
      <c r="C385" s="132"/>
      <c r="D385" s="133"/>
      <c r="E385" s="132"/>
      <c r="F385" s="129"/>
      <c r="G385" s="132"/>
      <c r="H385" s="132"/>
    </row>
    <row r="386" spans="1:8">
      <c r="A386" s="127"/>
      <c r="B386" s="128"/>
      <c r="C386" s="132"/>
      <c r="D386" s="133"/>
      <c r="E386" s="132"/>
      <c r="F386" s="129"/>
      <c r="G386" s="132"/>
      <c r="H386" s="132"/>
    </row>
    <row r="387" spans="1:8">
      <c r="A387" s="127"/>
      <c r="B387" s="128"/>
      <c r="C387" s="132"/>
      <c r="D387" s="133"/>
      <c r="E387" s="132"/>
      <c r="F387" s="129"/>
      <c r="G387" s="132"/>
      <c r="H387" s="132"/>
    </row>
    <row r="388" spans="1:8">
      <c r="A388" s="127"/>
      <c r="B388" s="128"/>
      <c r="C388" s="132"/>
      <c r="D388" s="133"/>
      <c r="E388" s="132"/>
      <c r="F388" s="129"/>
      <c r="G388" s="132"/>
      <c r="H388" s="132"/>
    </row>
    <row r="389" spans="1:8">
      <c r="A389" s="127"/>
      <c r="B389" s="128"/>
      <c r="C389" s="132"/>
      <c r="D389" s="133"/>
      <c r="E389" s="132"/>
      <c r="F389" s="129"/>
      <c r="G389" s="132"/>
      <c r="H389" s="132"/>
    </row>
    <row r="390" spans="1:8">
      <c r="A390" s="127"/>
      <c r="B390" s="128"/>
      <c r="C390" s="132"/>
      <c r="D390" s="133"/>
      <c r="E390" s="132"/>
      <c r="F390" s="129"/>
      <c r="G390" s="132"/>
      <c r="H390" s="132"/>
    </row>
    <row r="391" spans="1:8">
      <c r="A391" s="127"/>
      <c r="B391" s="128"/>
      <c r="C391" s="132"/>
      <c r="D391" s="133"/>
      <c r="E391" s="132"/>
      <c r="F391" s="129"/>
      <c r="G391" s="132"/>
      <c r="H391" s="132"/>
    </row>
    <row r="392" spans="1:8">
      <c r="A392" s="127"/>
      <c r="B392" s="128"/>
      <c r="C392" s="132"/>
      <c r="D392" s="133"/>
      <c r="E392" s="132"/>
      <c r="F392" s="129"/>
      <c r="G392" s="132"/>
      <c r="H392" s="132"/>
    </row>
    <row r="393" spans="1:8">
      <c r="A393" s="127"/>
      <c r="B393" s="128"/>
      <c r="C393" s="132"/>
      <c r="D393" s="133"/>
      <c r="E393" s="132"/>
      <c r="F393" s="129"/>
      <c r="G393" s="132"/>
      <c r="H393" s="132"/>
    </row>
    <row r="394" spans="1:8">
      <c r="A394" s="127"/>
      <c r="B394" s="128"/>
      <c r="C394" s="132"/>
      <c r="D394" s="133"/>
      <c r="E394" s="132"/>
      <c r="F394" s="129"/>
      <c r="G394" s="132"/>
      <c r="H394" s="132"/>
    </row>
    <row r="395" spans="1:8">
      <c r="A395" s="127"/>
      <c r="B395" s="128"/>
      <c r="C395" s="132"/>
      <c r="D395" s="133"/>
      <c r="E395" s="132"/>
      <c r="F395" s="129"/>
      <c r="G395" s="132"/>
      <c r="H395" s="132"/>
    </row>
    <row r="396" spans="1:8">
      <c r="A396" s="127"/>
      <c r="B396" s="128"/>
      <c r="C396" s="132"/>
      <c r="D396" s="133"/>
      <c r="E396" s="132"/>
      <c r="F396" s="129"/>
      <c r="G396" s="132"/>
      <c r="H396" s="132"/>
    </row>
    <row r="397" spans="1:8">
      <c r="A397" s="127"/>
      <c r="B397" s="128"/>
      <c r="C397" s="132"/>
      <c r="D397" s="133"/>
      <c r="E397" s="132"/>
      <c r="F397" s="129"/>
      <c r="G397" s="132"/>
      <c r="H397" s="132"/>
    </row>
    <row r="398" spans="1:8">
      <c r="A398" s="127"/>
      <c r="B398" s="128"/>
      <c r="C398" s="132"/>
      <c r="D398" s="133"/>
      <c r="E398" s="132"/>
      <c r="F398" s="129"/>
      <c r="G398" s="132"/>
      <c r="H398" s="132"/>
    </row>
    <row r="399" spans="1:8">
      <c r="A399" s="127"/>
      <c r="B399" s="128"/>
      <c r="C399" s="132"/>
      <c r="D399" s="133"/>
      <c r="E399" s="132"/>
      <c r="F399" s="129"/>
      <c r="G399" s="132"/>
      <c r="H399" s="132"/>
    </row>
    <row r="400" spans="1:8">
      <c r="A400" s="127"/>
      <c r="B400" s="128"/>
      <c r="C400" s="132"/>
      <c r="D400" s="133"/>
      <c r="E400" s="132"/>
      <c r="F400" s="129"/>
      <c r="G400" s="132"/>
      <c r="H400" s="132"/>
    </row>
    <row r="401" spans="1:8">
      <c r="A401" s="127"/>
      <c r="B401" s="128"/>
      <c r="C401" s="132"/>
      <c r="D401" s="133"/>
      <c r="E401" s="132"/>
      <c r="F401" s="129"/>
      <c r="G401" s="132"/>
      <c r="H401" s="132"/>
    </row>
    <row r="402" spans="1:8">
      <c r="A402" s="127"/>
      <c r="B402" s="128"/>
      <c r="C402" s="132"/>
      <c r="D402" s="133"/>
      <c r="E402" s="132"/>
      <c r="F402" s="129"/>
      <c r="G402" s="132"/>
      <c r="H402" s="132"/>
    </row>
    <row r="403" spans="1:8">
      <c r="A403" s="127"/>
      <c r="B403" s="128"/>
      <c r="C403" s="132"/>
      <c r="D403" s="133"/>
      <c r="E403" s="132"/>
      <c r="F403" s="129"/>
      <c r="G403" s="132"/>
      <c r="H403" s="132"/>
    </row>
    <row r="404" spans="1:8">
      <c r="A404" s="127"/>
      <c r="B404" s="128"/>
      <c r="C404" s="132"/>
      <c r="D404" s="133"/>
      <c r="E404" s="132"/>
      <c r="F404" s="129"/>
      <c r="G404" s="132"/>
      <c r="H404" s="132"/>
    </row>
    <row r="405" spans="1:8">
      <c r="A405" s="127"/>
      <c r="B405" s="128"/>
      <c r="C405" s="132"/>
      <c r="D405" s="133"/>
      <c r="E405" s="132"/>
      <c r="F405" s="129"/>
      <c r="G405" s="132"/>
      <c r="H405" s="132"/>
    </row>
    <row r="406" spans="1:8">
      <c r="A406" s="127"/>
      <c r="B406" s="128"/>
      <c r="C406" s="132"/>
      <c r="D406" s="133"/>
      <c r="E406" s="132"/>
      <c r="F406" s="129"/>
      <c r="G406" s="132"/>
      <c r="H406" s="132"/>
    </row>
    <row r="407" spans="1:8">
      <c r="A407" s="127"/>
      <c r="B407" s="128"/>
      <c r="C407" s="132"/>
      <c r="D407" s="133"/>
      <c r="E407" s="132"/>
      <c r="F407" s="129"/>
      <c r="G407" s="132"/>
      <c r="H407" s="132"/>
    </row>
    <row r="408" spans="1:8">
      <c r="A408" s="127"/>
      <c r="B408" s="128"/>
      <c r="C408" s="132"/>
      <c r="D408" s="133"/>
      <c r="E408" s="132"/>
      <c r="F408" s="129"/>
      <c r="G408" s="132"/>
      <c r="H408" s="132"/>
    </row>
    <row r="409" spans="1:8">
      <c r="A409" s="127"/>
      <c r="B409" s="128"/>
      <c r="C409" s="132"/>
      <c r="D409" s="133"/>
      <c r="E409" s="132"/>
      <c r="F409" s="129"/>
      <c r="G409" s="132"/>
      <c r="H409" s="132"/>
    </row>
    <row r="410" spans="1:8">
      <c r="A410" s="127"/>
      <c r="B410" s="128"/>
      <c r="C410" s="132"/>
      <c r="D410" s="133"/>
      <c r="E410" s="132"/>
      <c r="F410" s="129"/>
      <c r="G410" s="132"/>
      <c r="H410" s="132"/>
    </row>
    <row r="411" spans="1:8">
      <c r="A411" s="127"/>
      <c r="B411" s="128"/>
      <c r="C411" s="132"/>
      <c r="D411" s="133"/>
      <c r="E411" s="132"/>
      <c r="F411" s="129"/>
      <c r="G411" s="132"/>
      <c r="H411" s="132"/>
    </row>
    <row r="412" spans="1:8">
      <c r="A412" s="127"/>
      <c r="B412" s="128"/>
      <c r="C412" s="132"/>
      <c r="D412" s="133"/>
      <c r="E412" s="132"/>
      <c r="F412" s="129"/>
      <c r="G412" s="132"/>
      <c r="H412" s="132"/>
    </row>
    <row r="413" spans="1:8">
      <c r="A413" s="127"/>
      <c r="B413" s="128"/>
      <c r="C413" s="132"/>
      <c r="D413" s="133"/>
      <c r="E413" s="132"/>
      <c r="F413" s="129"/>
      <c r="G413" s="132"/>
      <c r="H413" s="132"/>
    </row>
    <row r="414" spans="1:8">
      <c r="A414" s="127"/>
      <c r="B414" s="128"/>
      <c r="C414" s="132"/>
      <c r="D414" s="133"/>
      <c r="E414" s="132"/>
      <c r="F414" s="129"/>
      <c r="G414" s="132"/>
      <c r="H414" s="132"/>
    </row>
    <row r="415" spans="1:8">
      <c r="A415" s="127"/>
      <c r="B415" s="128"/>
      <c r="C415" s="132"/>
      <c r="D415" s="133"/>
      <c r="E415" s="132"/>
      <c r="F415" s="129"/>
      <c r="G415" s="132"/>
      <c r="H415" s="132"/>
    </row>
    <row r="416" spans="1:8">
      <c r="A416" s="127"/>
      <c r="B416" s="128"/>
      <c r="C416" s="132"/>
      <c r="D416" s="133"/>
      <c r="E416" s="132"/>
      <c r="F416" s="129"/>
      <c r="G416" s="132"/>
      <c r="H416" s="132"/>
    </row>
    <row r="417" spans="1:8">
      <c r="A417" s="127"/>
      <c r="B417" s="128"/>
      <c r="C417" s="132"/>
      <c r="D417" s="133"/>
      <c r="E417" s="132"/>
      <c r="F417" s="129"/>
      <c r="G417" s="132"/>
      <c r="H417" s="132"/>
    </row>
    <row r="418" spans="1:8">
      <c r="A418" s="127"/>
      <c r="B418" s="128"/>
      <c r="C418" s="132"/>
      <c r="D418" s="133"/>
      <c r="E418" s="132"/>
      <c r="F418" s="129"/>
      <c r="G418" s="132"/>
      <c r="H418" s="132"/>
    </row>
    <row r="419" spans="1:8">
      <c r="A419" s="127"/>
      <c r="B419" s="128"/>
      <c r="C419" s="132"/>
      <c r="D419" s="133"/>
      <c r="E419" s="132"/>
      <c r="F419" s="129"/>
      <c r="G419" s="132"/>
      <c r="H419" s="132"/>
    </row>
    <row r="420" spans="1:8">
      <c r="A420" s="127"/>
      <c r="B420" s="128"/>
      <c r="C420" s="132"/>
      <c r="D420" s="133"/>
      <c r="E420" s="132"/>
      <c r="F420" s="129"/>
      <c r="G420" s="132"/>
      <c r="H420" s="132"/>
    </row>
    <row r="421" spans="1:8">
      <c r="A421" s="127"/>
      <c r="B421" s="128"/>
      <c r="C421" s="132"/>
      <c r="D421" s="133"/>
      <c r="E421" s="132"/>
      <c r="F421" s="129"/>
      <c r="G421" s="132"/>
      <c r="H421" s="132"/>
    </row>
    <row r="422" spans="1:8">
      <c r="A422" s="127"/>
      <c r="B422" s="128"/>
      <c r="C422" s="132"/>
      <c r="D422" s="133"/>
      <c r="E422" s="132"/>
      <c r="F422" s="129"/>
      <c r="G422" s="132"/>
      <c r="H422" s="132"/>
    </row>
    <row r="423" spans="1:8">
      <c r="A423" s="127"/>
      <c r="B423" s="128"/>
      <c r="C423" s="132"/>
      <c r="D423" s="133"/>
      <c r="E423" s="132"/>
      <c r="F423" s="129"/>
      <c r="G423" s="132"/>
      <c r="H423" s="132"/>
    </row>
    <row r="424" spans="1:8">
      <c r="A424" s="127"/>
      <c r="B424" s="128"/>
      <c r="C424" s="132"/>
      <c r="D424" s="133"/>
      <c r="E424" s="132"/>
      <c r="F424" s="129"/>
      <c r="G424" s="132"/>
      <c r="H424" s="132"/>
    </row>
    <row r="425" spans="1:8">
      <c r="A425" s="127"/>
      <c r="B425" s="128"/>
      <c r="C425" s="132"/>
      <c r="D425" s="133"/>
      <c r="E425" s="132"/>
      <c r="F425" s="129"/>
      <c r="G425" s="132"/>
      <c r="H425" s="132"/>
    </row>
    <row r="426" spans="1:8">
      <c r="A426" s="127"/>
      <c r="B426" s="128"/>
      <c r="C426" s="132"/>
      <c r="D426" s="133"/>
      <c r="E426" s="132"/>
      <c r="F426" s="129"/>
      <c r="G426" s="132"/>
      <c r="H426" s="132"/>
    </row>
    <row r="427" spans="1:8">
      <c r="A427" s="127"/>
      <c r="B427" s="128"/>
      <c r="C427" s="132"/>
      <c r="D427" s="133"/>
      <c r="E427" s="132"/>
      <c r="F427" s="129"/>
      <c r="G427" s="132"/>
      <c r="H427" s="132"/>
    </row>
    <row r="428" spans="1:8">
      <c r="A428" s="127"/>
      <c r="B428" s="128"/>
      <c r="C428" s="132"/>
      <c r="D428" s="133"/>
      <c r="E428" s="132"/>
      <c r="F428" s="129"/>
      <c r="G428" s="132"/>
      <c r="H428" s="132"/>
    </row>
    <row r="429" spans="1:8">
      <c r="A429" s="127"/>
      <c r="B429" s="128"/>
      <c r="C429" s="132"/>
      <c r="D429" s="133"/>
      <c r="E429" s="132"/>
      <c r="F429" s="129"/>
      <c r="G429" s="132"/>
      <c r="H429" s="132"/>
    </row>
    <row r="430" spans="1:8">
      <c r="A430" s="127"/>
      <c r="B430" s="128"/>
      <c r="C430" s="132"/>
      <c r="D430" s="133"/>
      <c r="E430" s="132"/>
      <c r="F430" s="129"/>
      <c r="G430" s="132"/>
      <c r="H430" s="132"/>
    </row>
    <row r="431" spans="1:8">
      <c r="A431" s="127"/>
      <c r="B431" s="128"/>
      <c r="C431" s="132"/>
      <c r="D431" s="133"/>
      <c r="E431" s="132"/>
      <c r="F431" s="129"/>
      <c r="G431" s="132"/>
      <c r="H431" s="132"/>
    </row>
    <row r="432" spans="1:8">
      <c r="A432" s="127"/>
      <c r="B432" s="128"/>
      <c r="C432" s="132"/>
      <c r="D432" s="133"/>
      <c r="E432" s="132"/>
      <c r="F432" s="129"/>
      <c r="G432" s="132"/>
      <c r="H432" s="132"/>
    </row>
    <row r="433" spans="1:8">
      <c r="A433" s="127"/>
      <c r="B433" s="128"/>
      <c r="C433" s="132"/>
      <c r="D433" s="133"/>
      <c r="E433" s="132"/>
      <c r="F433" s="129"/>
      <c r="G433" s="132"/>
      <c r="H433" s="132"/>
    </row>
    <row r="434" spans="1:8">
      <c r="A434" s="127"/>
      <c r="B434" s="128"/>
      <c r="C434" s="132"/>
      <c r="D434" s="133"/>
      <c r="E434" s="132"/>
      <c r="F434" s="129"/>
      <c r="G434" s="132"/>
      <c r="H434" s="132"/>
    </row>
    <row r="435" spans="1:8">
      <c r="A435" s="127"/>
      <c r="B435" s="128"/>
      <c r="C435" s="132"/>
      <c r="D435" s="133"/>
      <c r="E435" s="132"/>
      <c r="F435" s="129"/>
      <c r="G435" s="132"/>
      <c r="H435" s="132"/>
    </row>
    <row r="436" spans="1:8">
      <c r="A436" s="127"/>
      <c r="B436" s="128"/>
      <c r="C436" s="132"/>
      <c r="D436" s="133"/>
      <c r="E436" s="132"/>
      <c r="F436" s="129"/>
      <c r="G436" s="132"/>
      <c r="H436" s="132"/>
    </row>
    <row r="437" spans="1:8">
      <c r="A437" s="127"/>
      <c r="B437" s="128"/>
      <c r="C437" s="132"/>
      <c r="D437" s="133"/>
      <c r="E437" s="132"/>
      <c r="F437" s="129"/>
      <c r="G437" s="132"/>
      <c r="H437" s="132"/>
    </row>
    <row r="438" spans="1:8">
      <c r="A438" s="127"/>
      <c r="B438" s="128"/>
      <c r="C438" s="132"/>
      <c r="D438" s="133"/>
      <c r="E438" s="132"/>
      <c r="F438" s="129"/>
      <c r="G438" s="132"/>
      <c r="H438" s="132"/>
    </row>
    <row r="439" spans="1:8">
      <c r="A439" s="127"/>
      <c r="B439" s="128"/>
      <c r="C439" s="132"/>
      <c r="D439" s="133"/>
      <c r="E439" s="132"/>
      <c r="F439" s="129"/>
      <c r="G439" s="132"/>
      <c r="H439" s="132"/>
    </row>
    <row r="440" spans="1:8">
      <c r="A440" s="127"/>
      <c r="B440" s="128"/>
      <c r="C440" s="132"/>
      <c r="D440" s="133"/>
      <c r="E440" s="132"/>
      <c r="F440" s="129"/>
      <c r="G440" s="132"/>
      <c r="H440" s="132"/>
    </row>
    <row r="441" spans="1:8">
      <c r="A441" s="127"/>
      <c r="B441" s="128"/>
      <c r="C441" s="132"/>
      <c r="D441" s="133"/>
      <c r="E441" s="132"/>
      <c r="F441" s="129"/>
      <c r="G441" s="132"/>
      <c r="H441" s="132"/>
    </row>
    <row r="442" spans="1:8">
      <c r="A442" s="127"/>
      <c r="B442" s="128"/>
      <c r="C442" s="132"/>
      <c r="D442" s="133"/>
      <c r="E442" s="132"/>
      <c r="F442" s="129"/>
      <c r="G442" s="132"/>
      <c r="H442" s="132"/>
    </row>
    <row r="443" spans="1:8">
      <c r="A443" s="127"/>
      <c r="B443" s="128"/>
      <c r="C443" s="132"/>
      <c r="D443" s="133"/>
      <c r="E443" s="132"/>
      <c r="F443" s="129"/>
      <c r="G443" s="132"/>
      <c r="H443" s="132"/>
    </row>
    <row r="444" spans="1:8">
      <c r="A444" s="127"/>
      <c r="B444" s="128"/>
      <c r="C444" s="132"/>
      <c r="D444" s="133"/>
      <c r="E444" s="132"/>
      <c r="F444" s="129"/>
      <c r="G444" s="132"/>
      <c r="H444" s="132"/>
    </row>
    <row r="445" spans="1:8">
      <c r="A445" s="127"/>
      <c r="B445" s="128"/>
      <c r="C445" s="132"/>
      <c r="D445" s="133"/>
      <c r="E445" s="132"/>
      <c r="F445" s="129"/>
      <c r="G445" s="132"/>
      <c r="H445" s="132"/>
    </row>
    <row r="446" spans="1:8">
      <c r="A446" s="127"/>
      <c r="B446" s="128"/>
      <c r="C446" s="132"/>
      <c r="D446" s="133"/>
      <c r="E446" s="132"/>
      <c r="F446" s="129"/>
      <c r="G446" s="132"/>
      <c r="H446" s="132"/>
    </row>
    <row r="447" spans="1:8">
      <c r="A447" s="127"/>
      <c r="B447" s="128"/>
      <c r="C447" s="132"/>
      <c r="D447" s="133"/>
      <c r="E447" s="132"/>
      <c r="F447" s="129"/>
      <c r="G447" s="132"/>
      <c r="H447" s="132"/>
    </row>
    <row r="448" spans="1:8">
      <c r="A448" s="127"/>
      <c r="B448" s="128"/>
      <c r="C448" s="132"/>
      <c r="D448" s="133"/>
      <c r="E448" s="132"/>
      <c r="F448" s="129"/>
      <c r="G448" s="132"/>
      <c r="H448" s="132"/>
    </row>
    <row r="449" spans="1:8">
      <c r="A449" s="127"/>
      <c r="B449" s="128"/>
      <c r="C449" s="132"/>
      <c r="D449" s="133"/>
      <c r="E449" s="132"/>
      <c r="F449" s="129"/>
      <c r="G449" s="132"/>
      <c r="H449" s="132"/>
    </row>
    <row r="450" spans="1:8">
      <c r="A450" s="127"/>
      <c r="B450" s="128"/>
      <c r="C450" s="132"/>
      <c r="D450" s="133"/>
      <c r="E450" s="132"/>
      <c r="F450" s="129"/>
      <c r="G450" s="132"/>
      <c r="H450" s="132"/>
    </row>
    <row r="451" spans="1:8">
      <c r="A451" s="127"/>
      <c r="B451" s="128"/>
      <c r="C451" s="132"/>
      <c r="D451" s="133"/>
      <c r="E451" s="132"/>
      <c r="F451" s="129"/>
      <c r="G451" s="132"/>
      <c r="H451" s="132"/>
    </row>
    <row r="452" spans="1:8">
      <c r="A452" s="127"/>
      <c r="B452" s="128"/>
      <c r="C452" s="132"/>
      <c r="D452" s="133"/>
      <c r="E452" s="132"/>
      <c r="F452" s="129"/>
      <c r="G452" s="132"/>
      <c r="H452" s="132"/>
    </row>
    <row r="453" spans="1:8">
      <c r="A453" s="127"/>
      <c r="B453" s="128"/>
      <c r="C453" s="132"/>
      <c r="D453" s="133"/>
      <c r="E453" s="132"/>
      <c r="F453" s="129"/>
      <c r="G453" s="132"/>
      <c r="H453" s="132"/>
    </row>
    <row r="454" spans="1:8">
      <c r="A454" s="127"/>
      <c r="B454" s="128"/>
      <c r="C454" s="132"/>
      <c r="D454" s="133"/>
      <c r="E454" s="132"/>
      <c r="F454" s="129"/>
      <c r="G454" s="132"/>
      <c r="H454" s="132"/>
    </row>
    <row r="455" spans="1:8">
      <c r="A455" s="127"/>
      <c r="B455" s="128"/>
      <c r="C455" s="132"/>
      <c r="D455" s="133"/>
      <c r="E455" s="132"/>
      <c r="F455" s="129"/>
      <c r="G455" s="132"/>
      <c r="H455" s="132"/>
    </row>
    <row r="456" spans="1:8">
      <c r="A456" s="127"/>
      <c r="B456" s="128"/>
      <c r="C456" s="132"/>
      <c r="D456" s="133"/>
      <c r="E456" s="132"/>
      <c r="F456" s="129"/>
      <c r="G456" s="132"/>
      <c r="H456" s="132"/>
    </row>
    <row r="457" spans="1:8">
      <c r="A457" s="127"/>
      <c r="B457" s="128"/>
      <c r="C457" s="132"/>
      <c r="D457" s="133"/>
      <c r="E457" s="132"/>
      <c r="F457" s="129"/>
      <c r="G457" s="132"/>
      <c r="H457" s="132"/>
    </row>
    <row r="458" spans="1:8">
      <c r="A458" s="127"/>
      <c r="B458" s="128"/>
      <c r="C458" s="132"/>
      <c r="D458" s="133"/>
      <c r="E458" s="132"/>
      <c r="F458" s="129"/>
      <c r="G458" s="132"/>
      <c r="H458" s="132"/>
    </row>
    <row r="459" spans="1:8">
      <c r="A459" s="127"/>
      <c r="B459" s="128"/>
      <c r="C459" s="132"/>
      <c r="D459" s="133"/>
      <c r="E459" s="132"/>
      <c r="F459" s="129"/>
      <c r="G459" s="132"/>
      <c r="H459" s="132"/>
    </row>
    <row r="460" spans="1:8">
      <c r="A460" s="127"/>
      <c r="B460" s="128"/>
      <c r="C460" s="132"/>
      <c r="D460" s="133"/>
      <c r="E460" s="132"/>
      <c r="F460" s="129"/>
      <c r="G460" s="132"/>
      <c r="H460" s="132"/>
    </row>
    <row r="461" spans="1:8">
      <c r="A461" s="127"/>
      <c r="B461" s="128"/>
      <c r="C461" s="132"/>
      <c r="D461" s="133"/>
      <c r="E461" s="132"/>
      <c r="F461" s="129"/>
      <c r="G461" s="132"/>
      <c r="H461" s="132"/>
    </row>
    <row r="462" spans="1:8">
      <c r="A462" s="127"/>
      <c r="B462" s="128"/>
      <c r="C462" s="132"/>
      <c r="D462" s="133"/>
      <c r="E462" s="132"/>
      <c r="F462" s="129"/>
      <c r="G462" s="132"/>
      <c r="H462" s="132"/>
    </row>
    <row r="463" spans="1:8">
      <c r="A463" s="127"/>
      <c r="B463" s="128"/>
      <c r="C463" s="132"/>
      <c r="D463" s="133"/>
      <c r="E463" s="132"/>
      <c r="F463" s="129"/>
      <c r="G463" s="132"/>
      <c r="H463" s="132"/>
    </row>
    <row r="464" spans="1:8">
      <c r="A464" s="127"/>
      <c r="B464" s="128"/>
      <c r="C464" s="132"/>
      <c r="D464" s="133"/>
      <c r="E464" s="132"/>
      <c r="F464" s="129"/>
      <c r="G464" s="132"/>
      <c r="H464" s="132"/>
    </row>
    <row r="465" spans="1:8">
      <c r="A465" s="127"/>
      <c r="B465" s="128"/>
      <c r="C465" s="132"/>
      <c r="D465" s="133"/>
      <c r="E465" s="132"/>
      <c r="F465" s="129"/>
      <c r="G465" s="132"/>
      <c r="H465" s="132"/>
    </row>
    <row r="466" spans="1:8">
      <c r="A466" s="127"/>
      <c r="B466" s="128"/>
      <c r="C466" s="132"/>
      <c r="D466" s="133"/>
      <c r="E466" s="132"/>
      <c r="F466" s="129"/>
      <c r="G466" s="132"/>
      <c r="H466" s="132"/>
    </row>
    <row r="467" spans="1:8">
      <c r="A467" s="127"/>
      <c r="B467" s="128"/>
      <c r="C467" s="132"/>
      <c r="D467" s="133"/>
      <c r="E467" s="132"/>
      <c r="F467" s="129"/>
      <c r="G467" s="132"/>
      <c r="H467" s="132"/>
    </row>
    <row r="468" spans="1:8">
      <c r="A468" s="127"/>
      <c r="B468" s="128"/>
      <c r="C468" s="132"/>
      <c r="D468" s="133"/>
      <c r="E468" s="132"/>
      <c r="F468" s="129"/>
      <c r="G468" s="132"/>
      <c r="H468" s="132"/>
    </row>
    <row r="469" spans="1:8">
      <c r="A469" s="127"/>
      <c r="B469" s="128"/>
      <c r="C469" s="132"/>
      <c r="D469" s="133"/>
      <c r="E469" s="132"/>
      <c r="F469" s="129"/>
      <c r="G469" s="132"/>
      <c r="H469" s="132"/>
    </row>
    <row r="470" spans="1:8">
      <c r="A470" s="127"/>
      <c r="B470" s="128"/>
      <c r="C470" s="132"/>
      <c r="D470" s="133"/>
      <c r="E470" s="132"/>
      <c r="F470" s="129"/>
      <c r="G470" s="132"/>
      <c r="H470" s="132"/>
    </row>
    <row r="471" spans="1:8">
      <c r="A471" s="127"/>
      <c r="B471" s="128"/>
      <c r="C471" s="132"/>
      <c r="D471" s="133"/>
      <c r="E471" s="132"/>
      <c r="F471" s="129"/>
      <c r="G471" s="132"/>
      <c r="H471" s="132"/>
    </row>
    <row r="472" spans="1:8">
      <c r="A472" s="127"/>
      <c r="B472" s="128"/>
      <c r="C472" s="132"/>
      <c r="D472" s="133"/>
      <c r="E472" s="132"/>
      <c r="F472" s="129"/>
      <c r="G472" s="132"/>
      <c r="H472" s="132"/>
    </row>
    <row r="473" spans="1:8">
      <c r="A473" s="127"/>
      <c r="B473" s="128"/>
      <c r="C473" s="132"/>
      <c r="D473" s="133"/>
      <c r="E473" s="132"/>
      <c r="F473" s="129"/>
      <c r="G473" s="132"/>
      <c r="H473" s="132"/>
    </row>
    <row r="474" spans="1:8">
      <c r="A474" s="127"/>
      <c r="B474" s="128"/>
      <c r="C474" s="132"/>
      <c r="D474" s="133"/>
      <c r="E474" s="132"/>
      <c r="F474" s="129"/>
      <c r="G474" s="132"/>
      <c r="H474" s="132"/>
    </row>
    <row r="475" spans="1:8">
      <c r="A475" s="127"/>
      <c r="B475" s="128"/>
      <c r="C475" s="132"/>
      <c r="D475" s="133"/>
      <c r="E475" s="132"/>
      <c r="F475" s="129"/>
      <c r="G475" s="132"/>
      <c r="H475" s="132"/>
    </row>
    <row r="476" spans="1:8">
      <c r="A476" s="127"/>
      <c r="B476" s="128"/>
      <c r="C476" s="132"/>
      <c r="D476" s="133"/>
      <c r="E476" s="132"/>
      <c r="F476" s="129"/>
      <c r="G476" s="132"/>
      <c r="H476" s="132"/>
    </row>
    <row r="477" spans="1:8">
      <c r="A477" s="127"/>
      <c r="B477" s="128"/>
      <c r="C477" s="132"/>
      <c r="D477" s="133"/>
      <c r="E477" s="132"/>
      <c r="F477" s="129"/>
      <c r="G477" s="132"/>
      <c r="H477" s="132"/>
    </row>
    <row r="478" spans="1:8">
      <c r="A478" s="127"/>
      <c r="B478" s="128"/>
      <c r="C478" s="132"/>
      <c r="D478" s="133"/>
      <c r="E478" s="132"/>
      <c r="F478" s="129"/>
      <c r="G478" s="132"/>
      <c r="H478" s="132"/>
    </row>
    <row r="479" spans="1:8">
      <c r="A479" s="127"/>
      <c r="B479" s="128"/>
      <c r="C479" s="132"/>
      <c r="D479" s="133"/>
      <c r="E479" s="132"/>
      <c r="F479" s="129"/>
      <c r="G479" s="132"/>
      <c r="H479" s="132"/>
    </row>
    <row r="480" spans="1:8">
      <c r="A480" s="127"/>
      <c r="B480" s="128"/>
      <c r="C480" s="132"/>
      <c r="D480" s="133"/>
      <c r="E480" s="132"/>
      <c r="F480" s="129"/>
      <c r="G480" s="132"/>
      <c r="H480" s="132"/>
    </row>
    <row r="481" spans="1:8">
      <c r="A481" s="127"/>
      <c r="B481" s="128"/>
      <c r="C481" s="132"/>
      <c r="D481" s="133"/>
      <c r="E481" s="132"/>
      <c r="F481" s="129"/>
      <c r="G481" s="132"/>
      <c r="H481" s="132"/>
    </row>
    <row r="482" spans="1:8">
      <c r="A482" s="127"/>
      <c r="B482" s="128"/>
      <c r="C482" s="132"/>
      <c r="D482" s="133"/>
      <c r="E482" s="132"/>
      <c r="F482" s="129"/>
      <c r="G482" s="132"/>
      <c r="H482" s="132"/>
    </row>
    <row r="483" spans="1:8">
      <c r="A483" s="127"/>
      <c r="B483" s="128"/>
      <c r="C483" s="132"/>
      <c r="D483" s="133"/>
      <c r="E483" s="132"/>
      <c r="F483" s="129"/>
      <c r="G483" s="132"/>
      <c r="H483" s="132"/>
    </row>
    <row r="484" spans="1:8">
      <c r="A484" s="127"/>
      <c r="B484" s="128"/>
      <c r="C484" s="132"/>
      <c r="D484" s="133"/>
      <c r="E484" s="132"/>
      <c r="F484" s="129"/>
      <c r="G484" s="132"/>
      <c r="H484" s="132"/>
    </row>
    <row r="485" spans="1:8">
      <c r="A485" s="127"/>
      <c r="B485" s="128"/>
      <c r="C485" s="132"/>
      <c r="D485" s="133"/>
      <c r="E485" s="132"/>
      <c r="F485" s="129"/>
      <c r="G485" s="132"/>
      <c r="H485" s="132"/>
    </row>
    <row r="486" spans="1:8">
      <c r="A486" s="127"/>
      <c r="B486" s="128"/>
      <c r="C486" s="132"/>
      <c r="D486" s="133"/>
      <c r="E486" s="132"/>
      <c r="F486" s="129"/>
      <c r="G486" s="132"/>
      <c r="H486" s="132"/>
    </row>
    <row r="487" spans="1:8">
      <c r="A487" s="127"/>
      <c r="B487" s="128"/>
      <c r="C487" s="132"/>
      <c r="D487" s="133"/>
      <c r="E487" s="132"/>
      <c r="F487" s="129"/>
      <c r="G487" s="132"/>
      <c r="H487" s="132"/>
    </row>
    <row r="488" spans="1:8">
      <c r="A488" s="127"/>
      <c r="B488" s="128"/>
      <c r="C488" s="132"/>
      <c r="D488" s="133"/>
      <c r="E488" s="132"/>
      <c r="F488" s="129"/>
      <c r="G488" s="132"/>
      <c r="H488" s="132"/>
    </row>
    <row r="489" spans="1:8">
      <c r="A489" s="127"/>
      <c r="B489" s="128"/>
      <c r="C489" s="132"/>
      <c r="D489" s="133"/>
      <c r="E489" s="132"/>
      <c r="F489" s="129"/>
      <c r="G489" s="132"/>
      <c r="H489" s="132"/>
    </row>
    <row r="490" spans="1:8">
      <c r="A490" s="127"/>
      <c r="B490" s="128"/>
      <c r="C490" s="132"/>
      <c r="D490" s="133"/>
      <c r="E490" s="132"/>
      <c r="F490" s="129"/>
      <c r="G490" s="132"/>
      <c r="H490" s="132"/>
    </row>
    <row r="491" spans="1:8">
      <c r="A491" s="127"/>
      <c r="B491" s="128"/>
      <c r="C491" s="132"/>
      <c r="D491" s="133"/>
      <c r="E491" s="132"/>
      <c r="F491" s="129"/>
      <c r="G491" s="132"/>
      <c r="H491" s="132"/>
    </row>
    <row r="492" spans="1:8">
      <c r="A492" s="127"/>
      <c r="B492" s="128"/>
      <c r="C492" s="132"/>
      <c r="D492" s="133"/>
      <c r="E492" s="132"/>
      <c r="F492" s="129"/>
      <c r="G492" s="132"/>
      <c r="H492" s="132"/>
    </row>
    <row r="493" spans="1:8">
      <c r="A493" s="127"/>
      <c r="B493" s="128"/>
      <c r="C493" s="132"/>
      <c r="D493" s="133"/>
      <c r="E493" s="132"/>
      <c r="F493" s="129"/>
      <c r="G493" s="132"/>
      <c r="H493" s="132"/>
    </row>
    <row r="494" spans="1:8">
      <c r="A494" s="127"/>
      <c r="B494" s="128"/>
      <c r="C494" s="132"/>
      <c r="D494" s="133"/>
      <c r="E494" s="132"/>
      <c r="F494" s="129"/>
      <c r="G494" s="132"/>
      <c r="H494" s="132"/>
    </row>
    <row r="495" spans="1:8">
      <c r="A495" s="127"/>
      <c r="B495" s="128"/>
      <c r="C495" s="132"/>
      <c r="D495" s="133"/>
      <c r="E495" s="132"/>
      <c r="F495" s="129"/>
      <c r="G495" s="132"/>
      <c r="H495" s="132"/>
    </row>
    <row r="496" spans="1:8">
      <c r="A496" s="127"/>
      <c r="B496" s="128"/>
      <c r="C496" s="132"/>
      <c r="D496" s="133"/>
      <c r="E496" s="132"/>
      <c r="F496" s="129"/>
      <c r="G496" s="132"/>
      <c r="H496" s="132"/>
    </row>
    <row r="497" spans="1:8">
      <c r="A497" s="127"/>
      <c r="B497" s="128"/>
      <c r="C497" s="132"/>
      <c r="D497" s="133"/>
      <c r="E497" s="132"/>
      <c r="F497" s="129"/>
      <c r="G497" s="132"/>
      <c r="H497" s="132"/>
    </row>
    <row r="498" spans="1:8">
      <c r="A498" s="127"/>
      <c r="B498" s="128"/>
      <c r="C498" s="132"/>
      <c r="D498" s="133"/>
      <c r="E498" s="132"/>
      <c r="F498" s="129"/>
      <c r="G498" s="132"/>
      <c r="H498" s="132"/>
    </row>
    <row r="499" spans="1:8">
      <c r="A499" s="127"/>
      <c r="B499" s="128"/>
      <c r="C499" s="132"/>
      <c r="D499" s="133"/>
      <c r="E499" s="132"/>
      <c r="F499" s="129"/>
      <c r="G499" s="132"/>
      <c r="H499" s="132"/>
    </row>
    <row r="500" spans="1:8">
      <c r="A500" s="127"/>
      <c r="B500" s="128"/>
      <c r="C500" s="132"/>
      <c r="D500" s="133"/>
      <c r="E500" s="132"/>
      <c r="F500" s="129"/>
      <c r="G500" s="132"/>
      <c r="H500" s="132"/>
    </row>
    <row r="501" spans="1:8">
      <c r="A501" s="127"/>
      <c r="B501" s="128"/>
      <c r="C501" s="132"/>
      <c r="D501" s="133"/>
      <c r="E501" s="132"/>
      <c r="F501" s="129"/>
      <c r="G501" s="132"/>
      <c r="H501" s="132"/>
    </row>
    <row r="502" spans="1:8">
      <c r="A502" s="127"/>
      <c r="B502" s="128"/>
      <c r="C502" s="132"/>
      <c r="D502" s="133"/>
      <c r="E502" s="132"/>
      <c r="F502" s="129"/>
      <c r="G502" s="132"/>
      <c r="H502" s="132"/>
    </row>
    <row r="503" spans="1:8">
      <c r="A503" s="127"/>
      <c r="B503" s="128"/>
      <c r="C503" s="132"/>
      <c r="D503" s="133"/>
      <c r="E503" s="132"/>
      <c r="F503" s="129"/>
      <c r="G503" s="132"/>
      <c r="H503" s="132"/>
    </row>
    <row r="504" spans="1:8">
      <c r="A504" s="127"/>
      <c r="B504" s="128"/>
      <c r="C504" s="132"/>
      <c r="D504" s="133"/>
      <c r="E504" s="132"/>
      <c r="F504" s="129"/>
      <c r="G504" s="132"/>
      <c r="H504" s="132"/>
    </row>
    <row r="505" spans="1:8">
      <c r="A505" s="127"/>
      <c r="B505" s="128"/>
      <c r="C505" s="132"/>
      <c r="D505" s="133"/>
      <c r="E505" s="132"/>
      <c r="F505" s="129"/>
      <c r="G505" s="132"/>
      <c r="H505" s="132"/>
    </row>
    <row r="506" spans="1:8">
      <c r="A506" s="127"/>
      <c r="B506" s="128"/>
      <c r="C506" s="132"/>
      <c r="D506" s="133"/>
      <c r="E506" s="132"/>
      <c r="F506" s="129"/>
      <c r="G506" s="132"/>
      <c r="H506" s="132"/>
    </row>
    <row r="507" spans="1:8">
      <c r="A507" s="127"/>
      <c r="B507" s="128"/>
      <c r="C507" s="132"/>
      <c r="D507" s="133"/>
      <c r="E507" s="132"/>
      <c r="F507" s="129"/>
      <c r="G507" s="132"/>
      <c r="H507" s="132"/>
    </row>
    <row r="508" spans="1:8">
      <c r="A508" s="127"/>
      <c r="B508" s="128"/>
      <c r="C508" s="132"/>
      <c r="D508" s="133"/>
      <c r="E508" s="132"/>
      <c r="F508" s="129"/>
      <c r="G508" s="132"/>
      <c r="H508" s="132"/>
    </row>
    <row r="509" spans="1:8">
      <c r="A509" s="127"/>
      <c r="B509" s="128"/>
      <c r="C509" s="132"/>
      <c r="D509" s="133"/>
      <c r="E509" s="132"/>
      <c r="F509" s="129"/>
      <c r="G509" s="132"/>
      <c r="H509" s="132"/>
    </row>
    <row r="510" spans="1:8">
      <c r="A510" s="127"/>
      <c r="B510" s="128"/>
      <c r="C510" s="132"/>
      <c r="D510" s="133"/>
      <c r="E510" s="132"/>
      <c r="F510" s="129"/>
      <c r="G510" s="132"/>
      <c r="H510" s="132"/>
    </row>
    <row r="511" spans="1:8">
      <c r="A511" s="127"/>
      <c r="B511" s="128"/>
      <c r="C511" s="132"/>
      <c r="D511" s="133"/>
      <c r="E511" s="132"/>
      <c r="F511" s="129"/>
      <c r="G511" s="132"/>
      <c r="H511" s="132"/>
    </row>
    <row r="512" spans="1:8">
      <c r="A512" s="127"/>
      <c r="B512" s="128"/>
      <c r="C512" s="132"/>
      <c r="D512" s="133"/>
      <c r="E512" s="132"/>
      <c r="F512" s="129"/>
      <c r="G512" s="132"/>
      <c r="H512" s="132"/>
    </row>
    <row r="513" spans="1:8">
      <c r="A513" s="127"/>
      <c r="B513" s="128"/>
      <c r="C513" s="132"/>
      <c r="D513" s="133"/>
      <c r="E513" s="132"/>
      <c r="F513" s="129"/>
      <c r="G513" s="132"/>
      <c r="H513" s="132"/>
    </row>
    <row r="514" spans="1:8">
      <c r="A514" s="127"/>
      <c r="B514" s="128"/>
      <c r="C514" s="132"/>
      <c r="D514" s="133"/>
      <c r="E514" s="132"/>
      <c r="F514" s="129"/>
      <c r="G514" s="132"/>
      <c r="H514" s="132"/>
    </row>
    <row r="515" spans="1:8">
      <c r="A515" s="127"/>
      <c r="B515" s="128"/>
      <c r="C515" s="132"/>
      <c r="D515" s="133"/>
      <c r="E515" s="132"/>
      <c r="F515" s="129"/>
      <c r="G515" s="132"/>
      <c r="H515" s="132"/>
    </row>
    <row r="516" spans="1:8">
      <c r="A516" s="127"/>
      <c r="B516" s="128"/>
      <c r="C516" s="132"/>
      <c r="D516" s="133"/>
      <c r="E516" s="132"/>
      <c r="F516" s="129"/>
      <c r="G516" s="132"/>
      <c r="H516" s="132"/>
    </row>
    <row r="517" spans="1:8">
      <c r="A517" s="127"/>
      <c r="B517" s="128"/>
      <c r="C517" s="132"/>
      <c r="D517" s="133"/>
      <c r="E517" s="132"/>
      <c r="F517" s="129"/>
      <c r="G517" s="132"/>
      <c r="H517" s="132"/>
    </row>
    <row r="518" spans="1:8">
      <c r="A518" s="127"/>
      <c r="B518" s="128"/>
      <c r="C518" s="132"/>
      <c r="D518" s="133"/>
      <c r="E518" s="132"/>
      <c r="F518" s="129"/>
      <c r="G518" s="132"/>
      <c r="H518" s="132"/>
    </row>
    <row r="519" spans="1:8">
      <c r="A519" s="127"/>
      <c r="B519" s="128"/>
      <c r="C519" s="132"/>
      <c r="D519" s="133"/>
      <c r="E519" s="132"/>
      <c r="F519" s="129"/>
      <c r="G519" s="132"/>
      <c r="H519" s="132"/>
    </row>
    <row r="520" spans="1:8">
      <c r="A520" s="127"/>
      <c r="B520" s="128"/>
      <c r="C520" s="132"/>
      <c r="D520" s="133"/>
      <c r="E520" s="132"/>
      <c r="F520" s="129"/>
      <c r="G520" s="132"/>
      <c r="H520" s="132"/>
    </row>
    <row r="521" spans="1:8">
      <c r="A521" s="127"/>
      <c r="B521" s="128"/>
      <c r="C521" s="132"/>
      <c r="D521" s="133"/>
      <c r="E521" s="132"/>
      <c r="F521" s="129"/>
      <c r="G521" s="132"/>
      <c r="H521" s="132"/>
    </row>
    <row r="522" spans="1:8">
      <c r="A522" s="127"/>
      <c r="B522" s="128"/>
      <c r="C522" s="132"/>
      <c r="D522" s="133"/>
      <c r="E522" s="132"/>
      <c r="F522" s="129"/>
      <c r="G522" s="132"/>
      <c r="H522" s="132"/>
    </row>
    <row r="523" spans="1:8">
      <c r="A523" s="127"/>
      <c r="B523" s="128"/>
      <c r="C523" s="132"/>
      <c r="D523" s="133"/>
      <c r="E523" s="132"/>
      <c r="F523" s="129"/>
      <c r="G523" s="132"/>
      <c r="H523" s="132"/>
    </row>
    <row r="524" spans="1:8">
      <c r="A524" s="127"/>
      <c r="B524" s="128"/>
      <c r="C524" s="132"/>
      <c r="D524" s="133"/>
      <c r="E524" s="132"/>
      <c r="F524" s="129"/>
      <c r="G524" s="132"/>
      <c r="H524" s="132"/>
    </row>
    <row r="525" spans="1:8">
      <c r="A525" s="127"/>
      <c r="B525" s="128"/>
      <c r="C525" s="132"/>
      <c r="D525" s="133"/>
      <c r="E525" s="132"/>
      <c r="F525" s="129"/>
      <c r="G525" s="132"/>
      <c r="H525" s="132"/>
    </row>
    <row r="526" spans="1:8">
      <c r="A526" s="127"/>
      <c r="B526" s="128"/>
      <c r="C526" s="132"/>
      <c r="D526" s="133"/>
      <c r="E526" s="132"/>
      <c r="F526" s="129"/>
      <c r="G526" s="132"/>
      <c r="H526" s="132"/>
    </row>
    <row r="527" spans="1:8">
      <c r="A527" s="127"/>
      <c r="B527" s="128"/>
      <c r="C527" s="132"/>
      <c r="D527" s="133"/>
      <c r="E527" s="132"/>
      <c r="F527" s="129"/>
      <c r="G527" s="132"/>
      <c r="H527" s="132"/>
    </row>
    <row r="528" spans="1:8">
      <c r="A528" s="127"/>
      <c r="B528" s="128"/>
      <c r="C528" s="132"/>
      <c r="D528" s="133"/>
      <c r="E528" s="132"/>
      <c r="F528" s="129"/>
      <c r="G528" s="132"/>
      <c r="H528" s="132"/>
    </row>
    <row r="529" spans="1:8">
      <c r="A529" s="127"/>
      <c r="B529" s="128"/>
      <c r="C529" s="132"/>
      <c r="D529" s="133"/>
      <c r="E529" s="132"/>
      <c r="F529" s="129"/>
      <c r="G529" s="132"/>
      <c r="H529" s="132"/>
    </row>
    <row r="530" spans="1:8">
      <c r="A530" s="127"/>
      <c r="B530" s="128"/>
      <c r="C530" s="132"/>
      <c r="D530" s="133"/>
      <c r="E530" s="132"/>
      <c r="F530" s="129"/>
      <c r="G530" s="132"/>
      <c r="H530" s="132"/>
    </row>
    <row r="531" spans="1:8">
      <c r="A531" s="127"/>
      <c r="B531" s="128"/>
      <c r="C531" s="132"/>
      <c r="D531" s="133"/>
      <c r="E531" s="132"/>
      <c r="F531" s="129"/>
      <c r="G531" s="132"/>
      <c r="H531" s="132"/>
    </row>
    <row r="532" spans="1:8">
      <c r="A532" s="127"/>
      <c r="B532" s="128"/>
      <c r="C532" s="132"/>
      <c r="D532" s="133"/>
      <c r="E532" s="132"/>
      <c r="F532" s="129"/>
      <c r="G532" s="132"/>
      <c r="H532" s="132"/>
    </row>
    <row r="533" spans="1:8">
      <c r="A533" s="127"/>
      <c r="B533" s="128"/>
      <c r="C533" s="132"/>
      <c r="D533" s="133"/>
      <c r="E533" s="132"/>
      <c r="F533" s="129"/>
      <c r="G533" s="132"/>
      <c r="H533" s="132"/>
    </row>
    <row r="534" spans="1:8">
      <c r="A534" s="127"/>
      <c r="B534" s="128"/>
      <c r="C534" s="132"/>
      <c r="D534" s="133"/>
      <c r="E534" s="132"/>
      <c r="F534" s="129"/>
      <c r="G534" s="132"/>
      <c r="H534" s="132"/>
    </row>
    <row r="535" spans="1:8">
      <c r="A535" s="127"/>
      <c r="B535" s="128"/>
      <c r="C535" s="132"/>
      <c r="D535" s="133"/>
      <c r="E535" s="132"/>
      <c r="F535" s="129"/>
      <c r="G535" s="132"/>
      <c r="H535" s="132"/>
    </row>
    <row r="536" spans="1:8">
      <c r="A536" s="127"/>
      <c r="B536" s="128"/>
      <c r="C536" s="132"/>
      <c r="D536" s="133"/>
      <c r="E536" s="132"/>
      <c r="F536" s="129"/>
      <c r="G536" s="132"/>
      <c r="H536" s="132"/>
    </row>
    <row r="537" spans="1:8">
      <c r="A537" s="127"/>
      <c r="B537" s="128"/>
      <c r="C537" s="132"/>
      <c r="D537" s="133"/>
      <c r="E537" s="132"/>
      <c r="F537" s="129"/>
      <c r="G537" s="132"/>
      <c r="H537" s="132"/>
    </row>
    <row r="538" spans="1:8">
      <c r="A538" s="127"/>
      <c r="B538" s="128"/>
      <c r="C538" s="132"/>
      <c r="D538" s="133"/>
      <c r="E538" s="132"/>
      <c r="F538" s="129"/>
      <c r="G538" s="132"/>
      <c r="H538" s="132"/>
    </row>
    <row r="539" spans="1:8">
      <c r="A539" s="127"/>
      <c r="B539" s="128"/>
      <c r="C539" s="132"/>
      <c r="D539" s="133"/>
      <c r="E539" s="132"/>
      <c r="F539" s="129"/>
      <c r="G539" s="132"/>
      <c r="H539" s="132"/>
    </row>
    <row r="540" spans="1:8">
      <c r="A540" s="127"/>
      <c r="B540" s="128"/>
      <c r="C540" s="132"/>
      <c r="D540" s="133"/>
      <c r="E540" s="132"/>
      <c r="F540" s="129"/>
      <c r="G540" s="132"/>
      <c r="H540" s="132"/>
    </row>
    <row r="541" spans="1:8">
      <c r="A541" s="127"/>
      <c r="B541" s="128"/>
      <c r="C541" s="132"/>
      <c r="D541" s="133"/>
      <c r="E541" s="132"/>
      <c r="F541" s="129"/>
      <c r="G541" s="132"/>
      <c r="H541" s="132"/>
    </row>
    <row r="542" spans="1:8">
      <c r="A542" s="127"/>
      <c r="B542" s="128"/>
      <c r="C542" s="132"/>
      <c r="D542" s="133"/>
      <c r="E542" s="132"/>
      <c r="F542" s="129"/>
      <c r="G542" s="132"/>
      <c r="H542" s="132"/>
    </row>
    <row r="543" spans="1:8">
      <c r="A543" s="127"/>
      <c r="B543" s="128"/>
      <c r="C543" s="132"/>
      <c r="D543" s="133"/>
      <c r="E543" s="132"/>
      <c r="F543" s="129"/>
      <c r="G543" s="132"/>
      <c r="H543" s="132"/>
    </row>
    <row r="544" spans="1:8">
      <c r="A544" s="127"/>
      <c r="B544" s="128"/>
      <c r="C544" s="132"/>
      <c r="D544" s="133"/>
      <c r="E544" s="132"/>
      <c r="F544" s="129"/>
      <c r="G544" s="132"/>
      <c r="H544" s="132"/>
    </row>
    <row r="545" spans="1:8">
      <c r="A545" s="127"/>
      <c r="B545" s="128"/>
      <c r="C545" s="132"/>
      <c r="D545" s="133"/>
      <c r="E545" s="132"/>
      <c r="F545" s="129"/>
      <c r="G545" s="132"/>
      <c r="H545" s="132"/>
    </row>
    <row r="546" spans="1:8">
      <c r="A546" s="127"/>
      <c r="B546" s="128"/>
      <c r="C546" s="132"/>
      <c r="D546" s="133"/>
      <c r="E546" s="132"/>
      <c r="F546" s="129"/>
      <c r="G546" s="132"/>
      <c r="H546" s="132"/>
    </row>
    <row r="547" spans="1:8">
      <c r="A547" s="127"/>
      <c r="B547" s="128"/>
      <c r="C547" s="132"/>
      <c r="D547" s="133"/>
      <c r="E547" s="132"/>
      <c r="F547" s="129"/>
      <c r="G547" s="132"/>
      <c r="H547" s="132"/>
    </row>
    <row r="548" spans="1:8">
      <c r="A548" s="127"/>
      <c r="B548" s="128"/>
      <c r="C548" s="132"/>
      <c r="D548" s="133"/>
      <c r="E548" s="132"/>
      <c r="F548" s="129"/>
      <c r="G548" s="132"/>
      <c r="H548" s="132"/>
    </row>
    <row r="549" spans="1:8">
      <c r="A549" s="127"/>
      <c r="B549" s="128"/>
      <c r="C549" s="132"/>
      <c r="D549" s="133"/>
      <c r="E549" s="132"/>
      <c r="F549" s="129"/>
      <c r="G549" s="132"/>
      <c r="H549" s="132"/>
    </row>
    <row r="550" spans="1:8">
      <c r="A550" s="127"/>
      <c r="B550" s="128"/>
      <c r="C550" s="132"/>
      <c r="D550" s="133"/>
      <c r="E550" s="132"/>
      <c r="F550" s="129"/>
      <c r="G550" s="132"/>
      <c r="H550" s="132"/>
    </row>
    <row r="551" spans="1:8">
      <c r="A551" s="127"/>
      <c r="B551" s="128"/>
      <c r="C551" s="132"/>
      <c r="D551" s="133"/>
      <c r="E551" s="132"/>
      <c r="F551" s="129"/>
      <c r="G551" s="132"/>
      <c r="H551" s="132"/>
    </row>
    <row r="552" spans="1:8">
      <c r="A552" s="127"/>
      <c r="B552" s="128"/>
      <c r="C552" s="132"/>
      <c r="D552" s="133"/>
      <c r="E552" s="132"/>
      <c r="F552" s="129"/>
      <c r="G552" s="132"/>
      <c r="H552" s="132"/>
    </row>
    <row r="553" spans="1:8">
      <c r="A553" s="127"/>
      <c r="B553" s="128"/>
      <c r="C553" s="132"/>
      <c r="D553" s="133"/>
      <c r="E553" s="132"/>
      <c r="F553" s="129"/>
      <c r="G553" s="132"/>
      <c r="H553" s="132"/>
    </row>
    <row r="554" spans="1:8">
      <c r="A554" s="127"/>
      <c r="B554" s="128"/>
      <c r="C554" s="132"/>
      <c r="D554" s="133"/>
      <c r="E554" s="132"/>
      <c r="F554" s="129"/>
      <c r="G554" s="132"/>
      <c r="H554" s="132"/>
    </row>
    <row r="555" spans="1:8">
      <c r="A555" s="127"/>
      <c r="B555" s="128"/>
      <c r="C555" s="132"/>
      <c r="D555" s="133"/>
      <c r="E555" s="132"/>
      <c r="F555" s="129"/>
      <c r="G555" s="132"/>
      <c r="H555" s="132"/>
    </row>
    <row r="556" spans="1:8">
      <c r="A556" s="127"/>
      <c r="B556" s="128"/>
      <c r="C556" s="132"/>
      <c r="D556" s="133"/>
      <c r="E556" s="132"/>
      <c r="F556" s="129"/>
      <c r="G556" s="132"/>
      <c r="H556" s="132"/>
    </row>
    <row r="557" spans="1:8">
      <c r="A557" s="127"/>
      <c r="B557" s="128"/>
      <c r="C557" s="132"/>
      <c r="D557" s="133"/>
      <c r="E557" s="132"/>
      <c r="F557" s="129"/>
      <c r="G557" s="132"/>
      <c r="H557" s="132"/>
    </row>
    <row r="558" spans="1:8">
      <c r="A558" s="127"/>
      <c r="B558" s="128"/>
      <c r="C558" s="132"/>
      <c r="D558" s="133"/>
      <c r="E558" s="132"/>
      <c r="F558" s="129"/>
      <c r="G558" s="132"/>
      <c r="H558" s="132"/>
    </row>
    <row r="559" spans="1:8">
      <c r="A559" s="127"/>
      <c r="B559" s="128"/>
      <c r="C559" s="132"/>
      <c r="D559" s="133"/>
      <c r="E559" s="132"/>
      <c r="F559" s="129"/>
      <c r="G559" s="132"/>
      <c r="H559" s="132"/>
    </row>
    <row r="560" spans="1:8">
      <c r="A560" s="127"/>
      <c r="B560" s="128"/>
      <c r="C560" s="132"/>
      <c r="D560" s="133"/>
      <c r="E560" s="132"/>
      <c r="F560" s="129"/>
      <c r="G560" s="132"/>
      <c r="H560" s="132"/>
    </row>
    <row r="561" spans="1:8">
      <c r="A561" s="127"/>
      <c r="B561" s="128"/>
      <c r="C561" s="132"/>
      <c r="D561" s="133"/>
      <c r="E561" s="132"/>
      <c r="F561" s="129"/>
      <c r="G561" s="132"/>
      <c r="H561" s="132"/>
    </row>
    <row r="562" spans="1:8">
      <c r="A562" s="127"/>
      <c r="B562" s="128"/>
      <c r="C562" s="132"/>
      <c r="D562" s="133"/>
      <c r="E562" s="132"/>
      <c r="F562" s="129"/>
      <c r="G562" s="132"/>
      <c r="H562" s="132"/>
    </row>
    <row r="563" spans="1:8">
      <c r="A563" s="127"/>
      <c r="B563" s="128"/>
      <c r="C563" s="132"/>
      <c r="D563" s="133"/>
      <c r="E563" s="132"/>
      <c r="F563" s="129"/>
      <c r="G563" s="132"/>
      <c r="H563" s="132"/>
    </row>
    <row r="564" spans="1:8">
      <c r="A564" s="127"/>
      <c r="B564" s="128"/>
      <c r="C564" s="132"/>
      <c r="D564" s="133"/>
      <c r="E564" s="132"/>
      <c r="F564" s="129"/>
      <c r="G564" s="132"/>
      <c r="H564" s="132"/>
    </row>
    <row r="565" spans="1:8">
      <c r="A565" s="127"/>
      <c r="B565" s="128"/>
      <c r="C565" s="132"/>
      <c r="D565" s="133"/>
      <c r="E565" s="132"/>
      <c r="F565" s="129"/>
      <c r="G565" s="132"/>
      <c r="H565" s="132"/>
    </row>
    <row r="566" spans="1:8">
      <c r="A566" s="127"/>
      <c r="B566" s="128"/>
      <c r="C566" s="132"/>
      <c r="D566" s="133"/>
      <c r="E566" s="132"/>
      <c r="F566" s="129"/>
      <c r="G566" s="132"/>
      <c r="H566" s="132"/>
    </row>
    <row r="567" spans="1:8">
      <c r="A567" s="127"/>
      <c r="B567" s="128"/>
      <c r="C567" s="132"/>
      <c r="D567" s="133"/>
      <c r="E567" s="132"/>
      <c r="F567" s="129"/>
      <c r="G567" s="132"/>
      <c r="H567" s="132"/>
    </row>
    <row r="568" spans="1:8">
      <c r="A568" s="127"/>
      <c r="B568" s="128"/>
      <c r="C568" s="132"/>
      <c r="D568" s="133"/>
      <c r="E568" s="132"/>
      <c r="F568" s="129"/>
      <c r="G568" s="132"/>
      <c r="H568" s="132"/>
    </row>
    <row r="569" spans="1:8">
      <c r="A569" s="127"/>
      <c r="B569" s="128"/>
      <c r="C569" s="132"/>
      <c r="D569" s="133"/>
      <c r="E569" s="132"/>
      <c r="F569" s="129"/>
      <c r="G569" s="132"/>
      <c r="H569" s="132"/>
    </row>
    <row r="570" spans="1:8">
      <c r="A570" s="127"/>
      <c r="B570" s="128"/>
      <c r="C570" s="132"/>
      <c r="D570" s="133"/>
      <c r="E570" s="132"/>
      <c r="F570" s="129"/>
      <c r="G570" s="132"/>
      <c r="H570" s="132"/>
    </row>
    <row r="571" spans="1:8">
      <c r="A571" s="127"/>
      <c r="B571" s="128"/>
      <c r="C571" s="132"/>
      <c r="D571" s="133"/>
      <c r="E571" s="132"/>
      <c r="F571" s="129"/>
      <c r="G571" s="132"/>
      <c r="H571" s="132"/>
    </row>
    <row r="572" spans="1:8">
      <c r="A572" s="127"/>
      <c r="B572" s="128"/>
      <c r="C572" s="132"/>
      <c r="D572" s="133"/>
      <c r="E572" s="132"/>
      <c r="F572" s="129"/>
      <c r="G572" s="132"/>
      <c r="H572" s="132"/>
    </row>
    <row r="573" spans="1:8">
      <c r="A573" s="127"/>
      <c r="B573" s="128"/>
      <c r="C573" s="132"/>
      <c r="D573" s="133"/>
      <c r="E573" s="132"/>
      <c r="F573" s="129"/>
      <c r="G573" s="132"/>
      <c r="H573" s="132"/>
    </row>
    <row r="574" spans="1:8">
      <c r="A574" s="127"/>
      <c r="B574" s="128"/>
      <c r="C574" s="132"/>
      <c r="D574" s="133"/>
      <c r="E574" s="132"/>
      <c r="F574" s="129"/>
      <c r="G574" s="132"/>
      <c r="H574" s="132"/>
    </row>
    <row r="575" spans="1:8">
      <c r="A575" s="127"/>
      <c r="B575" s="128"/>
      <c r="C575" s="132"/>
      <c r="D575" s="133"/>
      <c r="E575" s="132"/>
      <c r="F575" s="129"/>
      <c r="G575" s="132"/>
      <c r="H575" s="132"/>
    </row>
    <row r="576" spans="1:8">
      <c r="A576" s="127"/>
      <c r="B576" s="128"/>
      <c r="C576" s="132"/>
      <c r="D576" s="133"/>
      <c r="E576" s="132"/>
      <c r="F576" s="129"/>
      <c r="G576" s="132"/>
      <c r="H576" s="132"/>
    </row>
    <row r="577" spans="1:8">
      <c r="A577" s="127"/>
      <c r="B577" s="128"/>
      <c r="C577" s="132"/>
      <c r="D577" s="133"/>
      <c r="E577" s="132"/>
      <c r="F577" s="129"/>
      <c r="G577" s="132"/>
      <c r="H577" s="132"/>
    </row>
    <row r="578" spans="1:8">
      <c r="A578" s="127"/>
      <c r="B578" s="128"/>
      <c r="C578" s="132"/>
      <c r="D578" s="133"/>
      <c r="E578" s="132"/>
      <c r="F578" s="129"/>
      <c r="G578" s="132"/>
      <c r="H578" s="132"/>
    </row>
    <row r="579" spans="1:8">
      <c r="A579" s="127"/>
      <c r="B579" s="128"/>
      <c r="C579" s="132"/>
      <c r="D579" s="133"/>
      <c r="E579" s="132"/>
      <c r="F579" s="129"/>
      <c r="G579" s="132"/>
      <c r="H579" s="132"/>
    </row>
    <row r="580" spans="1:8">
      <c r="A580" s="127"/>
      <c r="B580" s="128"/>
      <c r="C580" s="132"/>
      <c r="D580" s="133"/>
      <c r="E580" s="132"/>
      <c r="F580" s="129"/>
      <c r="G580" s="132"/>
      <c r="H580" s="132"/>
    </row>
    <row r="581" spans="1:8">
      <c r="A581" s="127"/>
      <c r="B581" s="128"/>
      <c r="C581" s="132"/>
      <c r="D581" s="133"/>
      <c r="E581" s="132"/>
      <c r="F581" s="129"/>
      <c r="G581" s="132"/>
      <c r="H581" s="132"/>
    </row>
    <row r="582" spans="1:8">
      <c r="A582" s="127"/>
      <c r="B582" s="128"/>
      <c r="C582" s="132"/>
      <c r="D582" s="133"/>
      <c r="E582" s="132"/>
      <c r="F582" s="129"/>
      <c r="G582" s="132"/>
      <c r="H582" s="132"/>
    </row>
    <row r="583" spans="1:8">
      <c r="A583" s="127"/>
      <c r="B583" s="128"/>
      <c r="C583" s="132"/>
      <c r="D583" s="133"/>
      <c r="E583" s="132"/>
      <c r="F583" s="129"/>
      <c r="G583" s="132"/>
      <c r="H583" s="132"/>
    </row>
    <row r="584" spans="1:8">
      <c r="A584" s="127"/>
      <c r="B584" s="128"/>
      <c r="C584" s="132"/>
      <c r="D584" s="133"/>
      <c r="E584" s="132"/>
      <c r="F584" s="129"/>
      <c r="G584" s="132"/>
      <c r="H584" s="132"/>
    </row>
    <row r="585" spans="1:8">
      <c r="A585" s="127"/>
      <c r="B585" s="128"/>
      <c r="C585" s="132"/>
      <c r="D585" s="133"/>
      <c r="E585" s="132"/>
      <c r="F585" s="129"/>
      <c r="G585" s="132"/>
      <c r="H585" s="132"/>
    </row>
    <row r="586" spans="1:8">
      <c r="A586" s="127"/>
      <c r="B586" s="128"/>
      <c r="C586" s="132"/>
      <c r="D586" s="133"/>
      <c r="E586" s="132"/>
      <c r="F586" s="129"/>
      <c r="G586" s="132"/>
      <c r="H586" s="132"/>
    </row>
    <row r="587" spans="1:8">
      <c r="A587" s="127"/>
      <c r="B587" s="128"/>
      <c r="C587" s="132"/>
      <c r="D587" s="133"/>
      <c r="E587" s="132"/>
      <c r="F587" s="129"/>
      <c r="G587" s="132"/>
      <c r="H587" s="132"/>
    </row>
    <row r="588" spans="1:8">
      <c r="A588" s="127"/>
      <c r="B588" s="128"/>
      <c r="C588" s="132"/>
      <c r="D588" s="133"/>
      <c r="E588" s="132"/>
      <c r="F588" s="129"/>
      <c r="G588" s="132"/>
      <c r="H588" s="132"/>
    </row>
    <row r="589" spans="1:8">
      <c r="A589" s="127"/>
      <c r="B589" s="128"/>
      <c r="C589" s="132"/>
      <c r="D589" s="133"/>
      <c r="E589" s="132"/>
      <c r="F589" s="129"/>
      <c r="G589" s="132"/>
      <c r="H589" s="132"/>
    </row>
    <row r="590" spans="1:8">
      <c r="A590" s="127"/>
      <c r="B590" s="128"/>
      <c r="C590" s="132"/>
      <c r="D590" s="133"/>
      <c r="E590" s="132"/>
      <c r="F590" s="129"/>
      <c r="G590" s="132"/>
      <c r="H590" s="132"/>
    </row>
    <row r="591" spans="1:8">
      <c r="A591" s="127"/>
      <c r="B591" s="128"/>
      <c r="C591" s="132"/>
      <c r="D591" s="133"/>
      <c r="E591" s="132"/>
      <c r="F591" s="129"/>
      <c r="G591" s="132"/>
      <c r="H591" s="132"/>
    </row>
    <row r="592" spans="1:8">
      <c r="A592" s="127"/>
      <c r="B592" s="128"/>
      <c r="C592" s="132"/>
      <c r="D592" s="133"/>
      <c r="E592" s="132"/>
      <c r="F592" s="129"/>
      <c r="G592" s="132"/>
      <c r="H592" s="132"/>
    </row>
    <row r="593" spans="1:8">
      <c r="A593" s="127"/>
      <c r="B593" s="128"/>
      <c r="C593" s="132"/>
      <c r="D593" s="133"/>
      <c r="E593" s="132"/>
      <c r="F593" s="129"/>
      <c r="G593" s="132"/>
      <c r="H593" s="132"/>
    </row>
    <row r="594" spans="1:8">
      <c r="A594" s="127"/>
      <c r="B594" s="128"/>
      <c r="C594" s="132"/>
      <c r="D594" s="133"/>
      <c r="E594" s="132"/>
      <c r="F594" s="129"/>
      <c r="G594" s="132"/>
      <c r="H594" s="132"/>
    </row>
    <row r="595" spans="1:8">
      <c r="A595" s="127"/>
      <c r="B595" s="128"/>
      <c r="C595" s="132"/>
      <c r="D595" s="133"/>
      <c r="E595" s="132"/>
      <c r="F595" s="129"/>
      <c r="G595" s="132"/>
      <c r="H595" s="132"/>
    </row>
    <row r="596" spans="1:8">
      <c r="A596" s="127"/>
      <c r="B596" s="128"/>
      <c r="C596" s="132"/>
      <c r="D596" s="133"/>
      <c r="E596" s="132"/>
      <c r="F596" s="129"/>
      <c r="G596" s="132"/>
      <c r="H596" s="132"/>
    </row>
    <row r="597" spans="1:8">
      <c r="A597" s="127"/>
      <c r="B597" s="128"/>
      <c r="C597" s="132"/>
      <c r="D597" s="133"/>
      <c r="E597" s="132"/>
      <c r="F597" s="129"/>
      <c r="G597" s="132"/>
      <c r="H597" s="132"/>
    </row>
    <row r="598" spans="1:8">
      <c r="A598" s="127"/>
      <c r="B598" s="128"/>
      <c r="C598" s="132"/>
      <c r="D598" s="133"/>
      <c r="E598" s="132"/>
      <c r="F598" s="129"/>
      <c r="G598" s="132"/>
      <c r="H598" s="132"/>
    </row>
    <row r="599" spans="1:8">
      <c r="A599" s="127"/>
      <c r="B599" s="128"/>
      <c r="C599" s="132"/>
      <c r="D599" s="133"/>
      <c r="E599" s="132"/>
      <c r="F599" s="129"/>
      <c r="G599" s="132"/>
      <c r="H599" s="132"/>
    </row>
    <row r="600" spans="1:8">
      <c r="A600" s="127"/>
      <c r="B600" s="128"/>
      <c r="C600" s="132"/>
      <c r="D600" s="133"/>
      <c r="E600" s="132"/>
      <c r="F600" s="129"/>
      <c r="G600" s="132"/>
      <c r="H600" s="132"/>
    </row>
    <row r="601" spans="1:8">
      <c r="A601" s="127"/>
      <c r="B601" s="128"/>
      <c r="C601" s="132"/>
      <c r="D601" s="133"/>
      <c r="E601" s="132"/>
      <c r="F601" s="129"/>
      <c r="G601" s="132"/>
      <c r="H601" s="132"/>
    </row>
    <row r="602" spans="1:8">
      <c r="A602" s="127"/>
      <c r="B602" s="128"/>
      <c r="C602" s="132"/>
      <c r="D602" s="133"/>
      <c r="E602" s="132"/>
      <c r="F602" s="129"/>
      <c r="G602" s="132"/>
      <c r="H602" s="132"/>
    </row>
    <row r="603" spans="1:8">
      <c r="A603" s="127"/>
      <c r="B603" s="128"/>
      <c r="C603" s="132"/>
      <c r="D603" s="133"/>
      <c r="E603" s="132"/>
      <c r="F603" s="129"/>
      <c r="G603" s="132"/>
      <c r="H603" s="132"/>
    </row>
    <row r="604" spans="1:8">
      <c r="A604" s="127"/>
      <c r="B604" s="128"/>
      <c r="C604" s="132"/>
      <c r="D604" s="133"/>
      <c r="E604" s="132"/>
      <c r="F604" s="129"/>
      <c r="G604" s="132"/>
      <c r="H604" s="132"/>
    </row>
    <row r="605" spans="1:8">
      <c r="A605" s="127"/>
      <c r="B605" s="128"/>
      <c r="C605" s="132"/>
      <c r="D605" s="133"/>
      <c r="E605" s="132"/>
      <c r="F605" s="129"/>
      <c r="G605" s="132"/>
      <c r="H605" s="132"/>
    </row>
    <row r="606" spans="1:8">
      <c r="A606" s="127"/>
      <c r="B606" s="128"/>
      <c r="C606" s="132"/>
      <c r="D606" s="133"/>
      <c r="E606" s="132"/>
      <c r="F606" s="129"/>
      <c r="G606" s="132"/>
      <c r="H606" s="132"/>
    </row>
    <row r="607" spans="1:8">
      <c r="A607" s="127"/>
      <c r="B607" s="128"/>
      <c r="C607" s="132"/>
      <c r="D607" s="133"/>
      <c r="E607" s="132"/>
      <c r="F607" s="129"/>
      <c r="G607" s="132"/>
      <c r="H607" s="132"/>
    </row>
    <row r="608" spans="1:8">
      <c r="A608" s="127"/>
      <c r="B608" s="128"/>
      <c r="C608" s="132"/>
      <c r="D608" s="133"/>
      <c r="E608" s="132"/>
      <c r="F608" s="129"/>
      <c r="G608" s="132"/>
      <c r="H608" s="132"/>
    </row>
    <row r="609" spans="1:8">
      <c r="A609" s="127"/>
      <c r="B609" s="128"/>
      <c r="C609" s="132"/>
      <c r="D609" s="133"/>
      <c r="E609" s="132"/>
      <c r="F609" s="129"/>
      <c r="G609" s="132"/>
      <c r="H609" s="132"/>
    </row>
    <row r="610" spans="1:8">
      <c r="A610" s="127"/>
      <c r="B610" s="128"/>
      <c r="C610" s="132"/>
      <c r="D610" s="133"/>
      <c r="E610" s="132"/>
      <c r="F610" s="129"/>
      <c r="G610" s="132"/>
      <c r="H610" s="132"/>
    </row>
    <row r="611" spans="1:8">
      <c r="A611" s="127"/>
      <c r="B611" s="128"/>
      <c r="C611" s="132"/>
      <c r="D611" s="133"/>
      <c r="E611" s="132"/>
      <c r="F611" s="129"/>
      <c r="G611" s="132"/>
      <c r="H611" s="132"/>
    </row>
    <row r="612" spans="1:8">
      <c r="A612" s="127"/>
      <c r="B612" s="128"/>
      <c r="C612" s="132"/>
      <c r="D612" s="133"/>
      <c r="E612" s="132"/>
      <c r="F612" s="129"/>
      <c r="G612" s="132"/>
      <c r="H612" s="132"/>
    </row>
    <row r="613" spans="1:8">
      <c r="A613" s="127"/>
      <c r="B613" s="128"/>
      <c r="C613" s="132"/>
      <c r="D613" s="133"/>
      <c r="E613" s="132"/>
      <c r="F613" s="129"/>
      <c r="G613" s="132"/>
      <c r="H613" s="132"/>
    </row>
    <row r="614" spans="1:8">
      <c r="A614" s="127"/>
      <c r="B614" s="128"/>
      <c r="C614" s="132"/>
      <c r="D614" s="133"/>
      <c r="E614" s="132"/>
      <c r="F614" s="129"/>
      <c r="G614" s="132"/>
      <c r="H614" s="132"/>
    </row>
    <row r="615" spans="1:8">
      <c r="A615" s="127"/>
      <c r="B615" s="128"/>
      <c r="C615" s="132"/>
      <c r="D615" s="133"/>
      <c r="E615" s="132"/>
      <c r="F615" s="129"/>
      <c r="G615" s="132"/>
      <c r="H615" s="132"/>
    </row>
    <row r="616" spans="1:8">
      <c r="A616" s="127"/>
      <c r="B616" s="128"/>
      <c r="C616" s="132"/>
      <c r="D616" s="133"/>
      <c r="E616" s="132"/>
      <c r="F616" s="129"/>
      <c r="G616" s="132"/>
      <c r="H616" s="132"/>
    </row>
    <row r="617" spans="1:8">
      <c r="A617" s="127"/>
      <c r="B617" s="128"/>
      <c r="C617" s="132"/>
      <c r="D617" s="133"/>
      <c r="E617" s="132"/>
      <c r="F617" s="129"/>
      <c r="G617" s="132"/>
      <c r="H617" s="132"/>
    </row>
    <row r="618" spans="1:8">
      <c r="A618" s="127"/>
      <c r="B618" s="128"/>
      <c r="C618" s="132"/>
      <c r="D618" s="133"/>
      <c r="E618" s="132"/>
      <c r="F618" s="129"/>
      <c r="G618" s="132"/>
      <c r="H618" s="132"/>
    </row>
    <row r="619" spans="1:8">
      <c r="A619" s="127"/>
      <c r="B619" s="128"/>
      <c r="C619" s="132"/>
      <c r="D619" s="133"/>
      <c r="E619" s="132"/>
      <c r="F619" s="129"/>
      <c r="G619" s="132"/>
      <c r="H619" s="132"/>
    </row>
    <row r="620" spans="1:8">
      <c r="A620" s="127"/>
      <c r="B620" s="128"/>
      <c r="C620" s="132"/>
      <c r="D620" s="133"/>
      <c r="E620" s="132"/>
      <c r="F620" s="129"/>
      <c r="G620" s="132"/>
      <c r="H620" s="132"/>
    </row>
    <row r="621" spans="1:8">
      <c r="A621" s="127"/>
      <c r="B621" s="128"/>
      <c r="C621" s="132"/>
      <c r="D621" s="133"/>
      <c r="E621" s="132"/>
      <c r="F621" s="129"/>
      <c r="G621" s="132"/>
      <c r="H621" s="132"/>
    </row>
    <row r="622" spans="1:8">
      <c r="A622" s="127"/>
      <c r="B622" s="128"/>
      <c r="C622" s="132"/>
      <c r="D622" s="133"/>
      <c r="E622" s="132"/>
      <c r="F622" s="129"/>
      <c r="G622" s="132"/>
      <c r="H622" s="132"/>
    </row>
    <row r="623" spans="1:8">
      <c r="A623" s="127"/>
      <c r="B623" s="128"/>
      <c r="C623" s="132"/>
      <c r="D623" s="133"/>
      <c r="E623" s="132"/>
      <c r="F623" s="129"/>
      <c r="G623" s="132"/>
      <c r="H623" s="132"/>
    </row>
    <row r="624" spans="1:8">
      <c r="A624" s="127"/>
      <c r="B624" s="128"/>
      <c r="C624" s="132"/>
      <c r="D624" s="133"/>
      <c r="E624" s="132"/>
      <c r="F624" s="129"/>
      <c r="G624" s="132"/>
      <c r="H624" s="132"/>
    </row>
    <row r="625" spans="1:8">
      <c r="A625" s="127"/>
      <c r="B625" s="128"/>
      <c r="C625" s="132"/>
      <c r="D625" s="133"/>
      <c r="E625" s="132"/>
      <c r="F625" s="129"/>
      <c r="G625" s="132"/>
      <c r="H625" s="132"/>
    </row>
    <row r="626" spans="1:8">
      <c r="A626" s="127"/>
      <c r="B626" s="128"/>
      <c r="C626" s="132"/>
      <c r="D626" s="133"/>
      <c r="E626" s="132"/>
      <c r="F626" s="129"/>
      <c r="G626" s="132"/>
      <c r="H626" s="132"/>
    </row>
    <row r="627" spans="1:8">
      <c r="A627" s="127"/>
      <c r="B627" s="128"/>
      <c r="C627" s="132"/>
      <c r="D627" s="133"/>
      <c r="E627" s="132"/>
      <c r="F627" s="129"/>
      <c r="G627" s="132"/>
      <c r="H627" s="132"/>
    </row>
    <row r="628" spans="1:8">
      <c r="A628" s="127"/>
      <c r="B628" s="128"/>
      <c r="C628" s="132"/>
      <c r="D628" s="133"/>
      <c r="E628" s="132"/>
      <c r="F628" s="129"/>
      <c r="G628" s="132"/>
      <c r="H628" s="132"/>
    </row>
    <row r="629" spans="1:8">
      <c r="A629" s="127"/>
      <c r="B629" s="128"/>
      <c r="C629" s="132"/>
      <c r="D629" s="133"/>
      <c r="E629" s="132"/>
      <c r="F629" s="129"/>
      <c r="G629" s="132"/>
      <c r="H629" s="132"/>
    </row>
    <row r="630" spans="1:8">
      <c r="A630" s="127"/>
      <c r="B630" s="128"/>
      <c r="C630" s="132"/>
      <c r="D630" s="133"/>
      <c r="E630" s="132"/>
      <c r="F630" s="129"/>
      <c r="G630" s="132"/>
      <c r="H630" s="132"/>
    </row>
    <row r="631" spans="1:8">
      <c r="A631" s="127"/>
      <c r="B631" s="128"/>
      <c r="C631" s="132"/>
      <c r="D631" s="133"/>
      <c r="E631" s="132"/>
      <c r="F631" s="129"/>
      <c r="G631" s="132"/>
      <c r="H631" s="132"/>
    </row>
    <row r="632" spans="1:8">
      <c r="A632" s="127"/>
      <c r="B632" s="128"/>
      <c r="C632" s="132"/>
      <c r="D632" s="133"/>
      <c r="E632" s="132"/>
      <c r="F632" s="129"/>
      <c r="G632" s="132"/>
      <c r="H632" s="132"/>
    </row>
    <row r="633" spans="1:8">
      <c r="A633" s="127"/>
      <c r="B633" s="128"/>
      <c r="C633" s="132"/>
      <c r="D633" s="133"/>
      <c r="E633" s="132"/>
      <c r="F633" s="129"/>
      <c r="G633" s="132"/>
      <c r="H633" s="132"/>
    </row>
    <row r="634" spans="1:8">
      <c r="A634" s="127"/>
      <c r="B634" s="128"/>
      <c r="C634" s="132"/>
      <c r="D634" s="133"/>
      <c r="E634" s="132"/>
      <c r="F634" s="129"/>
      <c r="G634" s="132"/>
      <c r="H634" s="132"/>
    </row>
    <row r="635" spans="1:8">
      <c r="A635" s="127"/>
      <c r="B635" s="128"/>
      <c r="C635" s="132"/>
      <c r="D635" s="133"/>
      <c r="E635" s="132"/>
      <c r="F635" s="129"/>
      <c r="G635" s="132"/>
      <c r="H635" s="132"/>
    </row>
    <row r="636" spans="1:8">
      <c r="A636" s="127"/>
      <c r="B636" s="128"/>
      <c r="C636" s="132"/>
      <c r="D636" s="133"/>
      <c r="E636" s="132"/>
      <c r="F636" s="129"/>
      <c r="G636" s="132"/>
      <c r="H636" s="132"/>
    </row>
    <row r="637" spans="1:8">
      <c r="A637" s="127"/>
      <c r="B637" s="128"/>
      <c r="C637" s="132"/>
      <c r="D637" s="133"/>
      <c r="E637" s="132"/>
      <c r="F637" s="129"/>
      <c r="G637" s="132"/>
      <c r="H637" s="132"/>
    </row>
    <row r="638" spans="1:8">
      <c r="A638" s="127"/>
      <c r="B638" s="128"/>
      <c r="C638" s="132"/>
      <c r="D638" s="133"/>
      <c r="E638" s="132"/>
      <c r="F638" s="129"/>
      <c r="G638" s="132"/>
      <c r="H638" s="132"/>
    </row>
    <row r="639" spans="1:8">
      <c r="A639" s="127"/>
      <c r="B639" s="128"/>
      <c r="C639" s="132"/>
      <c r="D639" s="133"/>
      <c r="E639" s="132"/>
      <c r="F639" s="129"/>
      <c r="G639" s="132"/>
      <c r="H639" s="132"/>
    </row>
    <row r="640" spans="1:8">
      <c r="A640" s="127"/>
      <c r="B640" s="128"/>
      <c r="C640" s="132"/>
      <c r="D640" s="133"/>
      <c r="E640" s="132"/>
      <c r="F640" s="129"/>
      <c r="G640" s="132"/>
      <c r="H640" s="132"/>
    </row>
    <row r="641" spans="1:8">
      <c r="A641" s="127"/>
      <c r="B641" s="128"/>
      <c r="C641" s="132"/>
      <c r="D641" s="133"/>
      <c r="E641" s="132"/>
      <c r="F641" s="129"/>
      <c r="G641" s="132"/>
      <c r="H641" s="132"/>
    </row>
    <row r="642" spans="1:8">
      <c r="A642" s="127"/>
      <c r="B642" s="128"/>
      <c r="C642" s="132"/>
      <c r="D642" s="133"/>
      <c r="E642" s="132"/>
      <c r="F642" s="129"/>
      <c r="G642" s="132"/>
      <c r="H642" s="132"/>
    </row>
    <row r="643" spans="1:8">
      <c r="A643" s="127"/>
      <c r="B643" s="128"/>
      <c r="C643" s="132"/>
      <c r="D643" s="133"/>
      <c r="E643" s="132"/>
      <c r="F643" s="129"/>
      <c r="G643" s="132"/>
      <c r="H643" s="132"/>
    </row>
    <row r="644" spans="1:8">
      <c r="A644" s="127"/>
      <c r="B644" s="128"/>
      <c r="C644" s="132"/>
      <c r="D644" s="133"/>
      <c r="E644" s="132"/>
      <c r="F644" s="129"/>
      <c r="G644" s="132"/>
      <c r="H644" s="132"/>
    </row>
    <row r="645" spans="1:8">
      <c r="A645" s="127"/>
      <c r="B645" s="128"/>
      <c r="C645" s="132"/>
      <c r="D645" s="133"/>
      <c r="E645" s="132"/>
      <c r="F645" s="129"/>
      <c r="G645" s="132"/>
      <c r="H645" s="132"/>
    </row>
    <row r="646" spans="1:8">
      <c r="A646" s="127"/>
      <c r="B646" s="128"/>
      <c r="C646" s="132"/>
      <c r="D646" s="133"/>
      <c r="E646" s="132"/>
      <c r="F646" s="129"/>
      <c r="G646" s="132"/>
      <c r="H646" s="132"/>
    </row>
    <row r="647" spans="1:8">
      <c r="A647" s="127"/>
      <c r="B647" s="128"/>
      <c r="C647" s="132"/>
      <c r="D647" s="133"/>
      <c r="E647" s="132"/>
      <c r="F647" s="129"/>
      <c r="G647" s="132"/>
      <c r="H647" s="132"/>
    </row>
    <row r="648" spans="1:8">
      <c r="A648" s="127"/>
      <c r="B648" s="128"/>
      <c r="C648" s="132"/>
      <c r="D648" s="133"/>
      <c r="E648" s="132"/>
      <c r="F648" s="129"/>
      <c r="G648" s="132"/>
      <c r="H648" s="132"/>
    </row>
    <row r="649" spans="1:8">
      <c r="A649" s="127"/>
      <c r="B649" s="128"/>
      <c r="C649" s="132"/>
      <c r="D649" s="133"/>
      <c r="E649" s="132"/>
      <c r="F649" s="129"/>
      <c r="G649" s="132"/>
      <c r="H649" s="132"/>
    </row>
    <row r="650" spans="1:8">
      <c r="A650" s="127"/>
      <c r="B650" s="128"/>
      <c r="C650" s="132"/>
      <c r="D650" s="133"/>
      <c r="E650" s="132"/>
      <c r="F650" s="129"/>
      <c r="G650" s="132"/>
      <c r="H650" s="132"/>
    </row>
    <row r="651" spans="1:8">
      <c r="A651" s="127"/>
      <c r="B651" s="128"/>
      <c r="C651" s="132"/>
      <c r="D651" s="133"/>
      <c r="E651" s="132"/>
      <c r="F651" s="129"/>
      <c r="G651" s="132"/>
      <c r="H651" s="132"/>
    </row>
    <row r="652" spans="1:8">
      <c r="A652" s="127"/>
      <c r="B652" s="128"/>
      <c r="C652" s="132"/>
      <c r="D652" s="133"/>
      <c r="E652" s="132"/>
      <c r="F652" s="129"/>
      <c r="G652" s="132"/>
      <c r="H652" s="132"/>
    </row>
    <row r="653" spans="1:8">
      <c r="A653" s="127"/>
      <c r="B653" s="128"/>
      <c r="C653" s="132"/>
      <c r="D653" s="133"/>
      <c r="E653" s="132"/>
      <c r="F653" s="129"/>
      <c r="G653" s="132"/>
      <c r="H653" s="132"/>
    </row>
    <row r="654" spans="1:8">
      <c r="A654" s="127"/>
      <c r="B654" s="128"/>
      <c r="C654" s="132"/>
      <c r="D654" s="133"/>
      <c r="E654" s="132"/>
      <c r="F654" s="129"/>
      <c r="G654" s="132"/>
      <c r="H654" s="132"/>
    </row>
    <row r="655" spans="1:8">
      <c r="A655" s="127"/>
      <c r="B655" s="128"/>
      <c r="C655" s="132"/>
      <c r="D655" s="133"/>
      <c r="E655" s="132"/>
      <c r="F655" s="129"/>
      <c r="G655" s="132"/>
      <c r="H655" s="132"/>
    </row>
    <row r="656" spans="1:8">
      <c r="A656" s="127"/>
      <c r="B656" s="128"/>
      <c r="C656" s="132"/>
      <c r="D656" s="133"/>
      <c r="E656" s="132"/>
      <c r="F656" s="129"/>
      <c r="G656" s="132"/>
      <c r="H656" s="132"/>
    </row>
    <row r="657" spans="1:8">
      <c r="A657" s="127"/>
      <c r="B657" s="128"/>
      <c r="C657" s="132"/>
      <c r="D657" s="133"/>
      <c r="E657" s="132"/>
      <c r="F657" s="129"/>
      <c r="G657" s="132"/>
      <c r="H657" s="132"/>
    </row>
    <row r="658" spans="1:8">
      <c r="A658" s="127"/>
      <c r="B658" s="128"/>
      <c r="C658" s="132"/>
      <c r="D658" s="133"/>
      <c r="E658" s="132"/>
      <c r="F658" s="129"/>
      <c r="G658" s="132"/>
      <c r="H658" s="132"/>
    </row>
    <row r="659" spans="1:8">
      <c r="A659" s="127"/>
      <c r="B659" s="128"/>
      <c r="C659" s="132"/>
      <c r="D659" s="133"/>
      <c r="E659" s="132"/>
      <c r="F659" s="129"/>
      <c r="G659" s="132"/>
      <c r="H659" s="132"/>
    </row>
    <row r="660" spans="1:8">
      <c r="A660" s="127"/>
      <c r="B660" s="128"/>
      <c r="C660" s="132"/>
      <c r="D660" s="133"/>
      <c r="E660" s="132"/>
      <c r="F660" s="129"/>
      <c r="G660" s="132"/>
      <c r="H660" s="132"/>
    </row>
    <row r="661" spans="1:8">
      <c r="A661" s="127"/>
      <c r="B661" s="128"/>
      <c r="C661" s="132"/>
      <c r="D661" s="133"/>
      <c r="E661" s="132"/>
      <c r="F661" s="129"/>
      <c r="G661" s="132"/>
      <c r="H661" s="132"/>
    </row>
    <row r="662" spans="1:8">
      <c r="A662" s="127"/>
      <c r="B662" s="128"/>
      <c r="C662" s="132"/>
      <c r="D662" s="133"/>
      <c r="E662" s="132"/>
      <c r="F662" s="129"/>
      <c r="G662" s="132"/>
      <c r="H662" s="132"/>
    </row>
    <row r="663" spans="1:8">
      <c r="A663" s="127"/>
      <c r="B663" s="128"/>
      <c r="C663" s="132"/>
      <c r="D663" s="133"/>
      <c r="E663" s="132"/>
      <c r="F663" s="129"/>
      <c r="G663" s="132"/>
      <c r="H663" s="132"/>
    </row>
    <row r="664" spans="1:8">
      <c r="A664" s="127"/>
      <c r="B664" s="128"/>
      <c r="C664" s="132"/>
      <c r="D664" s="133"/>
      <c r="E664" s="132"/>
      <c r="F664" s="129"/>
      <c r="G664" s="132"/>
      <c r="H664" s="132"/>
    </row>
    <row r="665" spans="1:8">
      <c r="A665" s="127"/>
      <c r="B665" s="128"/>
      <c r="C665" s="132"/>
      <c r="D665" s="133"/>
      <c r="E665" s="132"/>
      <c r="F665" s="129"/>
      <c r="G665" s="132"/>
      <c r="H665" s="132"/>
    </row>
    <row r="666" spans="1:8">
      <c r="A666" s="127"/>
      <c r="B666" s="128"/>
      <c r="C666" s="132"/>
      <c r="D666" s="133"/>
      <c r="E666" s="132"/>
      <c r="F666" s="129"/>
      <c r="G666" s="132"/>
      <c r="H666" s="132"/>
    </row>
    <row r="667" spans="1:8">
      <c r="A667" s="127"/>
      <c r="B667" s="128"/>
      <c r="C667" s="132"/>
      <c r="D667" s="133"/>
      <c r="E667" s="132"/>
      <c r="F667" s="129"/>
      <c r="G667" s="132"/>
      <c r="H667" s="132"/>
    </row>
    <row r="668" spans="1:8">
      <c r="A668" s="127"/>
      <c r="B668" s="128"/>
      <c r="C668" s="132"/>
      <c r="D668" s="133"/>
      <c r="E668" s="132"/>
      <c r="F668" s="129"/>
      <c r="G668" s="132"/>
      <c r="H668" s="132"/>
    </row>
    <row r="669" spans="1:8">
      <c r="A669" s="127"/>
      <c r="B669" s="128"/>
      <c r="C669" s="132"/>
      <c r="D669" s="133"/>
      <c r="E669" s="132"/>
      <c r="F669" s="129"/>
      <c r="G669" s="132"/>
      <c r="H669" s="132"/>
    </row>
    <row r="670" spans="1:8">
      <c r="A670" s="127"/>
      <c r="B670" s="128"/>
      <c r="C670" s="132"/>
      <c r="D670" s="133"/>
      <c r="E670" s="132"/>
      <c r="F670" s="129"/>
      <c r="G670" s="132"/>
      <c r="H670" s="132"/>
    </row>
    <row r="671" spans="1:8">
      <c r="A671" s="127"/>
      <c r="B671" s="128"/>
      <c r="C671" s="132"/>
      <c r="D671" s="133"/>
      <c r="E671" s="132"/>
      <c r="F671" s="129"/>
      <c r="G671" s="132"/>
      <c r="H671" s="132"/>
    </row>
    <row r="672" spans="1:8">
      <c r="A672" s="127"/>
      <c r="B672" s="128"/>
      <c r="C672" s="132"/>
      <c r="D672" s="133"/>
      <c r="E672" s="132"/>
      <c r="F672" s="129"/>
      <c r="G672" s="132"/>
      <c r="H672" s="132"/>
    </row>
    <row r="673" spans="1:8">
      <c r="A673" s="127"/>
      <c r="B673" s="128"/>
      <c r="C673" s="132"/>
      <c r="D673" s="133"/>
      <c r="E673" s="132"/>
      <c r="F673" s="129"/>
      <c r="G673" s="132"/>
      <c r="H673" s="132"/>
    </row>
    <row r="674" spans="1:8">
      <c r="A674" s="127"/>
      <c r="B674" s="128"/>
      <c r="C674" s="132"/>
      <c r="D674" s="133"/>
      <c r="E674" s="132"/>
      <c r="F674" s="129"/>
      <c r="G674" s="132"/>
      <c r="H674" s="132"/>
    </row>
    <row r="675" spans="1:8">
      <c r="A675" s="127"/>
      <c r="B675" s="128"/>
      <c r="C675" s="132"/>
      <c r="D675" s="133"/>
      <c r="E675" s="132"/>
      <c r="F675" s="129"/>
      <c r="G675" s="132"/>
      <c r="H675" s="132"/>
    </row>
    <row r="676" spans="1:8">
      <c r="A676" s="127"/>
      <c r="B676" s="128"/>
      <c r="C676" s="132"/>
      <c r="D676" s="133"/>
      <c r="E676" s="132"/>
      <c r="F676" s="129"/>
      <c r="G676" s="132"/>
      <c r="H676" s="132"/>
    </row>
    <row r="677" spans="1:8">
      <c r="A677" s="127"/>
      <c r="B677" s="128"/>
      <c r="C677" s="132"/>
      <c r="D677" s="133"/>
      <c r="E677" s="132"/>
      <c r="F677" s="129"/>
      <c r="G677" s="132"/>
      <c r="H677" s="132"/>
    </row>
    <row r="678" spans="1:8">
      <c r="A678" s="127"/>
      <c r="B678" s="128"/>
      <c r="C678" s="132"/>
      <c r="D678" s="133"/>
      <c r="E678" s="132"/>
      <c r="F678" s="129"/>
      <c r="G678" s="132"/>
      <c r="H678" s="132"/>
    </row>
    <row r="679" spans="1:8">
      <c r="A679" s="127"/>
      <c r="B679" s="128"/>
      <c r="C679" s="132"/>
      <c r="D679" s="133"/>
      <c r="E679" s="132"/>
      <c r="F679" s="129"/>
      <c r="G679" s="132"/>
      <c r="H679" s="132"/>
    </row>
    <row r="680" spans="1:8">
      <c r="A680" s="127"/>
      <c r="B680" s="128"/>
      <c r="C680" s="132"/>
      <c r="D680" s="133"/>
      <c r="E680" s="132"/>
      <c r="F680" s="129"/>
      <c r="G680" s="132"/>
      <c r="H680" s="132"/>
    </row>
    <row r="681" spans="1:8">
      <c r="A681" s="127"/>
      <c r="B681" s="128"/>
      <c r="C681" s="132"/>
      <c r="D681" s="133"/>
      <c r="E681" s="132"/>
      <c r="F681" s="129"/>
      <c r="G681" s="132"/>
      <c r="H681" s="132"/>
    </row>
    <row r="682" spans="1:8">
      <c r="A682" s="127"/>
      <c r="B682" s="128"/>
      <c r="C682" s="132"/>
      <c r="D682" s="133"/>
      <c r="E682" s="132"/>
      <c r="F682" s="129"/>
      <c r="G682" s="132"/>
      <c r="H682" s="132"/>
    </row>
    <row r="683" spans="1:8">
      <c r="A683" s="127"/>
      <c r="B683" s="128"/>
      <c r="C683" s="132"/>
      <c r="D683" s="133"/>
      <c r="E683" s="132"/>
      <c r="F683" s="129"/>
      <c r="G683" s="132"/>
      <c r="H683" s="132"/>
    </row>
    <row r="684" spans="1:8">
      <c r="A684" s="127"/>
      <c r="B684" s="128"/>
      <c r="C684" s="132"/>
      <c r="D684" s="133"/>
      <c r="E684" s="132"/>
      <c r="F684" s="129"/>
      <c r="G684" s="132"/>
      <c r="H684" s="132"/>
    </row>
    <row r="685" spans="1:8">
      <c r="A685" s="127"/>
      <c r="B685" s="128"/>
      <c r="C685" s="132"/>
      <c r="D685" s="133"/>
      <c r="E685" s="132"/>
      <c r="F685" s="129"/>
      <c r="G685" s="132"/>
      <c r="H685" s="132"/>
    </row>
    <row r="686" spans="1:8">
      <c r="A686" s="127"/>
      <c r="B686" s="128"/>
      <c r="C686" s="132"/>
      <c r="D686" s="133"/>
      <c r="E686" s="132"/>
      <c r="F686" s="129"/>
      <c r="G686" s="132"/>
      <c r="H686" s="132"/>
    </row>
    <row r="687" spans="1:8">
      <c r="A687" s="127"/>
      <c r="B687" s="128"/>
      <c r="C687" s="132"/>
      <c r="D687" s="133"/>
      <c r="E687" s="132"/>
      <c r="F687" s="129"/>
      <c r="G687" s="132"/>
      <c r="H687" s="132"/>
    </row>
    <row r="688" spans="1:8">
      <c r="A688" s="127"/>
      <c r="B688" s="128"/>
      <c r="C688" s="132"/>
      <c r="D688" s="133"/>
      <c r="E688" s="132"/>
      <c r="F688" s="129"/>
      <c r="G688" s="132"/>
      <c r="H688" s="132"/>
    </row>
    <row r="689" spans="1:8">
      <c r="A689" s="127"/>
      <c r="B689" s="128"/>
      <c r="C689" s="132"/>
      <c r="D689" s="133"/>
      <c r="E689" s="132"/>
      <c r="F689" s="129"/>
      <c r="G689" s="132"/>
      <c r="H689" s="132"/>
    </row>
    <row r="690" spans="1:8">
      <c r="A690" s="127"/>
      <c r="B690" s="128"/>
      <c r="C690" s="132"/>
      <c r="D690" s="133"/>
      <c r="E690" s="132"/>
      <c r="F690" s="129"/>
      <c r="G690" s="132"/>
      <c r="H690" s="132"/>
    </row>
    <row r="691" spans="1:8">
      <c r="A691" s="127"/>
      <c r="B691" s="128"/>
      <c r="C691" s="132"/>
      <c r="D691" s="133"/>
      <c r="E691" s="132"/>
      <c r="F691" s="129"/>
      <c r="G691" s="132"/>
      <c r="H691" s="132"/>
    </row>
    <row r="692" spans="1:8">
      <c r="A692" s="127"/>
      <c r="B692" s="128"/>
      <c r="C692" s="132"/>
      <c r="D692" s="133"/>
      <c r="E692" s="132"/>
      <c r="F692" s="129"/>
      <c r="G692" s="132"/>
      <c r="H692" s="132"/>
    </row>
    <row r="693" spans="1:8">
      <c r="A693" s="127"/>
      <c r="B693" s="128"/>
      <c r="C693" s="132"/>
      <c r="D693" s="133"/>
      <c r="E693" s="132"/>
      <c r="F693" s="129"/>
      <c r="G693" s="132"/>
      <c r="H693" s="132"/>
    </row>
    <row r="694" spans="1:8">
      <c r="A694" s="127"/>
      <c r="B694" s="128"/>
      <c r="C694" s="132"/>
      <c r="D694" s="133"/>
      <c r="E694" s="132"/>
      <c r="F694" s="129"/>
      <c r="G694" s="132"/>
      <c r="H694" s="132"/>
    </row>
    <row r="695" spans="1:8">
      <c r="A695" s="127"/>
      <c r="B695" s="128"/>
      <c r="C695" s="132"/>
      <c r="D695" s="133"/>
      <c r="E695" s="132"/>
      <c r="F695" s="129"/>
      <c r="G695" s="132"/>
      <c r="H695" s="132"/>
    </row>
    <row r="696" spans="1:8">
      <c r="A696" s="127"/>
      <c r="B696" s="128"/>
      <c r="C696" s="132"/>
      <c r="D696" s="133"/>
      <c r="E696" s="132"/>
      <c r="F696" s="129"/>
      <c r="G696" s="132"/>
      <c r="H696" s="132"/>
    </row>
    <row r="697" spans="1:8">
      <c r="A697" s="127"/>
      <c r="B697" s="128"/>
      <c r="C697" s="132"/>
      <c r="D697" s="133"/>
      <c r="E697" s="132"/>
      <c r="F697" s="129"/>
      <c r="G697" s="132"/>
      <c r="H697" s="132"/>
    </row>
    <row r="698" spans="1:8">
      <c r="A698" s="127"/>
      <c r="B698" s="128"/>
      <c r="C698" s="132"/>
      <c r="D698" s="133"/>
      <c r="E698" s="132"/>
      <c r="F698" s="129"/>
      <c r="G698" s="132"/>
      <c r="H698" s="132"/>
    </row>
    <row r="699" spans="1:8">
      <c r="A699" s="127"/>
      <c r="B699" s="128"/>
      <c r="C699" s="132"/>
      <c r="D699" s="133"/>
      <c r="E699" s="132"/>
      <c r="F699" s="129"/>
      <c r="G699" s="132"/>
      <c r="H699" s="132"/>
    </row>
    <row r="700" spans="1:8">
      <c r="A700" s="127"/>
      <c r="B700" s="128"/>
      <c r="C700" s="132"/>
      <c r="D700" s="133"/>
      <c r="E700" s="132"/>
      <c r="F700" s="129"/>
      <c r="G700" s="132"/>
      <c r="H700" s="132"/>
    </row>
    <row r="701" spans="1:8">
      <c r="A701" s="127"/>
      <c r="B701" s="128"/>
      <c r="C701" s="132"/>
      <c r="D701" s="133"/>
      <c r="E701" s="132"/>
      <c r="F701" s="129"/>
      <c r="G701" s="132"/>
      <c r="H701" s="132"/>
    </row>
    <row r="702" spans="1:8">
      <c r="A702" s="127"/>
      <c r="B702" s="128"/>
      <c r="C702" s="132"/>
      <c r="D702" s="133"/>
      <c r="E702" s="132"/>
      <c r="F702" s="129"/>
      <c r="G702" s="132"/>
      <c r="H702" s="132"/>
    </row>
    <row r="703" spans="1:8">
      <c r="A703" s="127"/>
      <c r="B703" s="128"/>
      <c r="C703" s="132"/>
      <c r="D703" s="133"/>
      <c r="E703" s="132"/>
      <c r="F703" s="129"/>
      <c r="G703" s="132"/>
      <c r="H703" s="132"/>
    </row>
    <row r="704" spans="1:8">
      <c r="A704" s="127"/>
      <c r="B704" s="128"/>
      <c r="C704" s="132"/>
      <c r="D704" s="133"/>
      <c r="E704" s="132"/>
      <c r="F704" s="129"/>
      <c r="G704" s="132"/>
      <c r="H704" s="132"/>
    </row>
    <row r="705" spans="1:8">
      <c r="A705" s="127"/>
      <c r="B705" s="128"/>
      <c r="C705" s="132"/>
      <c r="D705" s="133"/>
      <c r="E705" s="132"/>
      <c r="F705" s="129"/>
      <c r="G705" s="132"/>
      <c r="H705" s="132"/>
    </row>
    <row r="706" spans="1:8">
      <c r="A706" s="127"/>
      <c r="B706" s="128"/>
      <c r="C706" s="132"/>
      <c r="D706" s="133"/>
      <c r="E706" s="132"/>
      <c r="F706" s="129"/>
      <c r="G706" s="132"/>
      <c r="H706" s="132"/>
    </row>
    <row r="707" spans="1:8">
      <c r="A707" s="127"/>
      <c r="B707" s="128"/>
      <c r="C707" s="132"/>
      <c r="D707" s="133"/>
      <c r="E707" s="132"/>
      <c r="F707" s="129"/>
      <c r="G707" s="132"/>
      <c r="H707" s="132"/>
    </row>
    <row r="708" spans="1:8">
      <c r="A708" s="127"/>
      <c r="B708" s="128"/>
      <c r="C708" s="132"/>
      <c r="D708" s="133"/>
      <c r="E708" s="132"/>
      <c r="F708" s="129"/>
      <c r="G708" s="132"/>
      <c r="H708" s="132"/>
    </row>
    <row r="709" spans="1:8">
      <c r="A709" s="127"/>
      <c r="B709" s="128"/>
      <c r="C709" s="132"/>
      <c r="D709" s="133"/>
      <c r="E709" s="132"/>
      <c r="F709" s="129"/>
      <c r="G709" s="132"/>
      <c r="H709" s="132"/>
    </row>
    <row r="710" spans="1:8">
      <c r="A710" s="127"/>
      <c r="B710" s="128"/>
      <c r="C710" s="132"/>
      <c r="D710" s="133"/>
      <c r="E710" s="132"/>
      <c r="F710" s="129"/>
      <c r="G710" s="132"/>
      <c r="H710" s="132"/>
    </row>
    <row r="711" spans="1:8">
      <c r="A711" s="127"/>
      <c r="B711" s="128"/>
      <c r="C711" s="132"/>
      <c r="D711" s="133"/>
      <c r="E711" s="132"/>
      <c r="F711" s="129"/>
      <c r="G711" s="132"/>
      <c r="H711" s="132"/>
    </row>
    <row r="712" spans="1:8">
      <c r="A712" s="127"/>
      <c r="B712" s="128"/>
      <c r="C712" s="132"/>
      <c r="D712" s="133"/>
      <c r="E712" s="132"/>
      <c r="F712" s="129"/>
      <c r="G712" s="132"/>
      <c r="H712" s="132"/>
    </row>
    <row r="713" spans="1:8">
      <c r="A713" s="127"/>
      <c r="B713" s="128"/>
      <c r="C713" s="132"/>
      <c r="D713" s="133"/>
      <c r="E713" s="132"/>
      <c r="F713" s="129"/>
      <c r="G713" s="132"/>
      <c r="H713" s="132"/>
    </row>
    <row r="714" spans="1:8">
      <c r="A714" s="127"/>
      <c r="B714" s="128"/>
      <c r="C714" s="132"/>
      <c r="D714" s="133"/>
      <c r="E714" s="132"/>
      <c r="F714" s="129"/>
      <c r="G714" s="132"/>
      <c r="H714" s="132"/>
    </row>
    <row r="715" spans="1:8">
      <c r="A715" s="127"/>
      <c r="B715" s="128"/>
      <c r="C715" s="132"/>
      <c r="D715" s="133"/>
      <c r="E715" s="132"/>
      <c r="F715" s="129"/>
      <c r="G715" s="132"/>
      <c r="H715" s="132"/>
    </row>
    <row r="716" spans="1:8">
      <c r="A716" s="127"/>
      <c r="B716" s="128"/>
      <c r="C716" s="132"/>
      <c r="D716" s="133"/>
      <c r="E716" s="132"/>
      <c r="F716" s="129"/>
      <c r="G716" s="132"/>
      <c r="H716" s="132"/>
    </row>
    <row r="717" spans="1:8">
      <c r="A717" s="127"/>
      <c r="B717" s="128"/>
      <c r="C717" s="132"/>
      <c r="D717" s="133"/>
      <c r="E717" s="132"/>
      <c r="F717" s="129"/>
      <c r="G717" s="132"/>
      <c r="H717" s="132"/>
    </row>
    <row r="718" spans="1:8">
      <c r="A718" s="127"/>
      <c r="B718" s="128"/>
      <c r="C718" s="132"/>
      <c r="D718" s="133"/>
      <c r="E718" s="132"/>
      <c r="F718" s="129"/>
      <c r="G718" s="132"/>
      <c r="H718" s="132"/>
    </row>
    <row r="719" spans="1:8">
      <c r="A719" s="127"/>
      <c r="B719" s="128"/>
      <c r="C719" s="132"/>
      <c r="D719" s="133"/>
      <c r="E719" s="132"/>
      <c r="F719" s="129"/>
      <c r="G719" s="132"/>
      <c r="H719" s="132"/>
    </row>
    <row r="720" spans="1:8">
      <c r="A720" s="127"/>
      <c r="B720" s="128"/>
      <c r="C720" s="132"/>
      <c r="D720" s="133"/>
      <c r="E720" s="132"/>
      <c r="F720" s="129"/>
      <c r="G720" s="132"/>
      <c r="H720" s="132"/>
    </row>
    <row r="721" spans="1:8">
      <c r="A721" s="127"/>
      <c r="B721" s="128"/>
      <c r="C721" s="132"/>
      <c r="D721" s="133"/>
      <c r="E721" s="132"/>
      <c r="F721" s="129"/>
      <c r="G721" s="132"/>
      <c r="H721" s="132"/>
    </row>
    <row r="722" spans="1:8">
      <c r="A722" s="127"/>
      <c r="B722" s="128"/>
      <c r="C722" s="132"/>
      <c r="D722" s="133"/>
      <c r="E722" s="132"/>
      <c r="F722" s="129"/>
      <c r="G722" s="132"/>
      <c r="H722" s="132"/>
    </row>
    <row r="723" spans="1:8">
      <c r="A723" s="127"/>
      <c r="B723" s="128"/>
      <c r="C723" s="132"/>
      <c r="D723" s="133"/>
      <c r="E723" s="132"/>
      <c r="F723" s="129"/>
      <c r="G723" s="132"/>
      <c r="H723" s="132"/>
    </row>
    <row r="724" spans="1:8">
      <c r="A724" s="127"/>
      <c r="B724" s="128"/>
      <c r="C724" s="132"/>
      <c r="D724" s="133"/>
      <c r="E724" s="132"/>
      <c r="F724" s="129"/>
      <c r="G724" s="132"/>
      <c r="H724" s="132"/>
    </row>
    <row r="725" spans="1:8">
      <c r="A725" s="127"/>
      <c r="B725" s="128"/>
      <c r="C725" s="132"/>
      <c r="D725" s="133"/>
      <c r="E725" s="132"/>
      <c r="F725" s="129"/>
      <c r="G725" s="132"/>
      <c r="H725" s="132"/>
    </row>
    <row r="726" spans="1:8">
      <c r="A726" s="127"/>
      <c r="B726" s="128"/>
      <c r="C726" s="132"/>
      <c r="D726" s="133"/>
      <c r="E726" s="132"/>
      <c r="F726" s="129"/>
      <c r="G726" s="132"/>
      <c r="H726" s="132"/>
    </row>
    <row r="727" spans="1:8">
      <c r="A727" s="127"/>
      <c r="B727" s="128"/>
      <c r="C727" s="132"/>
      <c r="D727" s="133"/>
      <c r="E727" s="132"/>
      <c r="F727" s="129"/>
      <c r="G727" s="132"/>
      <c r="H727" s="132"/>
    </row>
    <row r="728" spans="1:8">
      <c r="A728" s="127"/>
      <c r="B728" s="128"/>
      <c r="C728" s="132"/>
      <c r="D728" s="133"/>
      <c r="E728" s="132"/>
      <c r="F728" s="129"/>
      <c r="G728" s="132"/>
      <c r="H728" s="132"/>
    </row>
    <row r="729" spans="1:8">
      <c r="A729" s="127"/>
      <c r="B729" s="128"/>
      <c r="C729" s="132"/>
      <c r="D729" s="133"/>
      <c r="E729" s="132"/>
      <c r="F729" s="129"/>
      <c r="G729" s="132"/>
      <c r="H729" s="132"/>
    </row>
    <row r="730" spans="1:8">
      <c r="A730" s="127"/>
      <c r="B730" s="128"/>
      <c r="C730" s="132"/>
      <c r="D730" s="133"/>
      <c r="E730" s="132"/>
      <c r="F730" s="129"/>
      <c r="G730" s="132"/>
      <c r="H730" s="132"/>
    </row>
    <row r="731" spans="1:8">
      <c r="A731" s="127"/>
      <c r="B731" s="128"/>
      <c r="C731" s="132"/>
      <c r="D731" s="133"/>
      <c r="E731" s="132"/>
      <c r="F731" s="129"/>
      <c r="G731" s="132"/>
      <c r="H731" s="132"/>
    </row>
    <row r="732" spans="1:8">
      <c r="A732" s="127"/>
      <c r="B732" s="128"/>
      <c r="C732" s="132"/>
      <c r="D732" s="133"/>
      <c r="E732" s="132"/>
      <c r="F732" s="129"/>
      <c r="G732" s="132"/>
      <c r="H732" s="132"/>
    </row>
    <row r="733" spans="1:8">
      <c r="A733" s="127"/>
      <c r="B733" s="128"/>
      <c r="C733" s="132"/>
      <c r="D733" s="133"/>
      <c r="E733" s="132"/>
      <c r="F733" s="129"/>
      <c r="G733" s="132"/>
      <c r="H733" s="132"/>
    </row>
    <row r="734" spans="1:8">
      <c r="A734" s="127"/>
      <c r="B734" s="128"/>
      <c r="C734" s="132"/>
      <c r="D734" s="133"/>
      <c r="E734" s="132"/>
      <c r="F734" s="129"/>
      <c r="G734" s="132"/>
      <c r="H734" s="132"/>
    </row>
    <row r="735" spans="1:8">
      <c r="A735" s="127"/>
      <c r="B735" s="128"/>
      <c r="C735" s="132"/>
      <c r="D735" s="133"/>
      <c r="E735" s="132"/>
      <c r="F735" s="129"/>
      <c r="G735" s="132"/>
      <c r="H735" s="132"/>
    </row>
    <row r="736" spans="1:8">
      <c r="A736" s="127"/>
      <c r="B736" s="128"/>
      <c r="C736" s="132"/>
      <c r="D736" s="133"/>
      <c r="E736" s="132"/>
      <c r="F736" s="129"/>
      <c r="G736" s="132"/>
      <c r="H736" s="132"/>
    </row>
    <row r="737" spans="1:8">
      <c r="A737" s="127"/>
      <c r="B737" s="128"/>
      <c r="C737" s="132"/>
      <c r="D737" s="133"/>
      <c r="E737" s="132"/>
      <c r="F737" s="129"/>
      <c r="G737" s="132"/>
      <c r="H737" s="132"/>
    </row>
    <row r="738" spans="1:8">
      <c r="A738" s="127"/>
      <c r="B738" s="128"/>
      <c r="C738" s="132"/>
      <c r="D738" s="133"/>
      <c r="E738" s="132"/>
      <c r="F738" s="129"/>
      <c r="G738" s="132"/>
      <c r="H738" s="132"/>
    </row>
    <row r="739" spans="1:8">
      <c r="A739" s="127"/>
      <c r="B739" s="128"/>
      <c r="C739" s="132"/>
      <c r="D739" s="133"/>
      <c r="E739" s="132"/>
      <c r="F739" s="129"/>
      <c r="G739" s="132"/>
      <c r="H739" s="132"/>
    </row>
    <row r="740" spans="1:8">
      <c r="A740" s="127"/>
      <c r="B740" s="128"/>
      <c r="C740" s="132"/>
      <c r="D740" s="133"/>
      <c r="E740" s="132"/>
      <c r="F740" s="129"/>
      <c r="G740" s="132"/>
      <c r="H740" s="132"/>
    </row>
    <row r="741" spans="1:8">
      <c r="A741" s="127"/>
      <c r="B741" s="128"/>
      <c r="C741" s="132"/>
      <c r="D741" s="133"/>
      <c r="E741" s="132"/>
      <c r="F741" s="129"/>
      <c r="G741" s="132"/>
      <c r="H741" s="132"/>
    </row>
    <row r="742" spans="1:8">
      <c r="A742" s="127"/>
      <c r="B742" s="128"/>
      <c r="C742" s="132"/>
      <c r="D742" s="133"/>
      <c r="E742" s="132"/>
      <c r="F742" s="129"/>
      <c r="G742" s="132"/>
      <c r="H742" s="132"/>
    </row>
    <row r="743" spans="1:8">
      <c r="A743" s="127"/>
      <c r="B743" s="128"/>
      <c r="C743" s="132"/>
      <c r="D743" s="133"/>
      <c r="E743" s="132"/>
      <c r="F743" s="129"/>
      <c r="G743" s="132"/>
      <c r="H743" s="132"/>
    </row>
    <row r="744" spans="1:8">
      <c r="A744" s="127"/>
      <c r="B744" s="128"/>
      <c r="C744" s="132"/>
      <c r="D744" s="133"/>
      <c r="E744" s="132"/>
      <c r="F744" s="129"/>
      <c r="G744" s="132"/>
      <c r="H744" s="132"/>
    </row>
    <row r="745" spans="1:8">
      <c r="A745" s="127"/>
      <c r="B745" s="128"/>
      <c r="C745" s="132"/>
      <c r="D745" s="133"/>
      <c r="E745" s="132"/>
      <c r="F745" s="129"/>
      <c r="G745" s="132"/>
      <c r="H745" s="132"/>
    </row>
    <row r="746" spans="1:8">
      <c r="A746" s="127"/>
      <c r="B746" s="128"/>
      <c r="C746" s="132"/>
      <c r="D746" s="133"/>
      <c r="E746" s="132"/>
      <c r="F746" s="129"/>
      <c r="G746" s="132"/>
      <c r="H746" s="132"/>
    </row>
    <row r="747" spans="1:8">
      <c r="A747" s="127"/>
      <c r="B747" s="128"/>
      <c r="C747" s="132"/>
      <c r="D747" s="133"/>
      <c r="E747" s="132"/>
      <c r="F747" s="129"/>
      <c r="G747" s="132"/>
      <c r="H747" s="132"/>
    </row>
    <row r="748" spans="1:8">
      <c r="A748" s="127"/>
      <c r="B748" s="128"/>
      <c r="C748" s="132"/>
      <c r="D748" s="133"/>
      <c r="E748" s="132"/>
      <c r="F748" s="129"/>
      <c r="G748" s="132"/>
      <c r="H748" s="132"/>
    </row>
    <row r="749" spans="1:8">
      <c r="A749" s="127"/>
      <c r="B749" s="128"/>
      <c r="C749" s="132"/>
      <c r="D749" s="133"/>
      <c r="E749" s="132"/>
      <c r="F749" s="129"/>
      <c r="G749" s="132"/>
      <c r="H749" s="132"/>
    </row>
    <row r="750" spans="1:8">
      <c r="A750" s="127"/>
      <c r="B750" s="128"/>
      <c r="C750" s="132"/>
      <c r="D750" s="133"/>
      <c r="E750" s="132"/>
      <c r="F750" s="129"/>
      <c r="G750" s="132"/>
      <c r="H750" s="132"/>
    </row>
    <row r="751" spans="1:8">
      <c r="A751" s="127"/>
      <c r="B751" s="128"/>
      <c r="C751" s="132"/>
      <c r="D751" s="133"/>
      <c r="E751" s="132"/>
      <c r="F751" s="129"/>
      <c r="G751" s="132"/>
      <c r="H751" s="132"/>
    </row>
    <row r="752" spans="1:8">
      <c r="A752" s="127"/>
      <c r="B752" s="128"/>
      <c r="C752" s="132"/>
      <c r="D752" s="133"/>
      <c r="E752" s="132"/>
      <c r="F752" s="129"/>
      <c r="G752" s="132"/>
      <c r="H752" s="132"/>
    </row>
    <row r="753" spans="1:8">
      <c r="A753" s="127"/>
      <c r="B753" s="128"/>
      <c r="C753" s="132"/>
      <c r="D753" s="133"/>
      <c r="E753" s="132"/>
      <c r="F753" s="129"/>
      <c r="G753" s="132"/>
      <c r="H753" s="132"/>
    </row>
    <row r="754" spans="1:8">
      <c r="A754" s="127"/>
      <c r="B754" s="128"/>
      <c r="C754" s="132"/>
      <c r="D754" s="133"/>
      <c r="E754" s="132"/>
      <c r="F754" s="129"/>
      <c r="G754" s="132"/>
      <c r="H754" s="132"/>
    </row>
    <row r="755" spans="1:8">
      <c r="A755" s="127"/>
      <c r="B755" s="128"/>
      <c r="C755" s="132"/>
      <c r="D755" s="133"/>
      <c r="E755" s="132"/>
      <c r="F755" s="129"/>
      <c r="G755" s="132"/>
      <c r="H755" s="132"/>
    </row>
    <row r="756" spans="1:8">
      <c r="A756" s="127"/>
      <c r="B756" s="128"/>
      <c r="C756" s="132"/>
      <c r="D756" s="133"/>
      <c r="E756" s="132"/>
      <c r="F756" s="129"/>
      <c r="G756" s="132"/>
      <c r="H756" s="132"/>
    </row>
    <row r="757" spans="1:8">
      <c r="A757" s="127"/>
      <c r="B757" s="128"/>
      <c r="C757" s="132"/>
      <c r="D757" s="133"/>
      <c r="E757" s="132"/>
      <c r="F757" s="129"/>
      <c r="G757" s="132"/>
      <c r="H757" s="132"/>
    </row>
    <row r="758" spans="1:8">
      <c r="A758" s="127"/>
      <c r="B758" s="128"/>
      <c r="C758" s="132"/>
      <c r="D758" s="133"/>
      <c r="E758" s="132"/>
      <c r="F758" s="129"/>
      <c r="G758" s="132"/>
      <c r="H758" s="132"/>
    </row>
    <row r="759" spans="1:8">
      <c r="A759" s="127"/>
      <c r="B759" s="128"/>
      <c r="C759" s="132"/>
      <c r="D759" s="133"/>
      <c r="E759" s="132"/>
      <c r="F759" s="129"/>
      <c r="G759" s="132"/>
      <c r="H759" s="132"/>
    </row>
    <row r="760" spans="1:8">
      <c r="A760" s="127"/>
      <c r="B760" s="128"/>
      <c r="C760" s="132"/>
      <c r="D760" s="133"/>
      <c r="E760" s="132"/>
      <c r="F760" s="129"/>
      <c r="G760" s="132"/>
      <c r="H760" s="132"/>
    </row>
    <row r="761" spans="1:8">
      <c r="A761" s="127"/>
      <c r="B761" s="128"/>
      <c r="C761" s="132"/>
      <c r="D761" s="133"/>
      <c r="E761" s="132"/>
      <c r="F761" s="129"/>
      <c r="G761" s="132"/>
      <c r="H761" s="132"/>
    </row>
    <row r="762" spans="1:8">
      <c r="A762" s="127"/>
      <c r="B762" s="128"/>
      <c r="C762" s="132"/>
      <c r="D762" s="133"/>
      <c r="E762" s="132"/>
      <c r="F762" s="129"/>
      <c r="G762" s="132"/>
      <c r="H762" s="132"/>
    </row>
    <row r="763" spans="1:8">
      <c r="A763" s="127"/>
      <c r="B763" s="128"/>
      <c r="C763" s="132"/>
      <c r="D763" s="133"/>
      <c r="E763" s="132"/>
      <c r="F763" s="129"/>
      <c r="G763" s="132"/>
      <c r="H763" s="132"/>
    </row>
    <row r="764" spans="1:8">
      <c r="A764" s="127"/>
      <c r="B764" s="128"/>
      <c r="C764" s="132"/>
      <c r="D764" s="133"/>
      <c r="E764" s="132"/>
      <c r="F764" s="129"/>
      <c r="G764" s="132"/>
      <c r="H764" s="132"/>
    </row>
    <row r="765" spans="1:8">
      <c r="A765" s="127"/>
      <c r="B765" s="128"/>
      <c r="C765" s="132"/>
      <c r="D765" s="133"/>
      <c r="E765" s="132"/>
      <c r="F765" s="129"/>
      <c r="G765" s="132"/>
      <c r="H765" s="132"/>
    </row>
    <row r="766" spans="1:8">
      <c r="A766" s="127"/>
      <c r="B766" s="128"/>
      <c r="C766" s="132"/>
      <c r="D766" s="133"/>
      <c r="E766" s="132"/>
      <c r="F766" s="129"/>
      <c r="G766" s="132"/>
      <c r="H766" s="132"/>
    </row>
    <row r="767" spans="1:8">
      <c r="A767" s="127"/>
      <c r="B767" s="128"/>
      <c r="C767" s="132"/>
      <c r="D767" s="133"/>
      <c r="E767" s="132"/>
      <c r="F767" s="129"/>
      <c r="G767" s="132"/>
      <c r="H767" s="132"/>
    </row>
    <row r="768" spans="1:8">
      <c r="A768" s="127"/>
      <c r="B768" s="128"/>
      <c r="C768" s="132"/>
      <c r="D768" s="133"/>
      <c r="E768" s="132"/>
      <c r="F768" s="129"/>
      <c r="G768" s="132"/>
      <c r="H768" s="132"/>
    </row>
    <row r="769" spans="1:8">
      <c r="A769" s="127"/>
      <c r="B769" s="128"/>
      <c r="C769" s="132"/>
      <c r="D769" s="133"/>
      <c r="E769" s="132"/>
      <c r="F769" s="129"/>
      <c r="G769" s="132"/>
      <c r="H769" s="132"/>
    </row>
    <row r="770" spans="1:8">
      <c r="A770" s="127"/>
      <c r="B770" s="128"/>
      <c r="C770" s="132"/>
      <c r="D770" s="133"/>
      <c r="E770" s="132"/>
      <c r="F770" s="129"/>
      <c r="G770" s="132"/>
      <c r="H770" s="132"/>
    </row>
    <row r="771" spans="1:8">
      <c r="A771" s="127"/>
      <c r="B771" s="128"/>
      <c r="C771" s="132"/>
      <c r="D771" s="133"/>
      <c r="E771" s="132"/>
      <c r="F771" s="129"/>
      <c r="G771" s="132"/>
      <c r="H771" s="132"/>
    </row>
    <row r="772" spans="1:8">
      <c r="A772" s="127"/>
      <c r="B772" s="128"/>
      <c r="C772" s="132"/>
      <c r="D772" s="133"/>
      <c r="E772" s="132"/>
      <c r="F772" s="129"/>
      <c r="G772" s="132"/>
      <c r="H772" s="132"/>
    </row>
    <row r="773" spans="1:8">
      <c r="A773" s="127"/>
      <c r="B773" s="128"/>
      <c r="C773" s="132"/>
      <c r="D773" s="133"/>
      <c r="E773" s="132"/>
      <c r="F773" s="129"/>
      <c r="G773" s="132"/>
      <c r="H773" s="132"/>
    </row>
    <row r="774" spans="1:8">
      <c r="A774" s="127"/>
      <c r="B774" s="128"/>
      <c r="C774" s="132"/>
      <c r="D774" s="133"/>
      <c r="E774" s="132"/>
      <c r="F774" s="129"/>
      <c r="G774" s="132"/>
      <c r="H774" s="132"/>
    </row>
    <row r="775" spans="1:8">
      <c r="A775" s="127"/>
      <c r="B775" s="128"/>
      <c r="C775" s="132"/>
      <c r="D775" s="133"/>
      <c r="E775" s="132"/>
      <c r="F775" s="129"/>
      <c r="G775" s="132"/>
      <c r="H775" s="132"/>
    </row>
    <row r="776" spans="1:8">
      <c r="A776" s="127"/>
      <c r="B776" s="128"/>
      <c r="C776" s="132"/>
      <c r="D776" s="133"/>
      <c r="E776" s="132"/>
      <c r="F776" s="129"/>
      <c r="G776" s="132"/>
      <c r="H776" s="132"/>
    </row>
    <row r="777" spans="1:8">
      <c r="A777" s="127"/>
      <c r="B777" s="128"/>
      <c r="C777" s="132"/>
      <c r="D777" s="133"/>
      <c r="E777" s="132"/>
      <c r="F777" s="129"/>
      <c r="G777" s="132"/>
      <c r="H777" s="132"/>
    </row>
    <row r="778" spans="1:8">
      <c r="A778" s="127"/>
      <c r="B778" s="128"/>
      <c r="C778" s="132"/>
      <c r="D778" s="133"/>
      <c r="E778" s="132"/>
      <c r="F778" s="129"/>
      <c r="G778" s="132"/>
      <c r="H778" s="132"/>
    </row>
    <row r="779" spans="1:8">
      <c r="A779" s="127"/>
      <c r="B779" s="128"/>
      <c r="C779" s="132"/>
      <c r="D779" s="133"/>
      <c r="E779" s="132"/>
      <c r="F779" s="129"/>
      <c r="G779" s="132"/>
      <c r="H779" s="132"/>
    </row>
    <row r="780" spans="1:8">
      <c r="A780" s="127"/>
      <c r="B780" s="128"/>
      <c r="C780" s="132"/>
      <c r="D780" s="133"/>
      <c r="E780" s="132"/>
      <c r="F780" s="129"/>
      <c r="G780" s="132"/>
      <c r="H780" s="132"/>
    </row>
    <row r="781" spans="1:8">
      <c r="A781" s="127"/>
      <c r="B781" s="128"/>
      <c r="C781" s="132"/>
      <c r="D781" s="133"/>
      <c r="E781" s="132"/>
      <c r="F781" s="129"/>
      <c r="G781" s="132"/>
      <c r="H781" s="132"/>
    </row>
    <row r="782" spans="1:8">
      <c r="A782" s="127"/>
      <c r="B782" s="128"/>
      <c r="C782" s="132"/>
      <c r="D782" s="133"/>
      <c r="E782" s="132"/>
      <c r="F782" s="129"/>
      <c r="G782" s="132"/>
      <c r="H782" s="132"/>
    </row>
    <row r="783" spans="1:8">
      <c r="A783" s="127"/>
      <c r="B783" s="128"/>
      <c r="C783" s="132"/>
      <c r="D783" s="133"/>
      <c r="E783" s="132"/>
      <c r="F783" s="129"/>
      <c r="G783" s="132"/>
      <c r="H783" s="132"/>
    </row>
    <row r="784" spans="1:8">
      <c r="A784" s="127"/>
      <c r="B784" s="128"/>
      <c r="C784" s="132"/>
      <c r="D784" s="133"/>
      <c r="E784" s="132"/>
      <c r="F784" s="129"/>
      <c r="G784" s="132"/>
      <c r="H784" s="132"/>
    </row>
    <row r="785" spans="1:8">
      <c r="A785" s="127"/>
      <c r="B785" s="128"/>
      <c r="C785" s="132"/>
      <c r="D785" s="133"/>
      <c r="E785" s="132"/>
      <c r="F785" s="129"/>
      <c r="G785" s="132"/>
      <c r="H785" s="132"/>
    </row>
    <row r="786" spans="1:8">
      <c r="A786" s="127"/>
      <c r="B786" s="128"/>
      <c r="C786" s="132"/>
      <c r="D786" s="133"/>
      <c r="E786" s="132"/>
      <c r="F786" s="129"/>
      <c r="G786" s="132"/>
      <c r="H786" s="132"/>
    </row>
    <row r="787" spans="1:8">
      <c r="A787" s="127"/>
      <c r="B787" s="128"/>
      <c r="C787" s="132"/>
      <c r="D787" s="133"/>
      <c r="E787" s="132"/>
      <c r="F787" s="129"/>
      <c r="G787" s="132"/>
      <c r="H787" s="132"/>
    </row>
    <row r="788" spans="1:8">
      <c r="A788" s="127"/>
      <c r="B788" s="128"/>
      <c r="C788" s="132"/>
      <c r="D788" s="133"/>
      <c r="E788" s="132"/>
      <c r="F788" s="129"/>
      <c r="G788" s="132"/>
      <c r="H788" s="132"/>
    </row>
    <row r="789" spans="1:8">
      <c r="A789" s="127"/>
      <c r="B789" s="128"/>
      <c r="C789" s="132"/>
      <c r="D789" s="133"/>
      <c r="E789" s="132"/>
      <c r="F789" s="129"/>
      <c r="G789" s="132"/>
      <c r="H789" s="132"/>
    </row>
    <row r="790" spans="1:8">
      <c r="A790" s="127"/>
      <c r="B790" s="128"/>
      <c r="C790" s="132"/>
      <c r="D790" s="133"/>
      <c r="E790" s="132"/>
      <c r="F790" s="129"/>
      <c r="G790" s="132"/>
      <c r="H790" s="132"/>
    </row>
    <row r="791" spans="1:8">
      <c r="A791" s="127"/>
      <c r="B791" s="128"/>
      <c r="C791" s="132"/>
      <c r="D791" s="133"/>
      <c r="E791" s="132"/>
      <c r="F791" s="129"/>
      <c r="G791" s="132"/>
      <c r="H791" s="132"/>
    </row>
    <row r="792" spans="1:8">
      <c r="A792" s="127"/>
      <c r="B792" s="128"/>
      <c r="C792" s="132"/>
      <c r="D792" s="133"/>
      <c r="E792" s="132"/>
      <c r="F792" s="129"/>
      <c r="G792" s="132"/>
      <c r="H792" s="132"/>
    </row>
    <row r="793" spans="1:8">
      <c r="A793" s="127"/>
      <c r="B793" s="128"/>
      <c r="C793" s="132"/>
      <c r="D793" s="133"/>
      <c r="E793" s="132"/>
      <c r="F793" s="129"/>
      <c r="G793" s="132"/>
      <c r="H793" s="132"/>
    </row>
    <row r="794" spans="1:8">
      <c r="A794" s="127"/>
      <c r="B794" s="128"/>
      <c r="C794" s="132"/>
      <c r="D794" s="133"/>
      <c r="E794" s="132"/>
      <c r="F794" s="129"/>
      <c r="G794" s="132"/>
      <c r="H794" s="132"/>
    </row>
    <row r="795" spans="1:8">
      <c r="A795" s="127"/>
      <c r="B795" s="128"/>
      <c r="C795" s="132"/>
      <c r="D795" s="133"/>
      <c r="E795" s="132"/>
      <c r="F795" s="129"/>
      <c r="G795" s="132"/>
      <c r="H795" s="132"/>
    </row>
    <row r="796" spans="1:8">
      <c r="A796" s="127"/>
      <c r="B796" s="128"/>
      <c r="C796" s="132"/>
      <c r="D796" s="133"/>
      <c r="E796" s="132"/>
      <c r="F796" s="129"/>
      <c r="G796" s="132"/>
      <c r="H796" s="132"/>
    </row>
    <row r="797" spans="1:8">
      <c r="A797" s="127"/>
      <c r="B797" s="128"/>
      <c r="C797" s="132"/>
      <c r="D797" s="133"/>
      <c r="E797" s="132"/>
      <c r="F797" s="129"/>
      <c r="G797" s="132"/>
      <c r="H797" s="132"/>
    </row>
    <row r="798" spans="1:8">
      <c r="A798" s="127"/>
      <c r="B798" s="128"/>
      <c r="C798" s="132"/>
      <c r="D798" s="133"/>
      <c r="E798" s="132"/>
      <c r="F798" s="129"/>
      <c r="G798" s="132"/>
      <c r="H798" s="132"/>
    </row>
    <row r="799" spans="1:8">
      <c r="A799" s="127"/>
      <c r="B799" s="128"/>
      <c r="C799" s="132"/>
      <c r="D799" s="133"/>
      <c r="E799" s="132"/>
      <c r="F799" s="129"/>
      <c r="G799" s="132"/>
      <c r="H799" s="132"/>
    </row>
    <row r="800" spans="1:8">
      <c r="A800" s="127"/>
      <c r="B800" s="128"/>
      <c r="C800" s="132"/>
      <c r="D800" s="133"/>
      <c r="E800" s="132"/>
      <c r="F800" s="129"/>
      <c r="G800" s="132"/>
      <c r="H800" s="132"/>
    </row>
    <row r="801" spans="1:8">
      <c r="A801" s="127"/>
      <c r="B801" s="128"/>
      <c r="C801" s="132"/>
      <c r="D801" s="133"/>
      <c r="E801" s="132"/>
      <c r="F801" s="129"/>
      <c r="G801" s="132"/>
      <c r="H801" s="132"/>
    </row>
    <row r="802" spans="1:8">
      <c r="A802" s="127"/>
      <c r="B802" s="128"/>
      <c r="C802" s="132"/>
      <c r="D802" s="133"/>
      <c r="E802" s="132"/>
      <c r="F802" s="129"/>
      <c r="G802" s="132"/>
      <c r="H802" s="132"/>
    </row>
    <row r="803" spans="1:8">
      <c r="A803" s="127"/>
      <c r="B803" s="128"/>
      <c r="C803" s="132"/>
      <c r="D803" s="133"/>
      <c r="E803" s="132"/>
      <c r="F803" s="129"/>
      <c r="G803" s="132"/>
      <c r="H803" s="132"/>
    </row>
    <row r="804" spans="1:8">
      <c r="A804" s="127"/>
      <c r="B804" s="128"/>
      <c r="C804" s="132"/>
      <c r="D804" s="133"/>
      <c r="E804" s="132"/>
      <c r="F804" s="129"/>
      <c r="G804" s="132"/>
      <c r="H804" s="132"/>
    </row>
    <row r="805" spans="1:8">
      <c r="A805" s="127"/>
      <c r="B805" s="128"/>
      <c r="C805" s="132"/>
      <c r="D805" s="133"/>
      <c r="E805" s="132"/>
      <c r="F805" s="129"/>
      <c r="G805" s="132"/>
      <c r="H805" s="132"/>
    </row>
    <row r="806" spans="1:8">
      <c r="A806" s="127"/>
      <c r="B806" s="128"/>
      <c r="C806" s="132"/>
      <c r="D806" s="133"/>
      <c r="E806" s="132"/>
      <c r="F806" s="129"/>
      <c r="G806" s="132"/>
      <c r="H806" s="132"/>
    </row>
    <row r="807" spans="1:8">
      <c r="A807" s="127"/>
      <c r="B807" s="128"/>
      <c r="C807" s="132"/>
      <c r="D807" s="133"/>
      <c r="E807" s="132"/>
      <c r="F807" s="129"/>
      <c r="G807" s="132"/>
      <c r="H807" s="132"/>
    </row>
    <row r="808" spans="1:8">
      <c r="A808" s="127"/>
      <c r="B808" s="128"/>
      <c r="C808" s="132"/>
      <c r="D808" s="133"/>
      <c r="E808" s="132"/>
      <c r="F808" s="129"/>
      <c r="G808" s="132"/>
      <c r="H808" s="132"/>
    </row>
    <row r="809" spans="1:8">
      <c r="A809" s="127"/>
      <c r="B809" s="128"/>
      <c r="C809" s="132"/>
      <c r="D809" s="133"/>
      <c r="E809" s="132"/>
      <c r="F809" s="129"/>
      <c r="G809" s="132"/>
      <c r="H809" s="132"/>
    </row>
    <row r="810" spans="1:8">
      <c r="A810" s="127"/>
      <c r="B810" s="128"/>
      <c r="C810" s="132"/>
      <c r="D810" s="133"/>
      <c r="E810" s="132"/>
      <c r="F810" s="129"/>
      <c r="G810" s="132"/>
      <c r="H810" s="132"/>
    </row>
    <row r="811" spans="1:8">
      <c r="A811" s="127"/>
      <c r="B811" s="128"/>
      <c r="C811" s="132"/>
      <c r="D811" s="133"/>
      <c r="E811" s="132"/>
      <c r="F811" s="129"/>
      <c r="G811" s="132"/>
      <c r="H811" s="132"/>
    </row>
    <row r="812" spans="1:8">
      <c r="A812" s="127"/>
      <c r="B812" s="128"/>
      <c r="C812" s="132"/>
      <c r="D812" s="133"/>
      <c r="E812" s="132"/>
      <c r="F812" s="129"/>
      <c r="G812" s="132"/>
      <c r="H812" s="132"/>
    </row>
    <row r="813" spans="1:8">
      <c r="A813" s="127"/>
      <c r="B813" s="128"/>
      <c r="C813" s="132"/>
      <c r="D813" s="133"/>
      <c r="E813" s="132"/>
      <c r="F813" s="129"/>
      <c r="G813" s="132"/>
      <c r="H813" s="132"/>
    </row>
    <row r="814" spans="1:8">
      <c r="A814" s="127"/>
      <c r="B814" s="128"/>
      <c r="C814" s="132"/>
      <c r="D814" s="133"/>
      <c r="E814" s="132"/>
      <c r="F814" s="129"/>
      <c r="G814" s="132"/>
      <c r="H814" s="132"/>
    </row>
    <row r="815" spans="1:8">
      <c r="A815" s="127"/>
      <c r="B815" s="128"/>
      <c r="C815" s="132"/>
      <c r="D815" s="133"/>
      <c r="E815" s="132"/>
      <c r="F815" s="129"/>
      <c r="G815" s="132"/>
      <c r="H815" s="132"/>
    </row>
    <row r="816" spans="1:8">
      <c r="A816" s="127"/>
      <c r="B816" s="128"/>
      <c r="C816" s="132"/>
      <c r="D816" s="133"/>
      <c r="E816" s="132"/>
      <c r="F816" s="129"/>
      <c r="G816" s="132"/>
      <c r="H816" s="132"/>
    </row>
    <row r="817" spans="1:8">
      <c r="A817" s="127"/>
      <c r="B817" s="128"/>
      <c r="C817" s="132"/>
      <c r="D817" s="133"/>
      <c r="E817" s="132"/>
      <c r="F817" s="129"/>
      <c r="G817" s="132"/>
      <c r="H817" s="132"/>
    </row>
    <row r="818" spans="1:8">
      <c r="A818" s="127"/>
      <c r="B818" s="128"/>
      <c r="C818" s="132"/>
      <c r="D818" s="133"/>
      <c r="E818" s="132"/>
      <c r="F818" s="129"/>
      <c r="G818" s="132"/>
      <c r="H818" s="132"/>
    </row>
    <row r="819" spans="1:8">
      <c r="A819" s="127"/>
      <c r="B819" s="128"/>
      <c r="C819" s="132"/>
      <c r="D819" s="133"/>
      <c r="E819" s="132"/>
      <c r="F819" s="129"/>
      <c r="G819" s="132"/>
      <c r="H819" s="132"/>
    </row>
    <row r="820" spans="1:8">
      <c r="A820" s="127"/>
      <c r="B820" s="128"/>
      <c r="C820" s="132"/>
      <c r="D820" s="133"/>
      <c r="E820" s="132"/>
      <c r="F820" s="129"/>
      <c r="G820" s="132"/>
      <c r="H820" s="132"/>
    </row>
    <row r="821" spans="1:8">
      <c r="A821" s="127"/>
      <c r="B821" s="128"/>
      <c r="C821" s="132"/>
      <c r="D821" s="133"/>
      <c r="E821" s="132"/>
      <c r="F821" s="129"/>
      <c r="G821" s="132"/>
      <c r="H821" s="132"/>
    </row>
    <row r="822" spans="1:8">
      <c r="A822" s="127"/>
      <c r="B822" s="128"/>
      <c r="C822" s="132"/>
      <c r="D822" s="133"/>
      <c r="E822" s="132"/>
      <c r="F822" s="129"/>
      <c r="G822" s="132"/>
      <c r="H822" s="132"/>
    </row>
    <row r="823" spans="1:8">
      <c r="A823" s="127"/>
      <c r="B823" s="128"/>
      <c r="C823" s="132"/>
      <c r="D823" s="133"/>
      <c r="E823" s="132"/>
      <c r="F823" s="129"/>
      <c r="G823" s="132"/>
      <c r="H823" s="132"/>
    </row>
    <row r="824" spans="1:8">
      <c r="A824" s="127"/>
      <c r="B824" s="128"/>
      <c r="C824" s="132"/>
      <c r="D824" s="133"/>
      <c r="E824" s="132"/>
      <c r="F824" s="129"/>
      <c r="G824" s="132"/>
      <c r="H824" s="132"/>
    </row>
    <row r="825" spans="1:8">
      <c r="A825" s="127"/>
      <c r="B825" s="128"/>
      <c r="C825" s="132"/>
      <c r="D825" s="133"/>
      <c r="E825" s="132"/>
      <c r="F825" s="129"/>
      <c r="G825" s="132"/>
      <c r="H825" s="132"/>
    </row>
    <row r="826" spans="1:8">
      <c r="A826" s="127"/>
      <c r="B826" s="128"/>
      <c r="C826" s="132"/>
      <c r="D826" s="133"/>
      <c r="E826" s="132"/>
      <c r="F826" s="129"/>
      <c r="G826" s="132"/>
      <c r="H826" s="132"/>
    </row>
    <row r="827" spans="1:8">
      <c r="A827" s="127"/>
      <c r="B827" s="128"/>
      <c r="C827" s="132"/>
      <c r="D827" s="133"/>
      <c r="E827" s="132"/>
      <c r="F827" s="129"/>
      <c r="G827" s="132"/>
      <c r="H827" s="132"/>
    </row>
    <row r="828" spans="1:8">
      <c r="A828" s="127"/>
      <c r="B828" s="128"/>
      <c r="C828" s="132"/>
      <c r="D828" s="133"/>
      <c r="E828" s="132"/>
      <c r="F828" s="129"/>
      <c r="G828" s="132"/>
      <c r="H828" s="132"/>
    </row>
    <row r="829" spans="1:8">
      <c r="A829" s="127"/>
      <c r="B829" s="128"/>
      <c r="C829" s="132"/>
      <c r="D829" s="133"/>
      <c r="E829" s="132"/>
      <c r="F829" s="129"/>
      <c r="G829" s="132"/>
      <c r="H829" s="132"/>
    </row>
    <row r="830" spans="1:8">
      <c r="A830" s="127"/>
      <c r="B830" s="128"/>
      <c r="C830" s="132"/>
      <c r="D830" s="133"/>
      <c r="E830" s="132"/>
      <c r="F830" s="129"/>
      <c r="G830" s="132"/>
      <c r="H830" s="132"/>
    </row>
    <row r="831" spans="1:8">
      <c r="A831" s="127"/>
      <c r="B831" s="128"/>
      <c r="C831" s="132"/>
      <c r="D831" s="133"/>
      <c r="E831" s="132"/>
      <c r="F831" s="129"/>
      <c r="G831" s="132"/>
      <c r="H831" s="132"/>
    </row>
    <row r="832" spans="1:8">
      <c r="A832" s="127"/>
      <c r="B832" s="128"/>
      <c r="C832" s="132"/>
      <c r="D832" s="133"/>
      <c r="E832" s="132"/>
      <c r="F832" s="129"/>
      <c r="G832" s="132"/>
      <c r="H832" s="132"/>
    </row>
    <row r="833" spans="1:8">
      <c r="A833" s="127"/>
      <c r="B833" s="128"/>
      <c r="C833" s="132"/>
      <c r="D833" s="133"/>
      <c r="E833" s="132"/>
      <c r="F833" s="129"/>
      <c r="G833" s="132"/>
      <c r="H833" s="132"/>
    </row>
    <row r="834" spans="1:8">
      <c r="A834" s="127"/>
      <c r="B834" s="128"/>
      <c r="C834" s="132"/>
      <c r="D834" s="133"/>
      <c r="E834" s="132"/>
      <c r="F834" s="129"/>
      <c r="G834" s="132"/>
      <c r="H834" s="132"/>
    </row>
    <row r="835" spans="1:8">
      <c r="A835" s="127"/>
      <c r="B835" s="128"/>
      <c r="C835" s="132"/>
      <c r="D835" s="133"/>
      <c r="E835" s="132"/>
      <c r="F835" s="129"/>
      <c r="G835" s="132"/>
      <c r="H835" s="132"/>
    </row>
    <row r="836" spans="1:8">
      <c r="A836" s="127"/>
      <c r="B836" s="128"/>
      <c r="C836" s="132"/>
      <c r="D836" s="133"/>
      <c r="E836" s="132"/>
      <c r="F836" s="129"/>
      <c r="G836" s="132"/>
      <c r="H836" s="132"/>
    </row>
    <row r="837" spans="1:8">
      <c r="A837" s="127"/>
      <c r="B837" s="128"/>
      <c r="C837" s="132"/>
      <c r="D837" s="133"/>
      <c r="E837" s="132"/>
      <c r="F837" s="129"/>
      <c r="G837" s="132"/>
      <c r="H837" s="132"/>
    </row>
    <row r="838" spans="1:8">
      <c r="A838" s="127"/>
      <c r="B838" s="128"/>
      <c r="C838" s="132"/>
      <c r="D838" s="133"/>
      <c r="E838" s="132"/>
      <c r="F838" s="129"/>
      <c r="G838" s="132"/>
      <c r="H838" s="132"/>
    </row>
    <row r="839" spans="1:8">
      <c r="A839" s="127"/>
      <c r="B839" s="128"/>
      <c r="C839" s="132"/>
      <c r="D839" s="133"/>
      <c r="E839" s="132"/>
      <c r="F839" s="129"/>
      <c r="G839" s="132"/>
      <c r="H839" s="132"/>
    </row>
    <row r="840" spans="1:8">
      <c r="A840" s="127"/>
      <c r="B840" s="128"/>
      <c r="C840" s="132"/>
      <c r="D840" s="133"/>
      <c r="E840" s="132"/>
      <c r="F840" s="129"/>
      <c r="G840" s="132"/>
      <c r="H840" s="132"/>
    </row>
    <row r="841" spans="1:8">
      <c r="A841" s="127"/>
      <c r="B841" s="128"/>
      <c r="C841" s="132"/>
      <c r="D841" s="133"/>
      <c r="E841" s="132"/>
      <c r="F841" s="129"/>
      <c r="G841" s="132"/>
      <c r="H841" s="132"/>
    </row>
    <row r="842" spans="1:8">
      <c r="A842" s="127"/>
      <c r="B842" s="128"/>
      <c r="C842" s="132"/>
      <c r="D842" s="133"/>
      <c r="E842" s="132"/>
      <c r="F842" s="129"/>
      <c r="G842" s="132"/>
      <c r="H842" s="132"/>
    </row>
    <row r="843" spans="1:8">
      <c r="A843" s="127"/>
      <c r="B843" s="128"/>
      <c r="C843" s="132"/>
      <c r="D843" s="133"/>
      <c r="E843" s="132"/>
      <c r="F843" s="129"/>
      <c r="G843" s="132"/>
      <c r="H843" s="132"/>
    </row>
    <row r="844" spans="1:8">
      <c r="A844" s="127"/>
      <c r="B844" s="128"/>
      <c r="C844" s="132"/>
      <c r="D844" s="133"/>
      <c r="E844" s="132"/>
      <c r="F844" s="129"/>
      <c r="G844" s="132"/>
      <c r="H844" s="132"/>
    </row>
    <row r="845" spans="1:8">
      <c r="A845" s="127"/>
      <c r="B845" s="128"/>
      <c r="C845" s="132"/>
      <c r="D845" s="133"/>
      <c r="E845" s="132"/>
      <c r="F845" s="129"/>
      <c r="G845" s="132"/>
      <c r="H845" s="132"/>
    </row>
    <row r="846" spans="1:8">
      <c r="A846" s="127"/>
      <c r="B846" s="128"/>
      <c r="C846" s="132"/>
      <c r="D846" s="133"/>
      <c r="E846" s="132"/>
      <c r="F846" s="129"/>
      <c r="G846" s="132"/>
      <c r="H846" s="132"/>
    </row>
    <row r="847" spans="1:8">
      <c r="A847" s="127"/>
      <c r="B847" s="128"/>
      <c r="C847" s="132"/>
      <c r="D847" s="133"/>
      <c r="E847" s="132"/>
      <c r="F847" s="129"/>
      <c r="G847" s="132"/>
      <c r="H847" s="132"/>
    </row>
    <row r="848" spans="1:8">
      <c r="A848" s="127"/>
      <c r="B848" s="128"/>
      <c r="C848" s="132"/>
      <c r="D848" s="133"/>
      <c r="E848" s="132"/>
      <c r="F848" s="129"/>
      <c r="G848" s="132"/>
      <c r="H848" s="132"/>
    </row>
    <row r="849" spans="1:8">
      <c r="A849" s="127"/>
      <c r="B849" s="128"/>
      <c r="C849" s="132"/>
      <c r="D849" s="133"/>
      <c r="E849" s="132"/>
      <c r="F849" s="129"/>
      <c r="G849" s="132"/>
      <c r="H849" s="132"/>
    </row>
    <row r="850" spans="1:8">
      <c r="A850" s="127"/>
      <c r="B850" s="128"/>
      <c r="C850" s="132"/>
      <c r="D850" s="133"/>
      <c r="E850" s="132"/>
      <c r="F850" s="129"/>
      <c r="G850" s="132"/>
      <c r="H850" s="132"/>
    </row>
    <row r="851" spans="1:8">
      <c r="A851" s="127"/>
      <c r="B851" s="128"/>
      <c r="C851" s="132"/>
      <c r="D851" s="133"/>
      <c r="E851" s="132"/>
      <c r="F851" s="129"/>
      <c r="G851" s="132"/>
      <c r="H851" s="132"/>
    </row>
    <row r="852" spans="1:8">
      <c r="A852" s="127"/>
      <c r="B852" s="128"/>
      <c r="C852" s="132"/>
      <c r="D852" s="133"/>
      <c r="E852" s="132"/>
      <c r="F852" s="129"/>
      <c r="G852" s="132"/>
      <c r="H852" s="132"/>
    </row>
    <row r="853" spans="1:8">
      <c r="A853" s="127"/>
      <c r="B853" s="128"/>
      <c r="C853" s="132"/>
      <c r="D853" s="133"/>
      <c r="E853" s="132"/>
      <c r="F853" s="129"/>
      <c r="G853" s="132"/>
      <c r="H853" s="132"/>
    </row>
    <row r="854" spans="1:8">
      <c r="A854" s="127"/>
      <c r="B854" s="128"/>
      <c r="C854" s="132"/>
      <c r="D854" s="133"/>
      <c r="E854" s="132"/>
      <c r="F854" s="129"/>
      <c r="G854" s="132"/>
      <c r="H854" s="132"/>
    </row>
    <row r="855" spans="1:8">
      <c r="A855" s="127"/>
      <c r="B855" s="128"/>
      <c r="C855" s="132"/>
      <c r="D855" s="133"/>
      <c r="E855" s="132"/>
      <c r="F855" s="129"/>
      <c r="G855" s="132"/>
      <c r="H855" s="132"/>
    </row>
    <row r="856" spans="1:8">
      <c r="A856" s="127"/>
      <c r="B856" s="128"/>
      <c r="C856" s="132"/>
      <c r="D856" s="133"/>
      <c r="E856" s="132"/>
      <c r="F856" s="129"/>
      <c r="G856" s="132"/>
      <c r="H856" s="132"/>
    </row>
    <row r="857" spans="1:8">
      <c r="A857" s="127"/>
      <c r="B857" s="128"/>
      <c r="C857" s="132"/>
      <c r="D857" s="133"/>
      <c r="E857" s="132"/>
      <c r="F857" s="129"/>
      <c r="G857" s="132"/>
      <c r="H857" s="132"/>
    </row>
    <row r="858" spans="1:8">
      <c r="A858" s="127"/>
      <c r="B858" s="128"/>
      <c r="C858" s="132"/>
      <c r="D858" s="133"/>
      <c r="E858" s="132"/>
      <c r="F858" s="129"/>
      <c r="G858" s="132"/>
      <c r="H858" s="132"/>
    </row>
    <row r="859" spans="1:8">
      <c r="A859" s="127"/>
      <c r="B859" s="128"/>
      <c r="C859" s="132"/>
      <c r="D859" s="133"/>
      <c r="E859" s="132"/>
      <c r="F859" s="129"/>
      <c r="G859" s="132"/>
      <c r="H859" s="132"/>
    </row>
    <row r="860" spans="1:8">
      <c r="A860" s="127"/>
      <c r="B860" s="128"/>
      <c r="C860" s="132"/>
      <c r="D860" s="133"/>
      <c r="E860" s="132"/>
      <c r="F860" s="129"/>
      <c r="G860" s="132"/>
      <c r="H860" s="132"/>
    </row>
    <row r="861" spans="1:8">
      <c r="A861" s="127"/>
      <c r="B861" s="128"/>
      <c r="C861" s="132"/>
      <c r="D861" s="133"/>
      <c r="E861" s="132"/>
      <c r="F861" s="129"/>
      <c r="G861" s="132"/>
      <c r="H861" s="132"/>
    </row>
    <row r="862" spans="1:8">
      <c r="A862" s="127"/>
      <c r="B862" s="128"/>
      <c r="C862" s="132"/>
      <c r="D862" s="133"/>
      <c r="E862" s="132"/>
      <c r="F862" s="129"/>
      <c r="G862" s="132"/>
      <c r="H862" s="132"/>
    </row>
    <row r="863" spans="1:8">
      <c r="A863" s="127"/>
      <c r="B863" s="128"/>
      <c r="C863" s="132"/>
      <c r="D863" s="133"/>
      <c r="E863" s="132"/>
      <c r="F863" s="129"/>
      <c r="G863" s="132"/>
      <c r="H863" s="132"/>
    </row>
    <row r="864" spans="1:8">
      <c r="A864" s="127"/>
      <c r="B864" s="128"/>
      <c r="C864" s="132"/>
      <c r="D864" s="133"/>
      <c r="E864" s="132"/>
      <c r="F864" s="129"/>
      <c r="G864" s="132"/>
      <c r="H864" s="132"/>
    </row>
    <row r="865" spans="1:8">
      <c r="A865" s="127"/>
      <c r="B865" s="128"/>
      <c r="C865" s="132"/>
      <c r="D865" s="133"/>
      <c r="E865" s="132"/>
      <c r="F865" s="129"/>
      <c r="G865" s="132"/>
      <c r="H865" s="132"/>
    </row>
    <row r="866" spans="1:8">
      <c r="A866" s="127"/>
      <c r="B866" s="128"/>
      <c r="C866" s="132"/>
      <c r="D866" s="133"/>
      <c r="E866" s="132"/>
      <c r="F866" s="129"/>
      <c r="G866" s="132"/>
      <c r="H866" s="132"/>
    </row>
    <row r="867" spans="1:8">
      <c r="A867" s="127"/>
      <c r="B867" s="128"/>
      <c r="C867" s="132"/>
      <c r="D867" s="133"/>
      <c r="E867" s="132"/>
      <c r="F867" s="129"/>
      <c r="G867" s="132"/>
      <c r="H867" s="132"/>
    </row>
    <row r="868" spans="1:8">
      <c r="A868" s="127"/>
      <c r="B868" s="128"/>
      <c r="C868" s="132"/>
      <c r="D868" s="133"/>
      <c r="E868" s="132"/>
      <c r="F868" s="129"/>
      <c r="G868" s="132"/>
      <c r="H868" s="132"/>
    </row>
    <row r="869" spans="1:8">
      <c r="A869" s="127"/>
      <c r="B869" s="128"/>
      <c r="C869" s="132"/>
      <c r="D869" s="133"/>
      <c r="E869" s="132"/>
      <c r="F869" s="129"/>
      <c r="G869" s="132"/>
      <c r="H869" s="132"/>
    </row>
    <row r="870" spans="1:8">
      <c r="A870" s="127"/>
      <c r="B870" s="128"/>
      <c r="C870" s="132"/>
      <c r="D870" s="133"/>
      <c r="E870" s="132"/>
      <c r="F870" s="129"/>
      <c r="G870" s="132"/>
      <c r="H870" s="132"/>
    </row>
    <row r="871" spans="1:8">
      <c r="A871" s="127"/>
      <c r="B871" s="128"/>
      <c r="C871" s="132"/>
      <c r="D871" s="133"/>
      <c r="E871" s="132"/>
      <c r="F871" s="129"/>
      <c r="G871" s="132"/>
      <c r="H871" s="132"/>
    </row>
    <row r="872" spans="1:8">
      <c r="A872" s="127"/>
      <c r="B872" s="128"/>
      <c r="C872" s="132"/>
      <c r="D872" s="133"/>
      <c r="E872" s="132"/>
      <c r="F872" s="129"/>
      <c r="G872" s="132"/>
      <c r="H872" s="132"/>
    </row>
    <row r="873" spans="1:8">
      <c r="A873" s="127"/>
      <c r="B873" s="128"/>
      <c r="C873" s="132"/>
      <c r="D873" s="133"/>
      <c r="E873" s="132"/>
      <c r="F873" s="129"/>
      <c r="G873" s="132"/>
      <c r="H873" s="132"/>
    </row>
    <row r="874" spans="1:8">
      <c r="A874" s="127"/>
      <c r="B874" s="128"/>
      <c r="C874" s="132"/>
      <c r="D874" s="133"/>
      <c r="E874" s="132"/>
      <c r="F874" s="129"/>
      <c r="G874" s="132"/>
      <c r="H874" s="132"/>
    </row>
    <row r="875" spans="1:8">
      <c r="A875" s="127"/>
      <c r="B875" s="128"/>
      <c r="C875" s="132"/>
      <c r="D875" s="133"/>
      <c r="E875" s="132"/>
      <c r="F875" s="129"/>
      <c r="G875" s="132"/>
      <c r="H875" s="132"/>
    </row>
    <row r="876" spans="1:8">
      <c r="A876" s="127"/>
      <c r="B876" s="128"/>
      <c r="C876" s="132"/>
      <c r="D876" s="133"/>
      <c r="E876" s="132"/>
      <c r="F876" s="129"/>
      <c r="G876" s="132"/>
      <c r="H876" s="132"/>
    </row>
    <row r="877" spans="1:8">
      <c r="A877" s="127"/>
      <c r="B877" s="128"/>
      <c r="C877" s="132"/>
      <c r="D877" s="133"/>
      <c r="E877" s="132"/>
      <c r="F877" s="129"/>
      <c r="G877" s="132"/>
      <c r="H877" s="132"/>
    </row>
    <row r="878" spans="1:8">
      <c r="A878" s="127"/>
      <c r="B878" s="128"/>
      <c r="C878" s="132"/>
      <c r="D878" s="133"/>
      <c r="E878" s="132"/>
      <c r="F878" s="129"/>
      <c r="G878" s="132"/>
      <c r="H878" s="132"/>
    </row>
    <row r="879" spans="1:8">
      <c r="A879" s="127"/>
      <c r="B879" s="128"/>
      <c r="C879" s="132"/>
      <c r="D879" s="133"/>
      <c r="E879" s="132"/>
      <c r="F879" s="129"/>
      <c r="G879" s="132"/>
      <c r="H879" s="132"/>
    </row>
    <row r="880" spans="1:8">
      <c r="A880" s="127"/>
      <c r="B880" s="128"/>
      <c r="C880" s="132"/>
      <c r="D880" s="133"/>
      <c r="E880" s="132"/>
      <c r="F880" s="129"/>
      <c r="G880" s="132"/>
      <c r="H880" s="132"/>
    </row>
    <row r="881" spans="1:8">
      <c r="A881" s="127"/>
      <c r="B881" s="128"/>
      <c r="C881" s="132"/>
      <c r="D881" s="133"/>
      <c r="E881" s="132"/>
      <c r="F881" s="129"/>
      <c r="G881" s="132"/>
      <c r="H881" s="132"/>
    </row>
    <row r="882" spans="1:8">
      <c r="A882" s="127"/>
      <c r="B882" s="128"/>
      <c r="C882" s="132"/>
      <c r="D882" s="133"/>
      <c r="E882" s="132"/>
      <c r="F882" s="129"/>
      <c r="G882" s="132"/>
      <c r="H882" s="132"/>
    </row>
    <row r="883" spans="1:8">
      <c r="A883" s="127"/>
      <c r="B883" s="128"/>
      <c r="C883" s="132"/>
      <c r="D883" s="133"/>
      <c r="E883" s="132"/>
      <c r="F883" s="129"/>
      <c r="G883" s="132"/>
      <c r="H883" s="132"/>
    </row>
    <row r="884" spans="1:8">
      <c r="A884" s="127"/>
      <c r="B884" s="128"/>
      <c r="C884" s="132"/>
      <c r="D884" s="133"/>
      <c r="E884" s="132"/>
      <c r="F884" s="129"/>
      <c r="G884" s="132"/>
      <c r="H884" s="132"/>
    </row>
    <row r="885" spans="1:8">
      <c r="A885" s="127"/>
      <c r="B885" s="128"/>
      <c r="C885" s="132"/>
      <c r="D885" s="133"/>
      <c r="E885" s="132"/>
      <c r="F885" s="129"/>
      <c r="G885" s="132"/>
      <c r="H885" s="132"/>
    </row>
    <row r="886" spans="1:8">
      <c r="A886" s="127"/>
      <c r="B886" s="128"/>
      <c r="C886" s="132"/>
      <c r="D886" s="133"/>
      <c r="E886" s="132"/>
      <c r="F886" s="129"/>
      <c r="G886" s="132"/>
      <c r="H886" s="132"/>
    </row>
    <row r="887" spans="1:8">
      <c r="A887" s="127"/>
      <c r="B887" s="128"/>
      <c r="C887" s="132"/>
      <c r="D887" s="133"/>
      <c r="E887" s="132"/>
      <c r="F887" s="129"/>
      <c r="G887" s="132"/>
      <c r="H887" s="132"/>
    </row>
    <row r="888" spans="1:8">
      <c r="A888" s="127"/>
      <c r="B888" s="128"/>
      <c r="C888" s="132"/>
      <c r="D888" s="133"/>
      <c r="E888" s="132"/>
      <c r="F888" s="129"/>
      <c r="G888" s="132"/>
      <c r="H888" s="132"/>
    </row>
    <row r="889" spans="1:8">
      <c r="A889" s="127"/>
      <c r="B889" s="128"/>
      <c r="C889" s="132"/>
      <c r="D889" s="133"/>
      <c r="E889" s="132"/>
      <c r="F889" s="129"/>
      <c r="G889" s="132"/>
      <c r="H889" s="132"/>
    </row>
    <row r="890" spans="1:8">
      <c r="A890" s="127"/>
      <c r="B890" s="128"/>
      <c r="C890" s="132"/>
      <c r="D890" s="133"/>
      <c r="E890" s="132"/>
      <c r="F890" s="129"/>
      <c r="G890" s="132"/>
      <c r="H890" s="132"/>
    </row>
    <row r="891" spans="1:8">
      <c r="A891" s="127"/>
      <c r="B891" s="128"/>
      <c r="C891" s="132"/>
      <c r="D891" s="133"/>
      <c r="E891" s="132"/>
      <c r="F891" s="129"/>
      <c r="G891" s="132"/>
      <c r="H891" s="132"/>
    </row>
    <row r="892" spans="1:8">
      <c r="A892" s="127"/>
      <c r="B892" s="128"/>
      <c r="C892" s="132"/>
      <c r="D892" s="133"/>
      <c r="E892" s="132"/>
      <c r="F892" s="129"/>
      <c r="G892" s="132"/>
      <c r="H892" s="132"/>
    </row>
    <row r="893" spans="1:8">
      <c r="A893" s="127"/>
      <c r="B893" s="128"/>
      <c r="C893" s="132"/>
      <c r="D893" s="133"/>
      <c r="E893" s="132"/>
      <c r="F893" s="129"/>
      <c r="G893" s="132"/>
      <c r="H893" s="132"/>
    </row>
    <row r="894" spans="1:8">
      <c r="A894" s="127"/>
      <c r="B894" s="128"/>
      <c r="C894" s="132"/>
      <c r="D894" s="133"/>
      <c r="E894" s="132"/>
      <c r="F894" s="129"/>
      <c r="G894" s="132"/>
      <c r="H894" s="132"/>
    </row>
    <row r="895" spans="1:8">
      <c r="A895" s="127"/>
      <c r="B895" s="128"/>
      <c r="C895" s="132"/>
      <c r="D895" s="133"/>
      <c r="E895" s="132"/>
      <c r="F895" s="129"/>
      <c r="G895" s="132"/>
      <c r="H895" s="132"/>
    </row>
    <row r="896" spans="1:8">
      <c r="A896" s="127"/>
      <c r="B896" s="128"/>
      <c r="C896" s="132"/>
      <c r="D896" s="133"/>
      <c r="E896" s="132"/>
      <c r="F896" s="129"/>
      <c r="G896" s="132"/>
      <c r="H896" s="132"/>
    </row>
    <row r="897" spans="1:8">
      <c r="A897" s="127"/>
      <c r="B897" s="128"/>
      <c r="C897" s="132"/>
      <c r="D897" s="133"/>
      <c r="E897" s="132"/>
      <c r="F897" s="129"/>
      <c r="G897" s="132"/>
      <c r="H897" s="132"/>
    </row>
    <row r="898" spans="1:8">
      <c r="A898" s="127"/>
      <c r="B898" s="128"/>
      <c r="C898" s="132"/>
      <c r="D898" s="133"/>
      <c r="E898" s="132"/>
      <c r="F898" s="129"/>
      <c r="G898" s="132"/>
      <c r="H898" s="132"/>
    </row>
    <row r="899" spans="1:8">
      <c r="A899" s="127"/>
      <c r="B899" s="128"/>
      <c r="C899" s="132"/>
      <c r="D899" s="133"/>
      <c r="E899" s="132"/>
      <c r="F899" s="129"/>
      <c r="G899" s="132"/>
      <c r="H899" s="132"/>
    </row>
    <row r="900" spans="1:8">
      <c r="A900" s="127"/>
      <c r="B900" s="128"/>
      <c r="C900" s="132"/>
      <c r="D900" s="133"/>
      <c r="E900" s="132"/>
      <c r="F900" s="129"/>
      <c r="G900" s="132"/>
      <c r="H900" s="132"/>
    </row>
    <row r="901" spans="1:8">
      <c r="A901" s="127"/>
      <c r="B901" s="128"/>
      <c r="C901" s="132"/>
      <c r="D901" s="133"/>
      <c r="E901" s="132"/>
      <c r="F901" s="129"/>
      <c r="G901" s="132"/>
      <c r="H901" s="132"/>
    </row>
    <row r="902" spans="1:8">
      <c r="A902" s="127"/>
      <c r="B902" s="128"/>
      <c r="C902" s="132"/>
      <c r="D902" s="133"/>
      <c r="E902" s="132"/>
      <c r="F902" s="129"/>
      <c r="G902" s="132"/>
      <c r="H902" s="132"/>
    </row>
    <row r="903" spans="1:8">
      <c r="A903" s="127"/>
      <c r="B903" s="128"/>
      <c r="C903" s="132"/>
      <c r="D903" s="133"/>
      <c r="E903" s="132"/>
      <c r="F903" s="129"/>
      <c r="G903" s="132"/>
      <c r="H903" s="132"/>
    </row>
    <row r="904" spans="1:8">
      <c r="A904" s="127"/>
      <c r="B904" s="128"/>
      <c r="C904" s="132"/>
      <c r="D904" s="133"/>
      <c r="E904" s="132"/>
      <c r="F904" s="129"/>
      <c r="G904" s="132"/>
      <c r="H904" s="132"/>
    </row>
    <row r="905" spans="1:8">
      <c r="A905" s="127"/>
      <c r="B905" s="128"/>
      <c r="C905" s="132"/>
      <c r="D905" s="133"/>
      <c r="E905" s="132"/>
      <c r="F905" s="129"/>
      <c r="G905" s="132"/>
      <c r="H905" s="132"/>
    </row>
    <row r="906" spans="1:8">
      <c r="A906" s="127"/>
      <c r="B906" s="128"/>
      <c r="C906" s="132"/>
      <c r="D906" s="133"/>
      <c r="E906" s="132"/>
      <c r="F906" s="129"/>
      <c r="G906" s="132"/>
      <c r="H906" s="132"/>
    </row>
    <row r="907" spans="1:8">
      <c r="A907" s="127"/>
      <c r="B907" s="128"/>
      <c r="C907" s="132"/>
      <c r="D907" s="133"/>
      <c r="E907" s="132"/>
      <c r="F907" s="129"/>
      <c r="G907" s="132"/>
      <c r="H907" s="132"/>
    </row>
    <row r="908" spans="1:8">
      <c r="A908" s="127"/>
      <c r="B908" s="128"/>
      <c r="C908" s="132"/>
      <c r="D908" s="133"/>
      <c r="E908" s="132"/>
      <c r="F908" s="129"/>
      <c r="G908" s="132"/>
      <c r="H908" s="132"/>
    </row>
    <row r="909" spans="1:8">
      <c r="A909" s="127"/>
      <c r="B909" s="128"/>
      <c r="C909" s="132"/>
      <c r="D909" s="133"/>
      <c r="E909" s="132"/>
      <c r="F909" s="129"/>
      <c r="G909" s="132"/>
      <c r="H909" s="132"/>
    </row>
    <row r="910" spans="1:8">
      <c r="A910" s="127"/>
      <c r="B910" s="128"/>
      <c r="C910" s="132"/>
      <c r="D910" s="133"/>
      <c r="E910" s="132"/>
      <c r="F910" s="129"/>
      <c r="G910" s="132"/>
      <c r="H910" s="132"/>
    </row>
    <row r="911" spans="1:8">
      <c r="A911" s="127"/>
      <c r="B911" s="128"/>
      <c r="C911" s="132"/>
      <c r="D911" s="133"/>
      <c r="E911" s="132"/>
      <c r="F911" s="129"/>
      <c r="G911" s="132"/>
      <c r="H911" s="132"/>
    </row>
    <row r="912" spans="1:8">
      <c r="A912" s="127"/>
      <c r="B912" s="128"/>
      <c r="C912" s="132"/>
      <c r="D912" s="133"/>
      <c r="E912" s="132"/>
      <c r="F912" s="129"/>
      <c r="G912" s="132"/>
      <c r="H912" s="132"/>
    </row>
    <row r="913" spans="1:8">
      <c r="A913" s="127"/>
      <c r="B913" s="128"/>
      <c r="C913" s="132"/>
      <c r="D913" s="133"/>
      <c r="E913" s="132"/>
      <c r="F913" s="129"/>
      <c r="G913" s="132"/>
      <c r="H913" s="132"/>
    </row>
    <row r="914" spans="1:8">
      <c r="A914" s="127"/>
      <c r="B914" s="128"/>
      <c r="C914" s="132"/>
      <c r="D914" s="133"/>
      <c r="E914" s="132"/>
      <c r="F914" s="129"/>
      <c r="G914" s="132"/>
      <c r="H914" s="132"/>
    </row>
    <row r="915" spans="1:8">
      <c r="A915" s="127"/>
      <c r="B915" s="128"/>
      <c r="C915" s="132"/>
      <c r="D915" s="133"/>
      <c r="E915" s="132"/>
      <c r="F915" s="129"/>
      <c r="G915" s="132"/>
      <c r="H915" s="132"/>
    </row>
    <row r="916" spans="1:8">
      <c r="A916" s="127"/>
      <c r="B916" s="128"/>
      <c r="C916" s="132"/>
      <c r="D916" s="133"/>
      <c r="E916" s="132"/>
      <c r="F916" s="129"/>
      <c r="G916" s="132"/>
      <c r="H916" s="132"/>
    </row>
    <row r="917" spans="1:8">
      <c r="A917" s="127"/>
      <c r="B917" s="128"/>
      <c r="C917" s="132"/>
      <c r="D917" s="133"/>
      <c r="E917" s="132"/>
      <c r="F917" s="129"/>
      <c r="G917" s="132"/>
      <c r="H917" s="132"/>
    </row>
    <row r="918" spans="1:8">
      <c r="A918" s="127"/>
      <c r="B918" s="128"/>
      <c r="C918" s="132"/>
      <c r="D918" s="133"/>
      <c r="E918" s="132"/>
      <c r="F918" s="129"/>
      <c r="G918" s="132"/>
      <c r="H918" s="132"/>
    </row>
    <row r="919" spans="1:8">
      <c r="A919" s="127"/>
      <c r="B919" s="128"/>
      <c r="C919" s="132"/>
      <c r="D919" s="133"/>
      <c r="E919" s="132"/>
      <c r="F919" s="129"/>
      <c r="G919" s="132"/>
      <c r="H919" s="132"/>
    </row>
    <row r="920" spans="1:8">
      <c r="A920" s="127"/>
      <c r="B920" s="128"/>
      <c r="C920" s="132"/>
      <c r="D920" s="133"/>
      <c r="E920" s="132"/>
      <c r="F920" s="129"/>
      <c r="G920" s="132"/>
      <c r="H920" s="132"/>
    </row>
    <row r="921" spans="1:8">
      <c r="A921" s="127"/>
      <c r="B921" s="128"/>
      <c r="C921" s="132"/>
      <c r="D921" s="133"/>
      <c r="E921" s="132"/>
      <c r="F921" s="129"/>
      <c r="G921" s="132"/>
      <c r="H921" s="132"/>
    </row>
    <row r="922" spans="1:8">
      <c r="A922" s="127"/>
      <c r="B922" s="128"/>
      <c r="C922" s="132"/>
      <c r="D922" s="133"/>
      <c r="E922" s="132"/>
      <c r="F922" s="129"/>
      <c r="G922" s="132"/>
      <c r="H922" s="132"/>
    </row>
    <row r="923" spans="1:8">
      <c r="A923" s="127"/>
      <c r="B923" s="128"/>
      <c r="C923" s="132"/>
      <c r="D923" s="133"/>
      <c r="E923" s="132"/>
      <c r="F923" s="129"/>
      <c r="G923" s="132"/>
      <c r="H923" s="132"/>
    </row>
    <row r="924" spans="1:8">
      <c r="A924" s="127"/>
      <c r="B924" s="128"/>
      <c r="C924" s="132"/>
      <c r="D924" s="133"/>
      <c r="E924" s="132"/>
      <c r="F924" s="129"/>
      <c r="G924" s="132"/>
      <c r="H924" s="132"/>
    </row>
    <row r="925" spans="1:8">
      <c r="A925" s="127"/>
      <c r="B925" s="128"/>
      <c r="C925" s="132"/>
      <c r="D925" s="133"/>
      <c r="E925" s="132"/>
      <c r="F925" s="129"/>
      <c r="G925" s="132"/>
      <c r="H925" s="132"/>
    </row>
    <row r="926" spans="1:8">
      <c r="A926" s="127"/>
      <c r="B926" s="128"/>
      <c r="C926" s="132"/>
      <c r="D926" s="133"/>
      <c r="E926" s="132"/>
      <c r="F926" s="129"/>
      <c r="G926" s="132"/>
      <c r="H926" s="132"/>
    </row>
    <row r="927" spans="1:8">
      <c r="A927" s="127"/>
      <c r="B927" s="128"/>
      <c r="C927" s="132"/>
      <c r="D927" s="133"/>
      <c r="E927" s="132"/>
      <c r="F927" s="129"/>
      <c r="G927" s="132"/>
      <c r="H927" s="132"/>
    </row>
    <row r="928" spans="1:8">
      <c r="A928" s="127"/>
      <c r="B928" s="128"/>
      <c r="C928" s="132"/>
      <c r="D928" s="133"/>
      <c r="E928" s="132"/>
      <c r="F928" s="129"/>
      <c r="G928" s="132"/>
      <c r="H928" s="132"/>
    </row>
    <row r="929" spans="1:8">
      <c r="A929" s="127"/>
      <c r="B929" s="128"/>
      <c r="C929" s="132"/>
      <c r="D929" s="133"/>
      <c r="E929" s="132"/>
      <c r="F929" s="129"/>
      <c r="G929" s="132"/>
      <c r="H929" s="132"/>
    </row>
    <row r="930" spans="1:8">
      <c r="A930" s="127"/>
      <c r="B930" s="128"/>
      <c r="C930" s="132"/>
      <c r="D930" s="133"/>
      <c r="E930" s="132"/>
      <c r="F930" s="129"/>
      <c r="G930" s="132"/>
      <c r="H930" s="132"/>
    </row>
    <row r="931" spans="1:8">
      <c r="A931" s="127"/>
      <c r="B931" s="128"/>
      <c r="C931" s="132"/>
      <c r="D931" s="133"/>
      <c r="E931" s="132"/>
      <c r="F931" s="129"/>
      <c r="G931" s="132"/>
      <c r="H931" s="132"/>
    </row>
    <row r="932" spans="1:8">
      <c r="A932" s="127"/>
      <c r="B932" s="128"/>
      <c r="C932" s="132"/>
      <c r="D932" s="133"/>
      <c r="E932" s="132"/>
      <c r="F932" s="129"/>
      <c r="G932" s="132"/>
      <c r="H932" s="132"/>
    </row>
    <row r="933" spans="1:8">
      <c r="A933" s="127"/>
      <c r="B933" s="128"/>
      <c r="C933" s="132"/>
      <c r="D933" s="133"/>
      <c r="E933" s="132"/>
      <c r="F933" s="129"/>
      <c r="G933" s="132"/>
      <c r="H933" s="132"/>
    </row>
    <row r="934" spans="1:8">
      <c r="A934" s="127"/>
      <c r="B934" s="128"/>
      <c r="C934" s="132"/>
      <c r="D934" s="133"/>
      <c r="E934" s="132"/>
      <c r="F934" s="129"/>
      <c r="G934" s="132"/>
      <c r="H934" s="132"/>
    </row>
    <row r="935" spans="1:8">
      <c r="A935" s="127"/>
      <c r="B935" s="128"/>
      <c r="C935" s="132"/>
      <c r="D935" s="133"/>
      <c r="E935" s="132"/>
      <c r="F935" s="129"/>
      <c r="G935" s="132"/>
      <c r="H935" s="132"/>
    </row>
    <row r="936" spans="1:8">
      <c r="A936" s="127"/>
      <c r="B936" s="128"/>
      <c r="C936" s="132"/>
      <c r="D936" s="133"/>
      <c r="E936" s="132"/>
      <c r="F936" s="129"/>
      <c r="G936" s="132"/>
      <c r="H936" s="132"/>
    </row>
    <row r="937" spans="1:8">
      <c r="A937" s="127"/>
      <c r="B937" s="128"/>
      <c r="C937" s="132"/>
      <c r="D937" s="133"/>
      <c r="E937" s="132"/>
      <c r="F937" s="129"/>
      <c r="G937" s="132"/>
      <c r="H937" s="132"/>
    </row>
    <row r="938" spans="1:8">
      <c r="A938" s="127"/>
      <c r="B938" s="128"/>
      <c r="C938" s="132"/>
      <c r="D938" s="133"/>
      <c r="E938" s="132"/>
      <c r="F938" s="129"/>
      <c r="G938" s="132"/>
      <c r="H938" s="132"/>
    </row>
    <row r="939" spans="1:8">
      <c r="A939" s="127"/>
      <c r="B939" s="128"/>
      <c r="C939" s="132"/>
      <c r="D939" s="133"/>
      <c r="E939" s="132"/>
      <c r="F939" s="129"/>
      <c r="G939" s="132"/>
      <c r="H939" s="132"/>
    </row>
    <row r="940" spans="1:8">
      <c r="A940" s="127"/>
      <c r="B940" s="128"/>
      <c r="C940" s="132"/>
      <c r="D940" s="133"/>
      <c r="E940" s="132"/>
      <c r="F940" s="129"/>
      <c r="G940" s="132"/>
      <c r="H940" s="132"/>
    </row>
    <row r="941" spans="1:8">
      <c r="A941" s="127"/>
      <c r="B941" s="128"/>
      <c r="C941" s="132"/>
      <c r="D941" s="133"/>
      <c r="E941" s="132"/>
      <c r="F941" s="129"/>
      <c r="G941" s="132"/>
      <c r="H941" s="132"/>
    </row>
    <row r="942" spans="1:8">
      <c r="A942" s="127"/>
      <c r="B942" s="128"/>
      <c r="C942" s="132"/>
      <c r="D942" s="133"/>
      <c r="E942" s="132"/>
      <c r="F942" s="129"/>
      <c r="G942" s="132"/>
      <c r="H942" s="132"/>
    </row>
    <row r="943" spans="1:8">
      <c r="A943" s="127"/>
      <c r="B943" s="128"/>
      <c r="C943" s="132"/>
      <c r="D943" s="133"/>
      <c r="E943" s="132"/>
      <c r="F943" s="129"/>
      <c r="G943" s="132"/>
      <c r="H943" s="132"/>
    </row>
    <row r="944" spans="1:8">
      <c r="A944" s="127"/>
      <c r="B944" s="128"/>
      <c r="C944" s="132"/>
      <c r="D944" s="133"/>
      <c r="E944" s="132"/>
      <c r="F944" s="129"/>
      <c r="G944" s="132"/>
      <c r="H944" s="132"/>
    </row>
    <row r="945" spans="1:8">
      <c r="A945" s="127"/>
      <c r="B945" s="128"/>
      <c r="C945" s="132"/>
      <c r="D945" s="133"/>
      <c r="E945" s="132"/>
      <c r="F945" s="129"/>
      <c r="G945" s="132"/>
      <c r="H945" s="132"/>
    </row>
    <row r="946" spans="1:8">
      <c r="A946" s="127"/>
      <c r="B946" s="128"/>
      <c r="C946" s="132"/>
      <c r="D946" s="133"/>
      <c r="E946" s="132"/>
      <c r="F946" s="129"/>
      <c r="G946" s="132"/>
      <c r="H946" s="132"/>
    </row>
    <row r="947" spans="1:8">
      <c r="A947" s="127"/>
      <c r="B947" s="128"/>
      <c r="C947" s="132"/>
      <c r="D947" s="133"/>
      <c r="E947" s="132"/>
      <c r="F947" s="129"/>
      <c r="G947" s="132"/>
      <c r="H947" s="132"/>
    </row>
  </sheetData>
  <conditionalFormatting sqref="D2:D9 D12:D13 D16:D20 D23:D52">
    <cfRule type="expression" dxfId="26" priority="7">
      <formula>AND($D2&lt;&gt;"",$F2&lt;&gt;"",$D2&lt;$F2)</formula>
    </cfRule>
  </conditionalFormatting>
  <conditionalFormatting sqref="D2:D52">
    <cfRule type="expression" dxfId="25" priority="8">
      <formula>AND($D2&lt;&gt;"",$K2&lt;&gt;"",$D2&lt;=$K2)</formula>
    </cfRule>
    <cfRule type="expression" dxfId="24" priority="9">
      <formula>AND($D2&lt;&gt;"",$K2&lt;&gt;"",$D2&gt;$K2)</formula>
    </cfRule>
  </conditionalFormatting>
  <conditionalFormatting sqref="D10">
    <cfRule type="expression" dxfId="23" priority="95">
      <formula>AND($D10&lt;&gt;"",$F11&lt;&gt;"",$D10&lt;$F11)</formula>
    </cfRule>
  </conditionalFormatting>
  <conditionalFormatting sqref="D11">
    <cfRule type="expression" dxfId="22" priority="96">
      <formula>AND($D11&lt;&gt;"",#REF!&lt;&gt;"",$D11&lt;#REF!)</formula>
    </cfRule>
  </conditionalFormatting>
  <conditionalFormatting sqref="D14:D15">
    <cfRule type="expression" dxfId="21" priority="130">
      <formula>AND($D14&lt;&gt;"",#REF!&lt;&gt;"",$D14&lt;#REF!)</formula>
    </cfRule>
  </conditionalFormatting>
  <conditionalFormatting sqref="D21:D22">
    <cfRule type="expression" dxfId="20" priority="129">
      <formula>AND($D21&lt;&gt;"",$F14&lt;&gt;"",$D21&lt;$F14)</formula>
    </cfRule>
  </conditionalFormatting>
  <conditionalFormatting sqref="E59:E60">
    <cfRule type="expression" dxfId="19" priority="1">
      <formula>AND($D59&lt;&gt;"",$F59&lt;&gt;"",$D59&lt;$F59)</formula>
    </cfRule>
    <cfRule type="expression" dxfId="18" priority="2">
      <formula>AND($D59&lt;&gt;"",$K59&lt;&gt;"",$D59&lt;=$K59)</formula>
    </cfRule>
    <cfRule type="expression" dxfId="17" priority="3">
      <formula>AND($D59&lt;&gt;"",$K59&lt;&gt;"",$D59&gt;$K59)</formula>
    </cfRule>
  </conditionalFormatting>
  <conditionalFormatting sqref="F14:F15">
    <cfRule type="expression" dxfId="16" priority="132">
      <formula>AND($F14&lt;&gt;"",$K21&lt;&gt;"",$F14&gt;$K21)</formula>
    </cfRule>
    <cfRule type="expression" dxfId="15" priority="134">
      <formula>AND($F14&lt;&gt;"",$K21&lt;&gt;"",$F14&lt;=$K21)</formula>
    </cfRule>
  </conditionalFormatting>
  <conditionalFormatting sqref="F14:F20 F23:F52">
    <cfRule type="expression" dxfId="14" priority="85">
      <formula>AND($F14&lt;&gt;"",#REF!&lt;&gt;"",$F14&lt;#REF!)</formula>
    </cfRule>
  </conditionalFormatting>
  <conditionalFormatting sqref="F16:F20 F23:F52">
    <cfRule type="expression" dxfId="13" priority="81">
      <formula>AND($F16&lt;&gt;"",$K16&lt;&gt;"",$F16&gt;$K16)</formula>
    </cfRule>
    <cfRule type="expression" dxfId="12" priority="83">
      <formula>AND($F16&lt;&gt;"",$K16&lt;&gt;"",$F16&lt;=$K16)</formula>
    </cfRule>
  </conditionalFormatting>
  <conditionalFormatting sqref="G59">
    <cfRule type="expression" dxfId="11" priority="4">
      <formula>AND($F59&lt;&gt;"",$K59&lt;&gt;"",$F59&gt;$K59)</formula>
    </cfRule>
    <cfRule type="expression" dxfId="10" priority="5">
      <formula>AND($F59&lt;&gt;"",$K59&lt;&gt;"",$F59&lt;=$K59)</formula>
    </cfRule>
    <cfRule type="expression" dxfId="9" priority="6">
      <formula>AND($F59&lt;&gt;"",#REF!&lt;&gt;"",$F59&lt;#REF!)</formula>
    </cfRule>
  </conditionalFormatting>
  <conditionalFormatting sqref="U16">
    <cfRule type="expression" dxfId="8" priority="87">
      <formula>AND($U16&lt;&gt;"",$AB16&lt;&gt;"",$U16&gt;$AB16)</formula>
    </cfRule>
    <cfRule type="expression" dxfId="7" priority="89">
      <formula>AND($U16&lt;&gt;"",$AB16&lt;&gt;"",$U16&lt;=$AB16)</formula>
    </cfRule>
    <cfRule type="expression" dxfId="6" priority="91">
      <formula>AND($U16&lt;&gt;"",$W16&lt;&gt;"",$U16&lt;$W16)</formula>
    </cfRule>
  </conditionalFormatting>
  <dataValidations count="1">
    <dataValidation type="list" allowBlank="1" showInputMessage="1" showErrorMessage="1" sqref="B1" xr:uid="{002090CF-EA8C-416A-9D10-23B00B30E9FE}">
      <formula1>"JEFE DE MERCADEO"</formula1>
    </dataValidation>
  </dataValidations>
  <pageMargins left="0.7" right="0.7" top="0.75" bottom="0.75" header="0.3" footer="0.3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6038E197-482E-43F6-BBCC-87F52862A84D}">
          <x14:formula1>
            <xm:f>' CARGOS Y ESTADOS'!$B$5:$B$42</xm:f>
          </x14:formula1>
          <xm:sqref>S16:S18 B13:B1048576 B2:B11</xm:sqref>
        </x14:dataValidation>
        <x14:dataValidation type="list" allowBlank="1" showDropDown="1" showErrorMessage="1" xr:uid="{F0F0FE60-3F23-43DA-9A1B-39D95F9B8393}">
          <x14:formula1>
            <xm:f>' CARGOS Y ESTADOS'!$B$5:$B$42</xm:f>
          </x14:formula1>
          <xm:sqref>B12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E740-5940-473A-AA4B-19930BB20282}">
  <dimension ref="A1:S933"/>
  <sheetViews>
    <sheetView workbookViewId="0">
      <selection activeCell="F27" sqref="A24:F27"/>
    </sheetView>
  </sheetViews>
  <sheetFormatPr baseColWidth="10" defaultColWidth="11.42578125" defaultRowHeight="12.75"/>
  <cols>
    <col min="1" max="1" width="37" style="119" bestFit="1" customWidth="1"/>
    <col min="2" max="2" width="31.7109375" customWidth="1"/>
    <col min="3" max="3" width="13.5703125" style="8" bestFit="1" customWidth="1"/>
    <col min="4" max="4" width="21.85546875" style="99" customWidth="1"/>
    <col min="5" max="5" width="11.85546875" style="8" customWidth="1"/>
    <col min="6" max="6" width="23.42578125" style="10" customWidth="1"/>
    <col min="7" max="7" width="20.5703125" style="8" bestFit="1" customWidth="1"/>
    <col min="8" max="8" width="39.140625" style="8" bestFit="1" customWidth="1"/>
    <col min="9" max="9" width="23.140625" customWidth="1"/>
    <col min="10" max="10" width="12.28515625" customWidth="1"/>
    <col min="11" max="11" width="17.42578125" style="10" customWidth="1"/>
    <col min="12" max="12" width="21.7109375" style="76" bestFit="1" customWidth="1"/>
    <col min="13" max="13" width="22.85546875" style="10" bestFit="1" customWidth="1"/>
    <col min="14" max="14" width="12.85546875" bestFit="1" customWidth="1"/>
    <col min="15" max="15" width="25.7109375" style="76" bestFit="1" customWidth="1"/>
    <col min="16" max="16" width="25.28515625" bestFit="1" customWidth="1"/>
    <col min="17" max="17" width="18.5703125" bestFit="1" customWidth="1"/>
    <col min="18" max="18" width="10.140625" bestFit="1" customWidth="1"/>
    <col min="19" max="19" width="12.7109375" bestFit="1" customWidth="1"/>
  </cols>
  <sheetData>
    <row r="1" spans="1:19">
      <c r="A1" s="109" t="s">
        <v>24</v>
      </c>
      <c r="B1" s="110" t="s">
        <v>25</v>
      </c>
      <c r="C1" s="111" t="s">
        <v>26</v>
      </c>
      <c r="D1" s="112" t="s">
        <v>27</v>
      </c>
      <c r="E1" s="109" t="s">
        <v>28</v>
      </c>
      <c r="F1" s="113" t="s">
        <v>29</v>
      </c>
      <c r="G1" s="114" t="s">
        <v>30</v>
      </c>
      <c r="H1" s="109" t="s">
        <v>31</v>
      </c>
      <c r="I1" s="136" t="s">
        <v>32</v>
      </c>
      <c r="J1" s="136" t="s">
        <v>33</v>
      </c>
      <c r="K1" s="137" t="s">
        <v>34</v>
      </c>
      <c r="L1" s="138" t="s">
        <v>35</v>
      </c>
      <c r="M1" s="139" t="s">
        <v>36</v>
      </c>
    </row>
    <row r="2" spans="1:19" ht="15">
      <c r="A2" s="86" t="s">
        <v>1054</v>
      </c>
      <c r="B2" s="50" t="s">
        <v>53</v>
      </c>
      <c r="C2" s="85" t="s">
        <v>39</v>
      </c>
      <c r="D2" s="89">
        <v>45952</v>
      </c>
      <c r="E2" s="50" t="s">
        <v>40</v>
      </c>
      <c r="F2" s="83">
        <v>45931</v>
      </c>
      <c r="G2" s="84" t="s">
        <v>88</v>
      </c>
      <c r="H2" s="84" t="s">
        <v>1055</v>
      </c>
      <c r="I2" s="50"/>
      <c r="J2" s="135"/>
      <c r="K2" s="70" cm="1">
        <f t="array" ref="K2">IF(OR($B2="",$F2=""),"",WORKDAY.INTL(IF(ISNUMBER($F2),$F2,FECHA.VALOR($F2)),IF(UPPER(TRIM($B2))="AUXILIAR DE COCINA",10,15),1,FESTIVOS!$A$3:$A$1000))</f>
        <v>45945</v>
      </c>
      <c r="L2" s="76">
        <f t="shared" ref="L2" si="0">IF($F2="","",DATE(YEAR(EDATE($F2,IF(DAY($F2)&gt;=17,1,0))),MONTH(EDATE($F2,IF(DAY($F2)&gt;=17,1,0))),1))</f>
        <v>45931</v>
      </c>
      <c r="M2" s="89" t="str">
        <f>IF($K2="","",IF(OR($D2="",$D2&lt;$F2),"PENDIENTE",IF($D2&lt;=$K2,"A TIEMPO","FUERA DE TIEMPO")))</f>
        <v>FUERA DE TIEMPO</v>
      </c>
      <c r="N2" s="13"/>
      <c r="O2" s="78" t="s">
        <v>43</v>
      </c>
      <c r="P2" s="75" t="s">
        <v>36</v>
      </c>
    </row>
    <row r="3" spans="1:19" ht="15">
      <c r="A3" s="86" t="s">
        <v>1056</v>
      </c>
      <c r="B3" s="50" t="s">
        <v>53</v>
      </c>
      <c r="C3" s="85" t="s">
        <v>39</v>
      </c>
      <c r="D3" s="82">
        <v>45952</v>
      </c>
      <c r="E3" s="50" t="s">
        <v>40</v>
      </c>
      <c r="F3" s="15">
        <v>45931</v>
      </c>
      <c r="G3" s="84" t="s">
        <v>114</v>
      </c>
      <c r="H3" s="84" t="s">
        <v>1055</v>
      </c>
      <c r="I3" s="50"/>
      <c r="J3" s="135"/>
      <c r="K3" s="70" cm="1">
        <f t="array" ref="K3">IF(OR($B3="",$F3=""),"",WORKDAY.INTL(IF(ISNUMBER($F3),$F3,FECHA.VALOR($F3)),IF(UPPER(TRIM($B3))="AUXILIAR DE COCINA",10,15),1,FESTIVOS!$A$3:$A$1000))</f>
        <v>45945</v>
      </c>
      <c r="L3" s="88">
        <f t="shared" ref="L3:L23" si="1">IF($F3="","",DATE(YEAR(EDATE($F3,IF(DAY($F3)&gt;=17,1,0))),MONTH(EDATE($F3,IF(DAY($F3)&gt;=17,1,0))),1))</f>
        <v>45931</v>
      </c>
      <c r="M3" s="89" t="str">
        <f t="shared" ref="M3" si="2">IF($K3="","",IF(OR($D3="",$D3&lt;$F3),"PENDIENTE",IF($D3&lt;=$K3,"A TIEMPO","FUERA DE TIEMPO")))</f>
        <v>FUERA DE TIEMPO</v>
      </c>
      <c r="N3" s="13"/>
      <c r="O3" s="78" t="s">
        <v>35</v>
      </c>
      <c r="P3" t="s">
        <v>49</v>
      </c>
      <c r="Q3" t="s">
        <v>48</v>
      </c>
      <c r="R3" t="s">
        <v>47</v>
      </c>
      <c r="S3" t="s">
        <v>51</v>
      </c>
    </row>
    <row r="4" spans="1:19" ht="15">
      <c r="A4" s="47" t="s">
        <v>1057</v>
      </c>
      <c r="B4" s="47" t="s">
        <v>53</v>
      </c>
      <c r="C4" s="47" t="s">
        <v>39</v>
      </c>
      <c r="D4" s="141">
        <v>45975</v>
      </c>
      <c r="E4" s="47" t="s">
        <v>40</v>
      </c>
      <c r="F4" s="83">
        <v>45931</v>
      </c>
      <c r="G4" s="47" t="s">
        <v>191</v>
      </c>
      <c r="H4" s="47" t="s">
        <v>1055</v>
      </c>
      <c r="I4" s="74"/>
      <c r="J4" s="74"/>
      <c r="K4" s="70" cm="1">
        <f t="array" ref="K4">IF(OR($B4="",$F4=""),"",WORKDAY.INTL(IF(ISNUMBER($F4),$F4,FECHA.VALOR($F4)),IF(UPPER(TRIM($B4))="AUXILIAR DE COCINA",10,15),1,FESTIVOS!$A$3:$A$1000))</f>
        <v>45945</v>
      </c>
      <c r="L4" s="90">
        <f t="shared" si="1"/>
        <v>45931</v>
      </c>
      <c r="M4" s="70" t="str">
        <f t="shared" ref="M4:M23" si="3">IF($K4="","",IF(OR($D4="",$D4&lt;$F4),"PENDIENTE",IF($D4&lt;=$K4,"A TIEMPO","FUERA DE TIEMPO")))</f>
        <v>FUERA DE TIEMPO</v>
      </c>
      <c r="N4" s="13"/>
      <c r="O4" s="76">
        <v>45901</v>
      </c>
      <c r="P4">
        <v>2</v>
      </c>
      <c r="Q4">
        <v>2</v>
      </c>
      <c r="S4">
        <v>4</v>
      </c>
    </row>
    <row r="5" spans="1:19" ht="15">
      <c r="A5" s="123" t="s">
        <v>44</v>
      </c>
      <c r="B5" s="123" t="s">
        <v>53</v>
      </c>
      <c r="C5" s="123" t="s">
        <v>39</v>
      </c>
      <c r="D5" s="143">
        <v>45975</v>
      </c>
      <c r="E5" s="123" t="s">
        <v>40</v>
      </c>
      <c r="F5" s="142">
        <v>45931</v>
      </c>
      <c r="G5" s="123" t="s">
        <v>111</v>
      </c>
      <c r="H5" s="123" t="s">
        <v>1055</v>
      </c>
      <c r="I5" s="8"/>
      <c r="J5" s="8"/>
      <c r="K5" s="99" cm="1">
        <f t="array" ref="K5">IF(OR($B5="",$F5=""),"",WORKDAY.INTL(IF(ISNUMBER($F5),$F5,FECHA.VALOR($F5)),IF(UPPER(TRIM($B5))="AUXILIAR DE COCINA",10,15),1,FESTIVOS!$A$3:$A$1000))</f>
        <v>45945</v>
      </c>
      <c r="L5" s="134">
        <f t="shared" si="1"/>
        <v>45931</v>
      </c>
      <c r="M5" s="99" t="str">
        <f t="shared" si="3"/>
        <v>FUERA DE TIEMPO</v>
      </c>
      <c r="N5" s="13"/>
      <c r="O5" s="76">
        <v>45931</v>
      </c>
      <c r="P5">
        <v>6</v>
      </c>
      <c r="Q5">
        <v>11</v>
      </c>
      <c r="R5">
        <v>2</v>
      </c>
      <c r="S5">
        <v>19</v>
      </c>
    </row>
    <row r="6" spans="1:19" ht="15">
      <c r="A6" s="123" t="s">
        <v>1058</v>
      </c>
      <c r="B6" s="123" t="s">
        <v>53</v>
      </c>
      <c r="C6" s="123" t="s">
        <v>39</v>
      </c>
      <c r="D6" s="143">
        <v>45981</v>
      </c>
      <c r="E6" s="123" t="s">
        <v>40</v>
      </c>
      <c r="F6" s="142">
        <v>45931</v>
      </c>
      <c r="G6" s="123" t="s">
        <v>1059</v>
      </c>
      <c r="H6" s="123" t="s">
        <v>1055</v>
      </c>
      <c r="I6" s="8"/>
      <c r="J6" s="8"/>
      <c r="K6" s="99" cm="1">
        <f t="array" ref="K6">IF(OR($B6="",$F6=""),"",WORKDAY.INTL(IF(ISNUMBER($F6),$F6,FECHA.VALOR($F6)),IF(UPPER(TRIM($B6))="AUXILIAR DE COCINA",10,15),1,FESTIVOS!$A$3:$A$1000))</f>
        <v>45945</v>
      </c>
      <c r="L6" s="134">
        <f t="shared" si="1"/>
        <v>45931</v>
      </c>
      <c r="M6" s="99" t="str">
        <f t="shared" si="3"/>
        <v>FUERA DE TIEMPO</v>
      </c>
      <c r="N6" s="13"/>
      <c r="O6" s="76">
        <v>45962</v>
      </c>
      <c r="P6">
        <v>1</v>
      </c>
      <c r="S6">
        <v>1</v>
      </c>
    </row>
    <row r="7" spans="1:19" ht="15">
      <c r="A7" s="123" t="s">
        <v>1060</v>
      </c>
      <c r="B7" s="123" t="s">
        <v>53</v>
      </c>
      <c r="C7" s="123" t="s">
        <v>39</v>
      </c>
      <c r="D7" s="143">
        <v>45981</v>
      </c>
      <c r="E7" s="123" t="s">
        <v>40</v>
      </c>
      <c r="F7" s="142">
        <v>45931</v>
      </c>
      <c r="G7" s="123" t="s">
        <v>117</v>
      </c>
      <c r="H7" s="123" t="s">
        <v>1055</v>
      </c>
      <c r="I7" s="8"/>
      <c r="J7" s="8"/>
      <c r="K7" s="99" cm="1">
        <f t="array" ref="K7">IF(OR($B7="",$F7=""),"",WORKDAY.INTL(IF(ISNUMBER($F7),$F7,FECHA.VALOR($F7)),IF(UPPER(TRIM($B7))="AUXILIAR DE COCINA",10,15),1,FESTIVOS!$A$3:$A$1000))</f>
        <v>45945</v>
      </c>
      <c r="L7" s="134">
        <f t="shared" si="1"/>
        <v>45931</v>
      </c>
      <c r="M7" s="99" t="str">
        <f t="shared" si="3"/>
        <v>FUERA DE TIEMPO</v>
      </c>
      <c r="N7" s="13"/>
      <c r="O7" s="76" t="s">
        <v>51</v>
      </c>
      <c r="P7">
        <v>9</v>
      </c>
      <c r="Q7">
        <v>13</v>
      </c>
      <c r="R7">
        <v>2</v>
      </c>
      <c r="S7">
        <v>24</v>
      </c>
    </row>
    <row r="8" spans="1:19" ht="15">
      <c r="A8" s="123" t="s">
        <v>1061</v>
      </c>
      <c r="B8" s="123" t="s">
        <v>53</v>
      </c>
      <c r="C8" s="123" t="s">
        <v>39</v>
      </c>
      <c r="D8" s="143">
        <v>45981</v>
      </c>
      <c r="E8" s="123" t="s">
        <v>40</v>
      </c>
      <c r="F8" s="142">
        <v>45931</v>
      </c>
      <c r="G8" s="123" t="s">
        <v>1062</v>
      </c>
      <c r="H8" s="123" t="s">
        <v>1055</v>
      </c>
      <c r="I8" s="8"/>
      <c r="J8" s="8"/>
      <c r="K8" s="99" cm="1">
        <f t="array" ref="K8">IF(OR($B8="",$F8=""),"",WORKDAY.INTL(IF(ISNUMBER($F8),$F8,FECHA.VALOR($F8)),IF(UPPER(TRIM($B8))="AUXILIAR DE COCINA",10,15),1,FESTIVOS!$A$3:$A$1000))</f>
        <v>45945</v>
      </c>
      <c r="L8" s="134">
        <f t="shared" si="1"/>
        <v>45931</v>
      </c>
      <c r="M8" s="99" t="str">
        <f t="shared" si="3"/>
        <v>FUERA DE TIEMPO</v>
      </c>
      <c r="N8" s="13"/>
    </row>
    <row r="9" spans="1:19" ht="15">
      <c r="A9" s="123" t="s">
        <v>52</v>
      </c>
      <c r="B9" s="123" t="s">
        <v>53</v>
      </c>
      <c r="C9" s="123" t="s">
        <v>39</v>
      </c>
      <c r="D9" s="143">
        <v>45972</v>
      </c>
      <c r="E9" s="123" t="s">
        <v>40</v>
      </c>
      <c r="F9" s="142">
        <v>45931</v>
      </c>
      <c r="G9" s="123" t="s">
        <v>54</v>
      </c>
      <c r="H9" s="123" t="s">
        <v>1055</v>
      </c>
      <c r="I9" s="8"/>
      <c r="J9" s="8"/>
      <c r="K9" s="99" cm="1">
        <f t="array" ref="K9">IF(OR($B9="",$F9=""),"",WORKDAY.INTL(IF(ISNUMBER($F9),$F9,FECHA.VALOR($F9)),IF(UPPER(TRIM($B9))="AUXILIAR DE COCINA",10,15),1,FESTIVOS!$A$3:$A$1000))</f>
        <v>45945</v>
      </c>
      <c r="L9" s="134">
        <f t="shared" si="1"/>
        <v>45931</v>
      </c>
      <c r="M9" s="99" t="str">
        <f t="shared" si="3"/>
        <v>FUERA DE TIEMPO</v>
      </c>
      <c r="N9" s="13"/>
    </row>
    <row r="10" spans="1:19" ht="15">
      <c r="A10" s="123" t="s">
        <v>81</v>
      </c>
      <c r="B10" s="123" t="s">
        <v>53</v>
      </c>
      <c r="C10" s="123" t="s">
        <v>39</v>
      </c>
      <c r="D10" s="143">
        <v>45987</v>
      </c>
      <c r="E10" s="123" t="s">
        <v>40</v>
      </c>
      <c r="F10" s="142">
        <v>45931</v>
      </c>
      <c r="G10" s="123" t="s">
        <v>41</v>
      </c>
      <c r="H10" s="123" t="s">
        <v>1055</v>
      </c>
      <c r="I10" s="8"/>
      <c r="J10" s="8"/>
      <c r="K10" s="99" cm="1">
        <f t="array" ref="K10">IF(OR($B10="",$F10=""),"",WORKDAY.INTL(IF(ISNUMBER($F10),$F10,FECHA.VALOR($F10)),IF(UPPER(TRIM($B10))="AUXILIAR DE COCINA",10,15),1,FESTIVOS!$A$3:$A$1000))</f>
        <v>45945</v>
      </c>
      <c r="L10" s="134">
        <f t="shared" si="1"/>
        <v>45931</v>
      </c>
      <c r="M10" s="99" t="str">
        <f t="shared" si="3"/>
        <v>FUERA DE TIEMPO</v>
      </c>
      <c r="N10" s="13"/>
    </row>
    <row r="11" spans="1:19" ht="15">
      <c r="A11" s="123"/>
      <c r="B11" s="123" t="s">
        <v>38</v>
      </c>
      <c r="C11" s="123"/>
      <c r="D11" s="143"/>
      <c r="E11" s="123" t="s">
        <v>40</v>
      </c>
      <c r="F11" s="142">
        <v>45932</v>
      </c>
      <c r="G11" s="123" t="s">
        <v>1062</v>
      </c>
      <c r="H11" s="123" t="s">
        <v>1055</v>
      </c>
      <c r="I11" s="8"/>
      <c r="J11" s="8"/>
      <c r="K11" s="99" cm="1">
        <f t="array" ref="K11">IF(OR($B11="",$F11=""),"",WORKDAY.INTL(IF(ISNUMBER($F11),$F11,FECHA.VALOR($F11)),IF(UPPER(TRIM($B11))="AUXILIAR DE COCINA",10,15),1,FESTIVOS!$A$3:$A$1000))</f>
        <v>45953</v>
      </c>
      <c r="L11" s="134">
        <f t="shared" si="1"/>
        <v>45931</v>
      </c>
      <c r="M11" s="99" t="str">
        <f t="shared" si="3"/>
        <v>PENDIENTE</v>
      </c>
    </row>
    <row r="12" spans="1:19" ht="15">
      <c r="A12" s="123"/>
      <c r="B12" s="123" t="s">
        <v>38</v>
      </c>
      <c r="C12" s="123"/>
      <c r="D12" s="143"/>
      <c r="E12" s="123" t="s">
        <v>40</v>
      </c>
      <c r="F12" s="142">
        <v>45932</v>
      </c>
      <c r="G12" s="123" t="s">
        <v>114</v>
      </c>
      <c r="H12" s="123" t="s">
        <v>1055</v>
      </c>
      <c r="I12" s="8"/>
      <c r="J12" s="8"/>
      <c r="K12" s="99" cm="1">
        <f t="array" ref="K12">IF(OR($B12="",$F12=""),"",WORKDAY.INTL(IF(ISNUMBER($F12),$F12,FECHA.VALOR($F12)),IF(UPPER(TRIM($B12))="AUXILIAR DE COCINA",10,15),1,FESTIVOS!$A$3:$A$1000))</f>
        <v>45953</v>
      </c>
      <c r="L12" s="134">
        <f t="shared" si="1"/>
        <v>45931</v>
      </c>
      <c r="M12" s="99" t="str">
        <f t="shared" si="3"/>
        <v>PENDIENTE</v>
      </c>
    </row>
    <row r="13" spans="1:19" ht="15">
      <c r="A13" s="123"/>
      <c r="B13" s="123" t="s">
        <v>38</v>
      </c>
      <c r="C13" s="123"/>
      <c r="D13" s="143"/>
      <c r="E13" s="123" t="s">
        <v>40</v>
      </c>
      <c r="F13" s="142">
        <v>45932</v>
      </c>
      <c r="G13" s="123" t="s">
        <v>88</v>
      </c>
      <c r="H13" s="123" t="s">
        <v>1055</v>
      </c>
      <c r="I13" s="8"/>
      <c r="J13" s="8"/>
      <c r="K13" s="99" cm="1">
        <f t="array" ref="K13">IF(OR($B13="",$F13=""),"",WORKDAY.INTL(IF(ISNUMBER($F13),$F13,FECHA.VALOR($F13)),IF(UPPER(TRIM($B13))="AUXILIAR DE COCINA",10,15),1,FESTIVOS!$A$3:$A$1000))</f>
        <v>45953</v>
      </c>
      <c r="L13" s="134">
        <f t="shared" si="1"/>
        <v>45931</v>
      </c>
      <c r="M13" s="99" t="str">
        <f t="shared" si="3"/>
        <v>PENDIENTE</v>
      </c>
    </row>
    <row r="14" spans="1:19" ht="15">
      <c r="A14" s="123"/>
      <c r="B14" s="123" t="s">
        <v>38</v>
      </c>
      <c r="C14" s="123"/>
      <c r="D14" s="143"/>
      <c r="E14" s="123" t="s">
        <v>40</v>
      </c>
      <c r="F14" s="142">
        <v>45932</v>
      </c>
      <c r="G14" s="123" t="s">
        <v>149</v>
      </c>
      <c r="H14" s="123" t="s">
        <v>1055</v>
      </c>
      <c r="I14" s="8"/>
      <c r="J14" s="8"/>
      <c r="K14" s="99" cm="1">
        <f t="array" ref="K14">IF(OR($B14="",$F14=""),"",WORKDAY.INTL(IF(ISNUMBER($F14),$F14,FECHA.VALOR($F14)),IF(UPPER(TRIM($B14))="AUXILIAR DE COCINA",10,15),1,FESTIVOS!$A$3:$A$1000))</f>
        <v>45953</v>
      </c>
      <c r="L14" s="134">
        <f t="shared" si="1"/>
        <v>45931</v>
      </c>
      <c r="M14" s="99" t="str">
        <f t="shared" si="3"/>
        <v>PENDIENTE</v>
      </c>
    </row>
    <row r="15" spans="1:19" ht="15">
      <c r="A15" s="123"/>
      <c r="B15" s="123" t="s">
        <v>38</v>
      </c>
      <c r="C15" s="123"/>
      <c r="D15" s="143"/>
      <c r="E15" s="123" t="s">
        <v>40</v>
      </c>
      <c r="F15" s="142">
        <v>45932</v>
      </c>
      <c r="G15" s="123" t="s">
        <v>318</v>
      </c>
      <c r="H15" s="123" t="s">
        <v>1055</v>
      </c>
      <c r="I15" s="8"/>
      <c r="J15" s="8"/>
      <c r="K15" s="99" cm="1">
        <f t="array" ref="K15">IF(OR($B15="",$F15=""),"",WORKDAY.INTL(IF(ISNUMBER($F15),$F15,FECHA.VALOR($F15)),IF(UPPER(TRIM($B15))="AUXILIAR DE COCINA",10,15),1,FESTIVOS!$A$3:$A$1000))</f>
        <v>45953</v>
      </c>
      <c r="L15" s="134">
        <f t="shared" si="1"/>
        <v>45931</v>
      </c>
      <c r="M15" s="99" t="str">
        <f t="shared" si="3"/>
        <v>PENDIENTE</v>
      </c>
    </row>
    <row r="16" spans="1:19" ht="15">
      <c r="A16" s="123" t="s">
        <v>1063</v>
      </c>
      <c r="B16" s="123" t="s">
        <v>1036</v>
      </c>
      <c r="C16" s="123"/>
      <c r="D16" s="143">
        <v>45944</v>
      </c>
      <c r="E16" s="123" t="s">
        <v>40</v>
      </c>
      <c r="F16" s="142">
        <v>45930</v>
      </c>
      <c r="G16" s="123" t="s">
        <v>1064</v>
      </c>
      <c r="H16" s="123" t="s">
        <v>1065</v>
      </c>
      <c r="I16" s="8"/>
      <c r="J16" s="8"/>
      <c r="K16" s="99" cm="1">
        <f t="array" ref="K16">IF(OR($B16="",$F16=""),"",WORKDAY.INTL(IF(ISNUMBER($F16),$F16,FECHA.VALOR($F16)),IF(UPPER(TRIM($B16))="AUXILIAR DE COCINA",10,15),1,FESTIVOS!$A$3:$A$1000))</f>
        <v>45951</v>
      </c>
      <c r="L16" s="134">
        <f t="shared" si="1"/>
        <v>45931</v>
      </c>
      <c r="M16" s="99" t="str">
        <f t="shared" si="3"/>
        <v>A TIEMPO</v>
      </c>
    </row>
    <row r="17" spans="1:13" ht="15">
      <c r="A17" s="123" t="s">
        <v>1066</v>
      </c>
      <c r="B17" s="123" t="s">
        <v>1036</v>
      </c>
      <c r="C17" s="123" t="s">
        <v>39</v>
      </c>
      <c r="D17" s="143">
        <v>45953</v>
      </c>
      <c r="E17" s="123" t="s">
        <v>40</v>
      </c>
      <c r="F17" s="142">
        <v>45930</v>
      </c>
      <c r="G17" s="123" t="s">
        <v>1064</v>
      </c>
      <c r="H17" s="123" t="s">
        <v>1065</v>
      </c>
      <c r="I17" s="8"/>
      <c r="J17" s="8"/>
      <c r="K17" s="99" cm="1">
        <f t="array" ref="K17">IF(OR($B17="",$F17=""),"",WORKDAY.INTL(IF(ISNUMBER($F17),$F17,FECHA.VALOR($F17)),IF(UPPER(TRIM($B17))="AUXILIAR DE COCINA",10,15),1,FESTIVOS!$A$3:$A$1000))</f>
        <v>45951</v>
      </c>
      <c r="L17" s="134">
        <f t="shared" si="1"/>
        <v>45931</v>
      </c>
      <c r="M17" s="99" t="str">
        <f t="shared" si="3"/>
        <v>FUERA DE TIEMPO</v>
      </c>
    </row>
    <row r="18" spans="1:13" ht="15">
      <c r="A18" s="123"/>
      <c r="B18" s="123" t="s">
        <v>1036</v>
      </c>
      <c r="C18" s="123"/>
      <c r="D18" s="143"/>
      <c r="E18" s="123" t="s">
        <v>40</v>
      </c>
      <c r="F18" s="142">
        <v>45930</v>
      </c>
      <c r="G18" s="123" t="s">
        <v>1064</v>
      </c>
      <c r="H18" s="123" t="s">
        <v>1065</v>
      </c>
      <c r="I18" s="8"/>
      <c r="J18" s="8"/>
      <c r="K18" s="99" cm="1">
        <f t="array" ref="K18">IF(OR($B18="",$F18=""),"",WORKDAY.INTL(IF(ISNUMBER($F18),$F18,FECHA.VALOR($F18)),IF(UPPER(TRIM($B18))="AUXILIAR DE COCINA",10,15),1,FESTIVOS!$A$3:$A$1000))</f>
        <v>45951</v>
      </c>
      <c r="L18" s="134">
        <f t="shared" si="1"/>
        <v>45931</v>
      </c>
      <c r="M18" s="99" t="str">
        <f t="shared" si="3"/>
        <v>PENDIENTE</v>
      </c>
    </row>
    <row r="19" spans="1:13" ht="15">
      <c r="A19" s="123" t="s">
        <v>1067</v>
      </c>
      <c r="B19" s="123" t="s">
        <v>977</v>
      </c>
      <c r="C19" s="123" t="s">
        <v>39</v>
      </c>
      <c r="D19" s="143">
        <v>45947</v>
      </c>
      <c r="E19" s="123" t="s">
        <v>1068</v>
      </c>
      <c r="F19" s="142">
        <v>45901</v>
      </c>
      <c r="G19" s="123" t="s">
        <v>1064</v>
      </c>
      <c r="H19" s="123" t="s">
        <v>1065</v>
      </c>
      <c r="I19" s="8"/>
      <c r="J19" s="8"/>
      <c r="K19" s="99" cm="1">
        <f t="array" ref="K19">IF(OR($B19="",$F19=""),"",WORKDAY.INTL(IF(ISNUMBER($F19),$F19,FECHA.VALOR($F19)),IF(UPPER(TRIM($B19))="AUXILIAR DE COCINA",10,15),1,FESTIVOS!$A$3:$A$1000))</f>
        <v>45922</v>
      </c>
      <c r="L19" s="134">
        <f t="shared" si="1"/>
        <v>45901</v>
      </c>
      <c r="M19" s="99" t="str">
        <f t="shared" si="3"/>
        <v>FUERA DE TIEMPO</v>
      </c>
    </row>
    <row r="20" spans="1:13" ht="15">
      <c r="A20" s="123" t="s">
        <v>1069</v>
      </c>
      <c r="B20" s="123" t="s">
        <v>977</v>
      </c>
      <c r="C20" s="123" t="s">
        <v>39</v>
      </c>
      <c r="D20" s="143">
        <v>45987</v>
      </c>
      <c r="E20" s="123" t="s">
        <v>1068</v>
      </c>
      <c r="F20" s="142">
        <v>45901</v>
      </c>
      <c r="G20" s="123" t="s">
        <v>1064</v>
      </c>
      <c r="H20" s="123" t="s">
        <v>1065</v>
      </c>
      <c r="I20" s="8"/>
      <c r="J20" s="8"/>
      <c r="K20" s="99" cm="1">
        <f t="array" ref="K20">IF(OR($B20="",$F20=""),"",WORKDAY.INTL(IF(ISNUMBER($F20),$F20,FECHA.VALOR($F20)),IF(UPPER(TRIM($B20))="AUXILIAR DE COCINA",10,15),1,FESTIVOS!$A$3:$A$1000))</f>
        <v>45922</v>
      </c>
      <c r="L20" s="134">
        <f t="shared" si="1"/>
        <v>45901</v>
      </c>
      <c r="M20" s="99" t="str">
        <f t="shared" si="3"/>
        <v>FUERA DE TIEMPO</v>
      </c>
    </row>
    <row r="21" spans="1:13" ht="15">
      <c r="A21" s="123"/>
      <c r="B21" s="123" t="s">
        <v>977</v>
      </c>
      <c r="C21" s="123"/>
      <c r="D21" s="143"/>
      <c r="E21" s="123" t="s">
        <v>1068</v>
      </c>
      <c r="F21" s="142">
        <v>45901</v>
      </c>
      <c r="G21" s="123" t="s">
        <v>1064</v>
      </c>
      <c r="H21" s="123" t="s">
        <v>1065</v>
      </c>
      <c r="I21" s="8"/>
      <c r="J21" s="8"/>
      <c r="K21" s="99" cm="1">
        <f t="array" ref="K21">IF(OR($B21="",$F21=""),"",WORKDAY.INTL(IF(ISNUMBER($F21),$F21,FECHA.VALOR($F21)),IF(UPPER(TRIM($B21))="AUXILIAR DE COCINA",10,15),1,FESTIVOS!$A$3:$A$1000))</f>
        <v>45922</v>
      </c>
      <c r="L21" s="134">
        <f t="shared" si="1"/>
        <v>45901</v>
      </c>
      <c r="M21" s="99" t="str">
        <f t="shared" si="3"/>
        <v>PENDIENTE</v>
      </c>
    </row>
    <row r="22" spans="1:13" ht="15">
      <c r="A22" s="123"/>
      <c r="B22" s="123" t="s">
        <v>977</v>
      </c>
      <c r="C22" s="123"/>
      <c r="D22" s="143"/>
      <c r="E22" s="123" t="s">
        <v>1068</v>
      </c>
      <c r="F22" s="142">
        <v>45901</v>
      </c>
      <c r="G22" s="123" t="s">
        <v>1064</v>
      </c>
      <c r="H22" s="123" t="s">
        <v>1065</v>
      </c>
      <c r="I22" s="8"/>
      <c r="J22" s="8"/>
      <c r="K22" s="99" cm="1">
        <f t="array" ref="K22">IF(OR($B22="",$F22=""),"",WORKDAY.INTL(IF(ISNUMBER($F22),$F22,FECHA.VALOR($F22)),IF(UPPER(TRIM($B22))="AUXILIAR DE COCINA",10,15),1,FESTIVOS!$A$3:$A$1000))</f>
        <v>45922</v>
      </c>
      <c r="L22" s="134">
        <f t="shared" si="1"/>
        <v>45901</v>
      </c>
      <c r="M22" s="99" t="str">
        <f t="shared" si="3"/>
        <v>PENDIENTE</v>
      </c>
    </row>
    <row r="23" spans="1:13" ht="15">
      <c r="A23" s="123" t="s">
        <v>1070</v>
      </c>
      <c r="B23" s="123" t="s">
        <v>53</v>
      </c>
      <c r="C23" s="123" t="s">
        <v>39</v>
      </c>
      <c r="D23" s="143">
        <v>45954</v>
      </c>
      <c r="E23" s="123" t="s">
        <v>40</v>
      </c>
      <c r="F23" s="142">
        <v>45931</v>
      </c>
      <c r="G23" s="123" t="s">
        <v>946</v>
      </c>
      <c r="H23" s="123" t="s">
        <v>1065</v>
      </c>
      <c r="I23" s="8"/>
      <c r="J23" s="8"/>
      <c r="K23" s="99" cm="1">
        <f t="array" ref="K23">IF(OR($B23="",$F23=""),"",WORKDAY.INTL(IF(ISNUMBER($F23),$F23,FECHA.VALOR($F23)),IF(UPPER(TRIM($B23))="AUXILIAR DE COCINA",10,15),1,FESTIVOS!$A$3:$A$1000))</f>
        <v>45945</v>
      </c>
      <c r="L23" s="134">
        <f t="shared" si="1"/>
        <v>45931</v>
      </c>
      <c r="M23" s="99" t="str">
        <f t="shared" si="3"/>
        <v>FUERA DE TIEMPO</v>
      </c>
    </row>
    <row r="24" spans="1:13" ht="15">
      <c r="A24" s="123"/>
      <c r="B24" s="123" t="s">
        <v>977</v>
      </c>
      <c r="C24" s="123"/>
      <c r="D24" s="143"/>
      <c r="E24" s="123" t="s">
        <v>618</v>
      </c>
      <c r="F24" s="142">
        <v>46128</v>
      </c>
      <c r="G24" s="123" t="s">
        <v>1064</v>
      </c>
      <c r="H24" s="123" t="s">
        <v>1065</v>
      </c>
      <c r="I24" s="8"/>
      <c r="J24" s="8"/>
      <c r="K24" s="99"/>
      <c r="L24" s="134"/>
      <c r="M24" s="99"/>
    </row>
    <row r="25" spans="1:13" ht="15">
      <c r="A25" s="123"/>
      <c r="B25" s="123" t="s">
        <v>977</v>
      </c>
      <c r="C25" s="123"/>
      <c r="D25" s="143"/>
      <c r="E25" s="123" t="s">
        <v>618</v>
      </c>
      <c r="F25" s="142">
        <v>46128</v>
      </c>
      <c r="G25" s="123" t="s">
        <v>1064</v>
      </c>
      <c r="H25" s="123" t="s">
        <v>1065</v>
      </c>
      <c r="I25" s="8"/>
      <c r="J25" s="8"/>
      <c r="K25" s="99"/>
      <c r="L25" s="134"/>
      <c r="M25" s="99"/>
    </row>
    <row r="26" spans="1:13" ht="15">
      <c r="A26" s="123"/>
      <c r="B26" s="123" t="s">
        <v>977</v>
      </c>
      <c r="C26" s="123"/>
      <c r="D26" s="143"/>
      <c r="E26" s="123" t="s">
        <v>618</v>
      </c>
      <c r="F26" s="142">
        <v>46128</v>
      </c>
      <c r="G26" s="123" t="s">
        <v>1064</v>
      </c>
      <c r="H26" s="123" t="s">
        <v>1065</v>
      </c>
      <c r="I26" s="8"/>
      <c r="J26" s="8"/>
      <c r="K26" s="99"/>
      <c r="L26" s="134"/>
      <c r="M26" s="99"/>
    </row>
    <row r="27" spans="1:13" ht="15">
      <c r="A27" s="123"/>
      <c r="B27" s="123" t="s">
        <v>977</v>
      </c>
      <c r="C27" s="123"/>
      <c r="D27" s="143"/>
      <c r="E27" s="123" t="s">
        <v>618</v>
      </c>
      <c r="F27" s="142">
        <v>46128</v>
      </c>
      <c r="G27" s="123" t="s">
        <v>1064</v>
      </c>
      <c r="H27" s="123" t="s">
        <v>1065</v>
      </c>
      <c r="I27" s="8"/>
      <c r="J27" s="8"/>
      <c r="K27" s="99"/>
      <c r="L27" s="134"/>
      <c r="M27" s="99"/>
    </row>
    <row r="28" spans="1:13" ht="15">
      <c r="A28" s="123"/>
      <c r="B28" s="123"/>
      <c r="C28" s="123"/>
      <c r="D28" s="143"/>
      <c r="E28" s="123"/>
      <c r="F28" s="142"/>
      <c r="G28" s="123"/>
      <c r="H28" s="123"/>
      <c r="I28" s="8"/>
      <c r="J28" s="8"/>
      <c r="K28" s="99"/>
      <c r="L28" s="134"/>
      <c r="M28" s="99"/>
    </row>
    <row r="29" spans="1:13" ht="15">
      <c r="A29" s="123"/>
      <c r="B29" s="123"/>
      <c r="C29" s="123"/>
      <c r="D29" s="143"/>
      <c r="E29" s="123"/>
      <c r="F29" s="142"/>
      <c r="G29" s="123"/>
      <c r="H29" s="123"/>
      <c r="I29" s="8"/>
      <c r="J29" s="8"/>
      <c r="K29" s="99"/>
      <c r="L29" s="134"/>
      <c r="M29" s="99"/>
    </row>
    <row r="30" spans="1:13" ht="15">
      <c r="A30" s="123"/>
      <c r="B30" s="123"/>
      <c r="C30" s="123"/>
      <c r="D30" s="143"/>
      <c r="E30" s="123"/>
      <c r="F30" s="142"/>
      <c r="G30" s="123"/>
      <c r="H30" s="123"/>
      <c r="I30" s="8"/>
      <c r="J30" s="8"/>
      <c r="K30" s="99"/>
      <c r="L30" s="134"/>
      <c r="M30" s="99"/>
    </row>
    <row r="31" spans="1:13" ht="15">
      <c r="A31" s="123"/>
      <c r="B31" s="123"/>
      <c r="C31" s="123"/>
      <c r="D31" s="143"/>
      <c r="E31" s="123"/>
      <c r="F31" s="142"/>
      <c r="G31" s="123"/>
      <c r="H31" s="123"/>
      <c r="I31" s="8"/>
      <c r="J31" s="8"/>
      <c r="K31" s="99"/>
      <c r="L31" s="134"/>
      <c r="M31" s="99"/>
    </row>
    <row r="32" spans="1:13" ht="15">
      <c r="A32" s="123"/>
      <c r="B32" s="123"/>
      <c r="C32" s="123"/>
      <c r="D32" s="143"/>
      <c r="E32" s="123"/>
      <c r="F32" s="142"/>
      <c r="G32" s="123"/>
      <c r="H32" s="123"/>
      <c r="I32" s="8"/>
      <c r="J32" s="8"/>
      <c r="K32" s="99"/>
      <c r="L32" s="134"/>
      <c r="M32" s="99"/>
    </row>
    <row r="33" spans="1:13" ht="15">
      <c r="A33" s="123"/>
      <c r="B33" s="123"/>
      <c r="C33" s="123"/>
      <c r="D33" s="143"/>
      <c r="E33" s="123"/>
      <c r="F33" s="142"/>
      <c r="G33" s="123"/>
      <c r="H33" s="123"/>
      <c r="I33" s="8"/>
      <c r="J33" s="8"/>
      <c r="K33" s="99"/>
      <c r="L33" s="134"/>
      <c r="M33" s="99"/>
    </row>
    <row r="34" spans="1:13" ht="15">
      <c r="A34" s="123"/>
      <c r="B34" s="123"/>
      <c r="C34" s="123"/>
      <c r="D34" s="143"/>
      <c r="E34" s="123"/>
      <c r="F34" s="142"/>
      <c r="G34" s="123"/>
      <c r="H34" s="123"/>
      <c r="I34" s="8"/>
      <c r="J34" s="8"/>
      <c r="K34" s="99"/>
      <c r="L34" s="134"/>
      <c r="M34" s="99"/>
    </row>
    <row r="35" spans="1:13" ht="15">
      <c r="A35" s="123"/>
      <c r="B35" s="123"/>
      <c r="C35" s="123"/>
      <c r="D35" s="143"/>
      <c r="E35" s="123"/>
      <c r="F35" s="142"/>
      <c r="G35" s="123"/>
      <c r="H35" s="123"/>
      <c r="I35" s="8"/>
      <c r="J35" s="8"/>
      <c r="K35" s="99"/>
      <c r="L35" s="134"/>
      <c r="M35" s="99"/>
    </row>
    <row r="36" spans="1:13" ht="15">
      <c r="A36" s="123"/>
      <c r="B36" s="123"/>
      <c r="C36" s="123"/>
      <c r="D36" s="143"/>
      <c r="E36" s="123"/>
      <c r="F36" s="142"/>
      <c r="G36" s="123"/>
      <c r="H36" s="123"/>
      <c r="I36" s="8"/>
      <c r="J36" s="8"/>
      <c r="K36" s="99"/>
      <c r="L36" s="134"/>
      <c r="M36" s="99"/>
    </row>
    <row r="37" spans="1:13" ht="15">
      <c r="A37" s="123"/>
      <c r="B37" s="123"/>
      <c r="C37" s="123"/>
      <c r="D37" s="143"/>
      <c r="E37" s="123"/>
      <c r="F37" s="142"/>
      <c r="G37" s="123"/>
      <c r="H37" s="123"/>
      <c r="I37" s="8"/>
      <c r="J37" s="8"/>
      <c r="K37" s="99"/>
      <c r="L37" s="134"/>
      <c r="M37" s="99"/>
    </row>
    <row r="38" spans="1:13" ht="15">
      <c r="A38" s="123"/>
      <c r="B38" s="123"/>
      <c r="C38" s="123"/>
      <c r="D38" s="143"/>
      <c r="E38" s="123"/>
      <c r="F38" s="142"/>
      <c r="G38" s="123"/>
      <c r="H38" s="123"/>
      <c r="I38" s="8"/>
      <c r="J38" s="8"/>
      <c r="K38" s="99"/>
      <c r="L38" s="134"/>
      <c r="M38" s="99"/>
    </row>
    <row r="39" spans="1:13" ht="15">
      <c r="A39" s="123"/>
      <c r="B39" s="123"/>
      <c r="C39" s="123"/>
      <c r="D39" s="143"/>
      <c r="E39" s="123"/>
      <c r="F39" s="142"/>
      <c r="G39" s="123"/>
      <c r="H39" s="123"/>
      <c r="I39" s="8"/>
      <c r="J39" s="8"/>
      <c r="K39" s="99"/>
      <c r="L39" s="134"/>
      <c r="M39" s="99"/>
    </row>
    <row r="40" spans="1:13" ht="15">
      <c r="A40" s="123"/>
      <c r="B40" s="123"/>
      <c r="C40" s="123"/>
      <c r="D40" s="143"/>
      <c r="E40" s="123"/>
      <c r="F40" s="142"/>
      <c r="G40" s="123"/>
      <c r="H40" s="123"/>
      <c r="I40" s="8"/>
      <c r="J40" s="8"/>
      <c r="K40" s="99"/>
      <c r="L40" s="134"/>
      <c r="M40" s="99"/>
    </row>
    <row r="41" spans="1:13" ht="15">
      <c r="A41" s="123"/>
      <c r="B41" s="123"/>
      <c r="C41" s="123"/>
      <c r="D41" s="143"/>
      <c r="E41" s="123"/>
      <c r="F41" s="142"/>
      <c r="G41" s="123"/>
      <c r="H41" s="123"/>
      <c r="I41" s="8"/>
      <c r="J41" s="8"/>
      <c r="K41" s="99"/>
      <c r="L41" s="134"/>
      <c r="M41" s="99"/>
    </row>
    <row r="42" spans="1:13" ht="15">
      <c r="A42" s="123"/>
      <c r="B42" s="123"/>
      <c r="C42" s="123"/>
      <c r="D42" s="143"/>
      <c r="E42" s="123"/>
      <c r="F42" s="142"/>
      <c r="G42" s="123"/>
      <c r="H42" s="123"/>
      <c r="I42" s="8"/>
      <c r="J42" s="8"/>
      <c r="K42" s="99"/>
      <c r="L42" s="134"/>
      <c r="M42" s="99"/>
    </row>
    <row r="43" spans="1:13" ht="15">
      <c r="A43" s="123"/>
      <c r="B43" s="123"/>
      <c r="C43" s="123"/>
      <c r="D43" s="143"/>
      <c r="E43" s="123"/>
      <c r="F43" s="142"/>
      <c r="G43" s="123"/>
      <c r="H43" s="123"/>
      <c r="I43" s="8"/>
      <c r="J43" s="8"/>
      <c r="K43" s="99"/>
      <c r="L43" s="134"/>
      <c r="M43" s="99"/>
    </row>
    <row r="44" spans="1:13" ht="15">
      <c r="A44" s="123"/>
      <c r="B44" s="123"/>
      <c r="C44" s="123"/>
      <c r="D44" s="143"/>
      <c r="E44" s="123"/>
      <c r="F44" s="142"/>
      <c r="G44" s="123"/>
      <c r="H44" s="123"/>
      <c r="I44" s="8"/>
      <c r="J44" s="8"/>
      <c r="K44" s="99"/>
      <c r="L44" s="134"/>
      <c r="M44" s="99"/>
    </row>
    <row r="45" spans="1:13" ht="15">
      <c r="A45" s="123"/>
      <c r="B45" s="123"/>
      <c r="C45" s="123"/>
      <c r="D45" s="143"/>
      <c r="E45" s="123"/>
      <c r="F45" s="142"/>
      <c r="G45" s="123"/>
      <c r="H45" s="123"/>
      <c r="I45" s="8"/>
      <c r="J45" s="8"/>
      <c r="K45" s="99"/>
      <c r="L45" s="134"/>
      <c r="M45" s="99"/>
    </row>
    <row r="46" spans="1:13" ht="15">
      <c r="A46" s="123"/>
      <c r="B46" s="123"/>
      <c r="C46" s="123"/>
      <c r="D46" s="143"/>
      <c r="E46" s="123"/>
      <c r="F46" s="142"/>
      <c r="G46" s="123"/>
      <c r="H46" s="123"/>
      <c r="I46" s="8"/>
      <c r="J46" s="8"/>
      <c r="K46" s="99"/>
      <c r="L46" s="134"/>
      <c r="M46" s="99"/>
    </row>
    <row r="47" spans="1:13" ht="15">
      <c r="A47" s="123"/>
      <c r="B47" s="123"/>
      <c r="C47" s="123"/>
      <c r="D47" s="143"/>
      <c r="E47" s="123"/>
      <c r="F47" s="142"/>
      <c r="G47" s="123"/>
      <c r="H47" s="123"/>
      <c r="I47" s="8"/>
      <c r="J47" s="8"/>
      <c r="K47" s="99"/>
      <c r="L47" s="134"/>
      <c r="M47" s="99"/>
    </row>
    <row r="48" spans="1:13" ht="15">
      <c r="A48" s="123"/>
      <c r="B48" s="123"/>
      <c r="C48" s="123"/>
      <c r="D48" s="143"/>
      <c r="E48" s="123"/>
      <c r="F48" s="142"/>
      <c r="G48" s="123"/>
      <c r="H48" s="123"/>
      <c r="I48" s="8"/>
      <c r="J48" s="8"/>
      <c r="K48" s="99"/>
      <c r="L48" s="134"/>
      <c r="M48" s="99"/>
    </row>
    <row r="49" spans="1:13" ht="15">
      <c r="A49" s="123"/>
      <c r="B49" s="123"/>
      <c r="C49" s="123"/>
      <c r="D49" s="143"/>
      <c r="E49" s="123"/>
      <c r="F49" s="142"/>
      <c r="G49" s="123"/>
      <c r="H49" s="123"/>
      <c r="I49" s="8"/>
      <c r="J49" s="8"/>
      <c r="K49" s="99"/>
      <c r="L49" s="134"/>
      <c r="M49" s="99"/>
    </row>
    <row r="50" spans="1:13" ht="15">
      <c r="A50" s="123"/>
      <c r="B50" s="123"/>
      <c r="C50" s="123"/>
      <c r="D50" s="143"/>
      <c r="E50" s="123"/>
      <c r="F50" s="142"/>
      <c r="G50" s="123"/>
      <c r="H50" s="123"/>
      <c r="I50" s="8"/>
      <c r="J50" s="8"/>
      <c r="K50" s="99"/>
      <c r="L50" s="134"/>
      <c r="M50" s="99"/>
    </row>
    <row r="51" spans="1:13" ht="15">
      <c r="A51" s="123"/>
      <c r="B51" s="123"/>
      <c r="C51" s="123"/>
      <c r="D51" s="143"/>
      <c r="E51" s="123"/>
      <c r="F51" s="142"/>
      <c r="G51" s="123"/>
      <c r="H51" s="123"/>
      <c r="I51" s="8"/>
      <c r="J51" s="8"/>
      <c r="K51" s="99"/>
      <c r="L51" s="134"/>
      <c r="M51" s="99"/>
    </row>
    <row r="52" spans="1:13">
      <c r="A52" s="120"/>
      <c r="B52" s="2"/>
      <c r="C52" s="2"/>
      <c r="D52" s="121"/>
      <c r="E52" s="2"/>
      <c r="F52" s="122"/>
      <c r="G52" s="123"/>
      <c r="H52" s="2"/>
    </row>
    <row r="53" spans="1:13">
      <c r="A53" s="120"/>
      <c r="B53" s="2"/>
      <c r="C53" s="2"/>
      <c r="D53" s="121"/>
      <c r="E53" s="2"/>
      <c r="F53" s="122"/>
      <c r="G53" s="123"/>
      <c r="H53" s="2"/>
    </row>
    <row r="54" spans="1:13">
      <c r="A54" s="120"/>
      <c r="B54" s="2"/>
      <c r="C54" s="2"/>
      <c r="D54" s="121"/>
      <c r="E54" s="2"/>
      <c r="F54" s="122"/>
      <c r="G54" s="123"/>
      <c r="H54" s="2"/>
    </row>
    <row r="55" spans="1:13">
      <c r="A55" s="120"/>
      <c r="B55" s="2"/>
      <c r="C55" s="2"/>
      <c r="D55" s="121"/>
      <c r="E55" s="2"/>
      <c r="F55" s="122"/>
      <c r="G55" s="123"/>
      <c r="H55" s="2"/>
    </row>
    <row r="56" spans="1:13">
      <c r="A56" s="120"/>
      <c r="B56" s="2"/>
      <c r="C56" s="2"/>
      <c r="D56" s="121"/>
      <c r="E56" s="2"/>
      <c r="F56" s="122"/>
      <c r="G56" s="123"/>
      <c r="H56" s="2"/>
    </row>
    <row r="57" spans="1:13">
      <c r="A57" s="120"/>
      <c r="B57" s="2"/>
      <c r="C57" s="2"/>
      <c r="D57" s="121"/>
      <c r="E57" s="2"/>
      <c r="F57" s="122"/>
      <c r="G57" s="123"/>
      <c r="H57" s="2"/>
    </row>
    <row r="58" spans="1:13">
      <c r="A58" s="120"/>
      <c r="B58" s="2"/>
      <c r="C58" s="2"/>
      <c r="D58" s="121"/>
      <c r="E58" s="2"/>
      <c r="F58" s="122"/>
      <c r="G58" s="123"/>
      <c r="H58" s="2"/>
    </row>
    <row r="59" spans="1:13">
      <c r="A59" s="120"/>
      <c r="B59" s="2"/>
      <c r="C59" s="2"/>
      <c r="D59" s="121"/>
      <c r="E59" s="2"/>
      <c r="F59" s="122"/>
      <c r="G59" s="123"/>
      <c r="H59" s="2"/>
    </row>
    <row r="60" spans="1:13">
      <c r="A60" s="124"/>
      <c r="B60" s="125"/>
      <c r="C60" s="2"/>
      <c r="D60" s="121"/>
      <c r="E60" s="2"/>
      <c r="F60" s="126"/>
      <c r="G60" s="123"/>
      <c r="H60" s="2"/>
    </row>
    <row r="61" spans="1:13">
      <c r="A61" s="124"/>
      <c r="B61" s="125"/>
      <c r="C61" s="2"/>
      <c r="D61" s="121"/>
      <c r="E61" s="2"/>
      <c r="F61" s="126"/>
      <c r="G61" s="123"/>
      <c r="H61" s="2"/>
    </row>
    <row r="62" spans="1:13">
      <c r="A62" s="124"/>
      <c r="B62" s="125"/>
      <c r="C62" s="2"/>
      <c r="D62" s="121"/>
      <c r="E62" s="2"/>
      <c r="F62" s="126"/>
      <c r="G62" s="123"/>
      <c r="H62" s="2"/>
    </row>
    <row r="63" spans="1:13">
      <c r="A63" s="124"/>
      <c r="B63" s="125"/>
      <c r="C63" s="2"/>
      <c r="D63" s="121"/>
      <c r="E63" s="2"/>
      <c r="F63" s="126"/>
      <c r="G63" s="123"/>
      <c r="H63" s="2"/>
    </row>
    <row r="64" spans="1:13">
      <c r="A64" s="124"/>
      <c r="B64" s="125"/>
      <c r="C64" s="2"/>
      <c r="D64" s="121"/>
      <c r="E64" s="2"/>
      <c r="F64" s="126"/>
      <c r="G64" s="123"/>
      <c r="H64" s="2"/>
    </row>
    <row r="65" spans="1:8">
      <c r="A65" s="124"/>
      <c r="B65" s="125"/>
      <c r="C65" s="2"/>
      <c r="D65" s="121"/>
      <c r="E65" s="2"/>
      <c r="F65" s="126"/>
      <c r="G65" s="123"/>
      <c r="H65" s="2"/>
    </row>
    <row r="66" spans="1:8">
      <c r="A66" s="124"/>
      <c r="B66" s="125"/>
      <c r="C66" s="2"/>
      <c r="D66" s="121"/>
      <c r="E66" s="2"/>
      <c r="F66" s="126"/>
      <c r="G66" s="123"/>
      <c r="H66" s="2"/>
    </row>
    <row r="67" spans="1:8">
      <c r="A67" s="124"/>
      <c r="B67" s="125"/>
      <c r="C67" s="2"/>
      <c r="D67" s="121"/>
      <c r="E67" s="2"/>
      <c r="F67" s="126"/>
      <c r="G67" s="123"/>
      <c r="H67" s="2"/>
    </row>
    <row r="68" spans="1:8">
      <c r="A68" s="124"/>
      <c r="B68" s="125"/>
      <c r="C68" s="2"/>
      <c r="D68" s="121"/>
      <c r="E68" s="2"/>
      <c r="F68" s="126"/>
      <c r="G68" s="123"/>
      <c r="H68" s="2"/>
    </row>
    <row r="69" spans="1:8">
      <c r="A69" s="124"/>
      <c r="B69" s="125"/>
      <c r="C69" s="2"/>
      <c r="D69" s="121"/>
      <c r="E69" s="2"/>
      <c r="F69" s="126"/>
      <c r="G69" s="123"/>
      <c r="H69" s="2"/>
    </row>
    <row r="70" spans="1:8">
      <c r="A70" s="124"/>
      <c r="B70" s="125"/>
      <c r="C70" s="2"/>
      <c r="D70" s="121"/>
      <c r="E70" s="2"/>
      <c r="F70" s="126"/>
      <c r="G70" s="123"/>
      <c r="H70" s="2"/>
    </row>
    <row r="71" spans="1:8">
      <c r="A71" s="124"/>
      <c r="B71" s="125"/>
      <c r="C71" s="2"/>
      <c r="D71" s="121"/>
      <c r="E71" s="2"/>
      <c r="F71" s="126"/>
      <c r="G71" s="123"/>
      <c r="H71" s="2"/>
    </row>
    <row r="72" spans="1:8">
      <c r="A72" s="124"/>
      <c r="B72" s="125"/>
      <c r="C72" s="2"/>
      <c r="D72" s="121"/>
      <c r="E72" s="2"/>
      <c r="F72" s="126"/>
      <c r="G72" s="123"/>
      <c r="H72" s="2"/>
    </row>
    <row r="73" spans="1:8">
      <c r="A73" s="124"/>
      <c r="B73" s="125"/>
      <c r="C73" s="2"/>
      <c r="D73" s="121"/>
      <c r="E73" s="2"/>
      <c r="F73" s="126"/>
      <c r="G73" s="123"/>
      <c r="H73" s="2"/>
    </row>
    <row r="74" spans="1:8">
      <c r="A74" s="124"/>
      <c r="B74" s="125"/>
      <c r="C74" s="2"/>
      <c r="D74" s="121"/>
      <c r="E74" s="2"/>
      <c r="F74" s="126"/>
      <c r="G74" s="123"/>
      <c r="H74" s="2"/>
    </row>
    <row r="75" spans="1:8">
      <c r="A75" s="124"/>
      <c r="B75" s="125"/>
      <c r="C75" s="2"/>
      <c r="D75" s="121"/>
      <c r="E75" s="2"/>
      <c r="F75" s="126"/>
      <c r="G75" s="123"/>
      <c r="H75" s="2"/>
    </row>
    <row r="76" spans="1:8">
      <c r="A76" s="124"/>
      <c r="B76" s="125"/>
      <c r="C76" s="2"/>
      <c r="D76" s="121"/>
      <c r="E76" s="2"/>
      <c r="F76" s="126"/>
      <c r="G76" s="123"/>
      <c r="H76" s="2"/>
    </row>
    <row r="77" spans="1:8">
      <c r="A77" s="124"/>
      <c r="B77" s="125"/>
      <c r="C77" s="2"/>
      <c r="D77" s="121"/>
      <c r="E77" s="2"/>
      <c r="F77" s="126"/>
      <c r="G77" s="123"/>
      <c r="H77" s="2"/>
    </row>
    <row r="78" spans="1:8">
      <c r="A78" s="124"/>
      <c r="B78" s="125"/>
      <c r="C78" s="2"/>
      <c r="D78" s="121"/>
      <c r="E78" s="2"/>
      <c r="F78" s="126"/>
      <c r="G78" s="123"/>
      <c r="H78" s="2"/>
    </row>
    <row r="79" spans="1:8">
      <c r="A79" s="124"/>
      <c r="B79" s="125"/>
      <c r="C79" s="2"/>
      <c r="D79" s="121"/>
      <c r="E79" s="2"/>
      <c r="F79" s="126"/>
      <c r="G79" s="123"/>
      <c r="H79" s="2"/>
    </row>
    <row r="80" spans="1:8">
      <c r="A80" s="124"/>
      <c r="B80" s="125"/>
      <c r="C80" s="2"/>
      <c r="D80" s="121"/>
      <c r="E80" s="2"/>
      <c r="F80" s="126"/>
      <c r="G80" s="123"/>
      <c r="H80" s="2"/>
    </row>
    <row r="81" spans="1:8">
      <c r="A81" s="124"/>
      <c r="B81" s="125"/>
      <c r="C81" s="2"/>
      <c r="D81" s="121"/>
      <c r="E81" s="2"/>
      <c r="F81" s="126"/>
      <c r="G81" s="123"/>
      <c r="H81" s="2"/>
    </row>
    <row r="82" spans="1:8">
      <c r="A82" s="124"/>
      <c r="B82" s="125"/>
      <c r="C82" s="2"/>
      <c r="D82" s="121"/>
      <c r="E82" s="2"/>
      <c r="F82" s="126"/>
      <c r="G82" s="123"/>
      <c r="H82" s="2"/>
    </row>
    <row r="83" spans="1:8">
      <c r="A83" s="124"/>
      <c r="B83" s="125"/>
      <c r="C83" s="2"/>
      <c r="D83" s="121"/>
      <c r="E83" s="2"/>
      <c r="F83" s="126"/>
      <c r="G83" s="123"/>
      <c r="H83" s="2"/>
    </row>
    <row r="84" spans="1:8">
      <c r="A84" s="124"/>
      <c r="B84" s="125"/>
      <c r="C84" s="2"/>
      <c r="D84" s="121"/>
      <c r="E84" s="2"/>
      <c r="F84" s="126"/>
      <c r="G84" s="123"/>
      <c r="H84" s="2"/>
    </row>
    <row r="85" spans="1:8">
      <c r="A85" s="124"/>
      <c r="B85" s="125"/>
      <c r="C85" s="2"/>
      <c r="D85" s="121"/>
      <c r="E85" s="2"/>
      <c r="F85" s="126"/>
      <c r="G85" s="123"/>
      <c r="H85" s="2"/>
    </row>
    <row r="86" spans="1:8">
      <c r="A86" s="124"/>
      <c r="B86" s="125"/>
      <c r="C86" s="2"/>
      <c r="D86" s="121"/>
      <c r="E86" s="2"/>
      <c r="F86" s="126"/>
      <c r="G86" s="123"/>
      <c r="H86" s="2"/>
    </row>
    <row r="87" spans="1:8">
      <c r="A87" s="124"/>
      <c r="B87" s="125"/>
      <c r="C87" s="2"/>
      <c r="D87" s="121"/>
      <c r="E87" s="2"/>
      <c r="F87" s="126"/>
      <c r="G87" s="123"/>
      <c r="H87" s="2"/>
    </row>
    <row r="88" spans="1:8">
      <c r="A88" s="124"/>
      <c r="B88" s="125"/>
      <c r="C88" s="2"/>
      <c r="D88" s="121"/>
      <c r="E88" s="2"/>
      <c r="F88" s="126"/>
      <c r="G88" s="123"/>
      <c r="H88" s="2"/>
    </row>
    <row r="89" spans="1:8">
      <c r="A89" s="127"/>
      <c r="B89" s="128"/>
      <c r="C89" s="2"/>
      <c r="D89" s="121"/>
      <c r="E89" s="2"/>
      <c r="F89" s="129"/>
      <c r="G89" s="123"/>
      <c r="H89" s="2"/>
    </row>
    <row r="90" spans="1:8">
      <c r="A90" s="127"/>
      <c r="B90" s="128"/>
      <c r="C90" s="2"/>
      <c r="D90" s="121"/>
      <c r="E90" s="2"/>
      <c r="F90" s="129"/>
      <c r="G90" s="123"/>
      <c r="H90" s="2"/>
    </row>
    <row r="91" spans="1:8">
      <c r="A91" s="127"/>
      <c r="B91" s="128"/>
      <c r="C91" s="2"/>
      <c r="D91" s="121"/>
      <c r="E91" s="2"/>
      <c r="F91" s="129"/>
      <c r="G91" s="123"/>
      <c r="H91" s="2"/>
    </row>
    <row r="92" spans="1:8">
      <c r="A92" s="127"/>
      <c r="B92" s="128"/>
      <c r="C92" s="2"/>
      <c r="D92" s="121"/>
      <c r="E92" s="2"/>
      <c r="F92" s="129"/>
      <c r="G92" s="123"/>
      <c r="H92" s="2"/>
    </row>
    <row r="93" spans="1:8">
      <c r="A93" s="127"/>
      <c r="B93" s="128"/>
      <c r="C93" s="2"/>
      <c r="D93" s="121"/>
      <c r="E93" s="2"/>
      <c r="F93" s="129"/>
      <c r="G93" s="123"/>
      <c r="H93" s="2"/>
    </row>
    <row r="94" spans="1:8">
      <c r="A94" s="127"/>
      <c r="B94" s="128"/>
      <c r="C94" s="2"/>
      <c r="D94" s="121"/>
      <c r="E94" s="2"/>
      <c r="F94" s="129"/>
      <c r="G94" s="123"/>
      <c r="H94" s="2"/>
    </row>
    <row r="95" spans="1:8">
      <c r="A95" s="127"/>
      <c r="B95" s="128"/>
      <c r="C95" s="2"/>
      <c r="D95" s="121"/>
      <c r="E95" s="2"/>
      <c r="F95" s="129"/>
      <c r="G95" s="123"/>
      <c r="H95" s="2"/>
    </row>
    <row r="96" spans="1:8">
      <c r="A96" s="127"/>
      <c r="B96" s="128"/>
      <c r="C96" s="2"/>
      <c r="D96" s="121"/>
      <c r="E96" s="2"/>
      <c r="F96" s="129"/>
      <c r="G96" s="123"/>
      <c r="H96" s="2"/>
    </row>
    <row r="97" spans="1:8">
      <c r="A97" s="127"/>
      <c r="B97" s="128"/>
      <c r="C97" s="2"/>
      <c r="D97" s="121"/>
      <c r="E97" s="2"/>
      <c r="F97" s="129"/>
      <c r="G97" s="123"/>
      <c r="H97" s="2"/>
    </row>
    <row r="98" spans="1:8" ht="15">
      <c r="A98" s="130"/>
      <c r="B98" s="2"/>
      <c r="C98" s="131"/>
      <c r="D98" s="121"/>
      <c r="E98" s="2"/>
      <c r="F98" s="122"/>
      <c r="G98" s="123"/>
      <c r="H98" s="131"/>
    </row>
    <row r="99" spans="1:8">
      <c r="A99" s="127"/>
      <c r="B99" s="128"/>
      <c r="C99" s="2"/>
      <c r="D99" s="121"/>
      <c r="E99" s="2"/>
      <c r="F99" s="129"/>
      <c r="G99" s="123"/>
      <c r="H99" s="2"/>
    </row>
    <row r="100" spans="1:8">
      <c r="A100" s="127"/>
      <c r="B100" s="128"/>
      <c r="C100" s="2"/>
      <c r="D100" s="121"/>
      <c r="E100" s="2"/>
      <c r="F100" s="129"/>
      <c r="G100" s="123"/>
      <c r="H100" s="2"/>
    </row>
    <row r="101" spans="1:8">
      <c r="A101" s="127"/>
      <c r="B101" s="128"/>
      <c r="C101" s="2"/>
      <c r="D101" s="121"/>
      <c r="E101" s="2"/>
      <c r="F101" s="129"/>
      <c r="G101" s="123"/>
      <c r="H101" s="2"/>
    </row>
    <row r="102" spans="1:8">
      <c r="A102" s="127"/>
      <c r="B102" s="128"/>
      <c r="C102" s="2"/>
      <c r="D102" s="121"/>
      <c r="E102" s="2"/>
      <c r="F102" s="129"/>
      <c r="G102" s="123"/>
      <c r="H102" s="2"/>
    </row>
    <row r="103" spans="1:8">
      <c r="A103" s="127"/>
      <c r="B103" s="128"/>
      <c r="C103" s="2"/>
      <c r="D103" s="121"/>
      <c r="E103" s="2"/>
      <c r="F103" s="129"/>
      <c r="G103" s="123"/>
      <c r="H103" s="2"/>
    </row>
    <row r="104" spans="1:8">
      <c r="A104" s="127"/>
      <c r="B104" s="128"/>
      <c r="C104" s="2"/>
      <c r="D104" s="121"/>
      <c r="E104" s="2"/>
      <c r="F104" s="129"/>
      <c r="G104" s="123"/>
      <c r="H104" s="2"/>
    </row>
    <row r="105" spans="1:8">
      <c r="A105" s="127"/>
      <c r="B105" s="128"/>
      <c r="C105" s="2"/>
      <c r="D105" s="121"/>
      <c r="E105" s="2"/>
      <c r="F105" s="129"/>
      <c r="G105" s="123"/>
      <c r="H105" s="2"/>
    </row>
    <row r="106" spans="1:8">
      <c r="A106" s="127"/>
      <c r="B106" s="128"/>
      <c r="C106" s="2"/>
      <c r="D106" s="121"/>
      <c r="E106" s="2"/>
      <c r="F106" s="129"/>
      <c r="G106" s="123"/>
      <c r="H106" s="2"/>
    </row>
    <row r="107" spans="1:8">
      <c r="A107" s="127"/>
      <c r="B107" s="128"/>
      <c r="C107" s="2"/>
      <c r="D107" s="121"/>
      <c r="E107" s="2"/>
      <c r="F107" s="129"/>
      <c r="G107" s="123"/>
      <c r="H107" s="2"/>
    </row>
    <row r="108" spans="1:8">
      <c r="A108" s="127"/>
      <c r="B108" s="128"/>
      <c r="C108" s="2"/>
      <c r="D108" s="121"/>
      <c r="E108" s="2"/>
      <c r="F108" s="129"/>
      <c r="G108" s="123"/>
      <c r="H108" s="2"/>
    </row>
    <row r="109" spans="1:8">
      <c r="A109" s="127"/>
      <c r="B109" s="128"/>
      <c r="C109" s="2"/>
      <c r="D109" s="121"/>
      <c r="E109" s="2"/>
      <c r="F109" s="129"/>
      <c r="G109" s="123"/>
      <c r="H109" s="2"/>
    </row>
    <row r="110" spans="1:8">
      <c r="A110" s="127"/>
      <c r="B110" s="128"/>
      <c r="C110" s="2"/>
      <c r="D110" s="121"/>
      <c r="E110" s="2"/>
      <c r="F110" s="129"/>
      <c r="G110" s="123"/>
      <c r="H110" s="2"/>
    </row>
    <row r="111" spans="1:8">
      <c r="A111" s="127"/>
      <c r="B111" s="128"/>
      <c r="C111" s="2"/>
      <c r="D111" s="121"/>
      <c r="E111" s="2"/>
      <c r="F111" s="129"/>
      <c r="G111" s="123"/>
      <c r="H111" s="2"/>
    </row>
    <row r="112" spans="1:8">
      <c r="A112" s="127"/>
      <c r="B112" s="128"/>
      <c r="C112" s="2"/>
      <c r="D112" s="121"/>
      <c r="E112" s="2"/>
      <c r="F112" s="129"/>
      <c r="G112" s="123"/>
      <c r="H112" s="2"/>
    </row>
    <row r="113" spans="1:8">
      <c r="A113" s="127"/>
      <c r="B113" s="128"/>
      <c r="C113" s="2"/>
      <c r="D113" s="121"/>
      <c r="E113" s="2"/>
      <c r="F113" s="129"/>
      <c r="G113" s="123"/>
      <c r="H113" s="2"/>
    </row>
    <row r="114" spans="1:8">
      <c r="A114" s="127"/>
      <c r="B114" s="128"/>
      <c r="C114" s="2"/>
      <c r="D114" s="121"/>
      <c r="E114" s="2"/>
      <c r="F114" s="129"/>
      <c r="G114" s="123"/>
      <c r="H114" s="2"/>
    </row>
    <row r="115" spans="1:8">
      <c r="A115" s="127"/>
      <c r="B115" s="128"/>
      <c r="C115" s="2"/>
      <c r="D115" s="121"/>
      <c r="E115" s="2"/>
      <c r="F115" s="129"/>
      <c r="G115" s="123"/>
      <c r="H115" s="2"/>
    </row>
    <row r="116" spans="1:8">
      <c r="A116" s="127"/>
      <c r="B116" s="128"/>
      <c r="C116" s="2"/>
      <c r="D116" s="121"/>
      <c r="E116" s="2"/>
      <c r="F116" s="129"/>
      <c r="G116" s="123"/>
      <c r="H116" s="2"/>
    </row>
    <row r="117" spans="1:8">
      <c r="A117" s="127"/>
      <c r="B117" s="128"/>
      <c r="C117" s="2"/>
      <c r="D117" s="121"/>
      <c r="E117" s="2"/>
      <c r="F117" s="129"/>
      <c r="G117" s="123"/>
      <c r="H117" s="2"/>
    </row>
    <row r="118" spans="1:8">
      <c r="A118" s="127"/>
      <c r="B118" s="128"/>
      <c r="C118" s="2"/>
      <c r="D118" s="121"/>
      <c r="E118" s="2"/>
      <c r="F118" s="129"/>
      <c r="G118" s="123"/>
      <c r="H118" s="2"/>
    </row>
    <row r="119" spans="1:8">
      <c r="A119" s="127"/>
      <c r="B119" s="128"/>
      <c r="C119" s="2"/>
      <c r="D119" s="121"/>
      <c r="E119" s="2"/>
      <c r="F119" s="129"/>
      <c r="G119" s="123"/>
      <c r="H119" s="2"/>
    </row>
    <row r="120" spans="1:8">
      <c r="A120" s="127"/>
      <c r="B120" s="128"/>
      <c r="C120" s="2"/>
      <c r="D120" s="121"/>
      <c r="E120" s="2"/>
      <c r="F120" s="129"/>
      <c r="G120" s="123"/>
      <c r="H120" s="2"/>
    </row>
    <row r="121" spans="1:8">
      <c r="A121" s="127"/>
      <c r="B121" s="128"/>
      <c r="C121" s="2"/>
      <c r="D121" s="121"/>
      <c r="E121" s="2"/>
      <c r="F121" s="129"/>
      <c r="G121" s="123"/>
      <c r="H121" s="2"/>
    </row>
    <row r="122" spans="1:8">
      <c r="A122" s="127"/>
      <c r="B122" s="128"/>
      <c r="C122" s="2"/>
      <c r="D122" s="121"/>
      <c r="E122" s="2"/>
      <c r="F122" s="129"/>
      <c r="G122" s="123"/>
      <c r="H122" s="2"/>
    </row>
    <row r="123" spans="1:8">
      <c r="A123" s="127"/>
      <c r="B123" s="128"/>
      <c r="C123" s="2"/>
      <c r="D123" s="121"/>
      <c r="E123" s="2"/>
      <c r="F123" s="129"/>
      <c r="G123" s="123"/>
      <c r="H123" s="2"/>
    </row>
    <row r="124" spans="1:8">
      <c r="A124" s="127"/>
      <c r="B124" s="128"/>
      <c r="C124" s="2"/>
      <c r="D124" s="121"/>
      <c r="E124" s="2"/>
      <c r="F124" s="129"/>
      <c r="G124" s="123"/>
      <c r="H124" s="2"/>
    </row>
    <row r="125" spans="1:8">
      <c r="A125" s="127"/>
      <c r="B125" s="128"/>
      <c r="C125" s="2"/>
      <c r="D125" s="121"/>
      <c r="E125" s="2"/>
      <c r="F125" s="129"/>
      <c r="G125" s="123"/>
      <c r="H125" s="2"/>
    </row>
    <row r="126" spans="1:8">
      <c r="A126" s="127"/>
      <c r="B126" s="128"/>
      <c r="C126" s="2"/>
      <c r="D126" s="121"/>
      <c r="E126" s="2"/>
      <c r="F126" s="129"/>
      <c r="G126" s="123"/>
      <c r="H126" s="2"/>
    </row>
    <row r="127" spans="1:8">
      <c r="A127" s="127"/>
      <c r="B127" s="128"/>
      <c r="C127" s="2"/>
      <c r="D127" s="121"/>
      <c r="E127" s="2"/>
      <c r="F127" s="129"/>
      <c r="G127" s="123"/>
      <c r="H127" s="2"/>
    </row>
    <row r="128" spans="1:8">
      <c r="A128" s="127"/>
      <c r="B128" s="128"/>
      <c r="C128" s="2"/>
      <c r="D128" s="121"/>
      <c r="E128" s="2"/>
      <c r="F128" s="129"/>
      <c r="G128" s="123"/>
      <c r="H128" s="2"/>
    </row>
    <row r="129" spans="1:8">
      <c r="A129" s="127"/>
      <c r="B129" s="128"/>
      <c r="C129" s="2"/>
      <c r="D129" s="121"/>
      <c r="E129" s="2"/>
      <c r="F129" s="129"/>
      <c r="G129" s="123"/>
      <c r="H129" s="2"/>
    </row>
    <row r="130" spans="1:8">
      <c r="A130" s="127"/>
      <c r="B130" s="128"/>
      <c r="C130" s="2"/>
      <c r="D130" s="121"/>
      <c r="E130" s="2"/>
      <c r="F130" s="129"/>
      <c r="G130" s="123"/>
      <c r="H130" s="2"/>
    </row>
    <row r="131" spans="1:8">
      <c r="A131" s="127"/>
      <c r="B131" s="128"/>
      <c r="C131" s="2"/>
      <c r="D131" s="121"/>
      <c r="E131" s="2"/>
      <c r="F131" s="129"/>
      <c r="G131" s="123"/>
      <c r="H131" s="2"/>
    </row>
    <row r="132" spans="1:8">
      <c r="A132" s="127"/>
      <c r="B132" s="128"/>
      <c r="C132" s="2"/>
      <c r="D132" s="121"/>
      <c r="E132" s="2"/>
      <c r="F132" s="129"/>
      <c r="G132" s="123"/>
      <c r="H132" s="2"/>
    </row>
    <row r="133" spans="1:8">
      <c r="A133" s="127"/>
      <c r="B133" s="128"/>
      <c r="C133" s="2"/>
      <c r="D133" s="121"/>
      <c r="E133" s="2"/>
      <c r="F133" s="129"/>
      <c r="G133" s="123"/>
      <c r="H133" s="2"/>
    </row>
    <row r="134" spans="1:8">
      <c r="A134" s="127"/>
      <c r="B134" s="128"/>
      <c r="C134" s="2"/>
      <c r="D134" s="121"/>
      <c r="E134" s="2"/>
      <c r="F134" s="129"/>
      <c r="G134" s="123"/>
      <c r="H134" s="2"/>
    </row>
    <row r="135" spans="1:8">
      <c r="A135" s="127"/>
      <c r="B135" s="128"/>
      <c r="C135" s="2"/>
      <c r="D135" s="121"/>
      <c r="E135" s="2"/>
      <c r="F135" s="129"/>
      <c r="G135" s="123"/>
      <c r="H135" s="2"/>
    </row>
    <row r="136" spans="1:8">
      <c r="A136" s="127"/>
      <c r="B136" s="128"/>
      <c r="C136" s="2"/>
      <c r="D136" s="121"/>
      <c r="E136" s="2"/>
      <c r="F136" s="129"/>
      <c r="G136" s="123"/>
      <c r="H136" s="2"/>
    </row>
    <row r="137" spans="1:8">
      <c r="A137" s="127"/>
      <c r="B137" s="128"/>
      <c r="C137" s="2"/>
      <c r="D137" s="121"/>
      <c r="E137" s="2"/>
      <c r="F137" s="129"/>
      <c r="G137" s="123"/>
      <c r="H137" s="2"/>
    </row>
    <row r="138" spans="1:8">
      <c r="A138" s="127"/>
      <c r="B138" s="128"/>
      <c r="C138" s="2"/>
      <c r="D138" s="121"/>
      <c r="E138" s="2"/>
      <c r="F138" s="129"/>
      <c r="G138" s="123"/>
      <c r="H138" s="2"/>
    </row>
    <row r="139" spans="1:8">
      <c r="A139" s="127"/>
      <c r="B139" s="128"/>
      <c r="C139" s="2"/>
      <c r="D139" s="121"/>
      <c r="E139" s="2"/>
      <c r="F139" s="129"/>
      <c r="G139" s="123"/>
      <c r="H139" s="2"/>
    </row>
    <row r="140" spans="1:8">
      <c r="A140" s="127"/>
      <c r="B140" s="128"/>
      <c r="C140" s="2"/>
      <c r="D140" s="121"/>
      <c r="E140" s="2"/>
      <c r="F140" s="129"/>
      <c r="G140" s="123"/>
      <c r="H140" s="2"/>
    </row>
    <row r="141" spans="1:8">
      <c r="A141" s="127"/>
      <c r="B141" s="128"/>
      <c r="C141" s="2"/>
      <c r="D141" s="121"/>
      <c r="E141" s="2"/>
      <c r="F141" s="129"/>
      <c r="G141" s="123"/>
      <c r="H141" s="2"/>
    </row>
    <row r="142" spans="1:8">
      <c r="A142" s="127"/>
      <c r="B142" s="128"/>
      <c r="C142" s="2"/>
      <c r="D142" s="121"/>
      <c r="E142" s="2"/>
      <c r="F142" s="129"/>
      <c r="G142" s="123"/>
      <c r="H142" s="2"/>
    </row>
    <row r="143" spans="1:8">
      <c r="A143" s="127"/>
      <c r="B143" s="128"/>
      <c r="C143" s="2"/>
      <c r="D143" s="121"/>
      <c r="E143" s="2"/>
      <c r="F143" s="129"/>
      <c r="G143" s="123"/>
      <c r="H143" s="2"/>
    </row>
    <row r="144" spans="1:8">
      <c r="A144" s="127"/>
      <c r="B144" s="128"/>
      <c r="C144" s="2"/>
      <c r="D144" s="121"/>
      <c r="E144" s="2"/>
      <c r="F144" s="129"/>
      <c r="G144" s="123"/>
      <c r="H144" s="2"/>
    </row>
    <row r="145" spans="1:8">
      <c r="A145" s="127"/>
      <c r="B145" s="128"/>
      <c r="C145" s="2"/>
      <c r="D145" s="121"/>
      <c r="E145" s="2"/>
      <c r="F145" s="129"/>
      <c r="G145" s="123"/>
      <c r="H145" s="2"/>
    </row>
    <row r="146" spans="1:8">
      <c r="A146" s="127"/>
      <c r="B146" s="128"/>
      <c r="C146" s="2"/>
      <c r="D146" s="121"/>
      <c r="E146" s="2"/>
      <c r="F146" s="129"/>
      <c r="G146" s="123"/>
      <c r="H146" s="2"/>
    </row>
    <row r="147" spans="1:8">
      <c r="A147" s="127"/>
      <c r="B147" s="128"/>
      <c r="C147" s="2"/>
      <c r="D147" s="121"/>
      <c r="E147" s="2"/>
      <c r="F147" s="129"/>
      <c r="G147" s="123"/>
      <c r="H147" s="2"/>
    </row>
    <row r="148" spans="1:8">
      <c r="A148" s="127"/>
      <c r="B148" s="128"/>
      <c r="C148" s="2"/>
      <c r="D148" s="121"/>
      <c r="E148" s="2"/>
      <c r="F148" s="129"/>
      <c r="G148" s="123"/>
      <c r="H148" s="2"/>
    </row>
    <row r="149" spans="1:8">
      <c r="A149" s="127"/>
      <c r="B149" s="128"/>
      <c r="C149" s="2"/>
      <c r="D149" s="121"/>
      <c r="E149" s="2"/>
      <c r="F149" s="129"/>
      <c r="G149" s="123"/>
      <c r="H149" s="2"/>
    </row>
    <row r="150" spans="1:8">
      <c r="A150" s="127"/>
      <c r="B150" s="128"/>
      <c r="C150" s="2"/>
      <c r="D150" s="121"/>
      <c r="E150" s="2"/>
      <c r="F150" s="129"/>
      <c r="G150" s="123"/>
      <c r="H150" s="2"/>
    </row>
    <row r="151" spans="1:8">
      <c r="A151" s="127"/>
      <c r="B151" s="128"/>
      <c r="C151" s="2"/>
      <c r="D151" s="121"/>
      <c r="E151" s="2"/>
      <c r="F151" s="129"/>
      <c r="G151" s="123"/>
      <c r="H151" s="2"/>
    </row>
    <row r="152" spans="1:8">
      <c r="A152" s="127"/>
      <c r="B152" s="128"/>
      <c r="C152" s="2"/>
      <c r="D152" s="121"/>
      <c r="E152" s="2"/>
      <c r="F152" s="129"/>
      <c r="G152" s="123"/>
      <c r="H152" s="2"/>
    </row>
    <row r="153" spans="1:8">
      <c r="A153" s="127"/>
      <c r="B153" s="128"/>
      <c r="C153" s="2"/>
      <c r="D153" s="121"/>
      <c r="E153" s="2"/>
      <c r="F153" s="129"/>
      <c r="G153" s="123"/>
      <c r="H153" s="2"/>
    </row>
    <row r="154" spans="1:8">
      <c r="A154" s="127"/>
      <c r="B154" s="128"/>
      <c r="C154" s="2"/>
      <c r="D154" s="121"/>
      <c r="E154" s="2"/>
      <c r="F154" s="129"/>
      <c r="G154" s="123"/>
      <c r="H154" s="2"/>
    </row>
    <row r="155" spans="1:8">
      <c r="A155" s="127"/>
      <c r="B155" s="128"/>
      <c r="C155" s="2"/>
      <c r="D155" s="121"/>
      <c r="E155" s="2"/>
      <c r="F155" s="129"/>
      <c r="G155" s="123"/>
      <c r="H155" s="2"/>
    </row>
    <row r="156" spans="1:8">
      <c r="A156" s="127"/>
      <c r="B156" s="128"/>
      <c r="C156" s="2"/>
      <c r="D156" s="121"/>
      <c r="E156" s="2"/>
      <c r="F156" s="129"/>
      <c r="G156" s="123"/>
      <c r="H156" s="2"/>
    </row>
    <row r="157" spans="1:8">
      <c r="A157" s="127"/>
      <c r="B157" s="128"/>
      <c r="C157" s="2"/>
      <c r="D157" s="121"/>
      <c r="E157" s="2"/>
      <c r="F157" s="129"/>
      <c r="G157" s="123"/>
      <c r="H157" s="2"/>
    </row>
    <row r="158" spans="1:8">
      <c r="A158" s="127"/>
      <c r="B158" s="128"/>
      <c r="C158" s="2"/>
      <c r="D158" s="121"/>
      <c r="E158" s="2"/>
      <c r="F158" s="129"/>
      <c r="G158" s="123"/>
      <c r="H158" s="2"/>
    </row>
    <row r="159" spans="1:8">
      <c r="A159" s="127"/>
      <c r="B159" s="128"/>
      <c r="C159" s="2"/>
      <c r="D159" s="121"/>
      <c r="E159" s="2"/>
      <c r="F159" s="129"/>
      <c r="G159" s="123"/>
      <c r="H159" s="2"/>
    </row>
    <row r="160" spans="1:8">
      <c r="A160" s="127"/>
      <c r="B160" s="128"/>
      <c r="C160" s="132"/>
      <c r="D160" s="133"/>
      <c r="E160" s="132"/>
      <c r="F160" s="129"/>
      <c r="G160" s="132"/>
      <c r="H160" s="132"/>
    </row>
    <row r="161" spans="1:8">
      <c r="A161" s="127"/>
      <c r="B161" s="128"/>
      <c r="C161" s="132"/>
      <c r="D161" s="133"/>
      <c r="E161" s="132"/>
      <c r="F161" s="129"/>
      <c r="G161" s="132"/>
      <c r="H161" s="132"/>
    </row>
    <row r="162" spans="1:8">
      <c r="A162" s="127"/>
      <c r="B162" s="128"/>
      <c r="C162" s="132"/>
      <c r="D162" s="133"/>
      <c r="E162" s="132"/>
      <c r="F162" s="129"/>
      <c r="G162" s="132"/>
      <c r="H162" s="132"/>
    </row>
    <row r="163" spans="1:8">
      <c r="A163" s="127"/>
      <c r="B163" s="128"/>
      <c r="C163" s="132"/>
      <c r="D163" s="133"/>
      <c r="E163" s="132"/>
      <c r="F163" s="129"/>
      <c r="G163" s="132"/>
      <c r="H163" s="132"/>
    </row>
    <row r="164" spans="1:8">
      <c r="A164" s="127"/>
      <c r="B164" s="128"/>
      <c r="C164" s="132"/>
      <c r="D164" s="133"/>
      <c r="E164" s="132"/>
      <c r="F164" s="129"/>
      <c r="G164" s="132"/>
      <c r="H164" s="132"/>
    </row>
    <row r="165" spans="1:8">
      <c r="A165" s="127"/>
      <c r="B165" s="128"/>
      <c r="C165" s="132"/>
      <c r="D165" s="133"/>
      <c r="E165" s="132"/>
      <c r="F165" s="129"/>
      <c r="G165" s="132"/>
      <c r="H165" s="132"/>
    </row>
    <row r="166" spans="1:8">
      <c r="A166" s="127"/>
      <c r="B166" s="128"/>
      <c r="C166" s="132"/>
      <c r="D166" s="133"/>
      <c r="E166" s="132"/>
      <c r="F166" s="129"/>
      <c r="G166" s="132"/>
      <c r="H166" s="132"/>
    </row>
    <row r="167" spans="1:8">
      <c r="A167" s="127"/>
      <c r="B167" s="128"/>
      <c r="C167" s="132"/>
      <c r="D167" s="133"/>
      <c r="E167" s="132"/>
      <c r="F167" s="129"/>
      <c r="G167" s="132"/>
      <c r="H167" s="132"/>
    </row>
    <row r="168" spans="1:8">
      <c r="A168" s="127"/>
      <c r="B168" s="128"/>
      <c r="C168" s="132"/>
      <c r="D168" s="133"/>
      <c r="E168" s="132"/>
      <c r="F168" s="129"/>
      <c r="G168" s="132"/>
      <c r="H168" s="132"/>
    </row>
    <row r="169" spans="1:8">
      <c r="A169" s="127"/>
      <c r="B169" s="128"/>
      <c r="C169" s="132"/>
      <c r="D169" s="133"/>
      <c r="E169" s="132"/>
      <c r="F169" s="129"/>
      <c r="G169" s="132"/>
      <c r="H169" s="132"/>
    </row>
    <row r="170" spans="1:8">
      <c r="A170" s="127"/>
      <c r="B170" s="128"/>
      <c r="C170" s="132"/>
      <c r="D170" s="133"/>
      <c r="E170" s="132"/>
      <c r="F170" s="129"/>
      <c r="G170" s="132"/>
      <c r="H170" s="132"/>
    </row>
    <row r="171" spans="1:8">
      <c r="A171" s="127"/>
      <c r="B171" s="128"/>
      <c r="C171" s="132"/>
      <c r="D171" s="133"/>
      <c r="E171" s="132"/>
      <c r="F171" s="129"/>
      <c r="G171" s="132"/>
      <c r="H171" s="132"/>
    </row>
    <row r="172" spans="1:8">
      <c r="A172" s="127"/>
      <c r="B172" s="128"/>
      <c r="C172" s="132"/>
      <c r="D172" s="133"/>
      <c r="E172" s="132"/>
      <c r="F172" s="129"/>
      <c r="G172" s="132"/>
      <c r="H172" s="132"/>
    </row>
    <row r="173" spans="1:8">
      <c r="A173" s="127"/>
      <c r="B173" s="128"/>
      <c r="C173" s="132"/>
      <c r="D173" s="133"/>
      <c r="E173" s="132"/>
      <c r="F173" s="129"/>
      <c r="G173" s="132"/>
      <c r="H173" s="132"/>
    </row>
    <row r="174" spans="1:8">
      <c r="A174" s="127"/>
      <c r="B174" s="128"/>
      <c r="C174" s="132"/>
      <c r="D174" s="133"/>
      <c r="E174" s="132"/>
      <c r="F174" s="129"/>
      <c r="G174" s="132"/>
      <c r="H174" s="132"/>
    </row>
    <row r="175" spans="1:8">
      <c r="A175" s="127"/>
      <c r="B175" s="128"/>
      <c r="C175" s="132"/>
      <c r="D175" s="133"/>
      <c r="E175" s="132"/>
      <c r="F175" s="129"/>
      <c r="G175" s="132"/>
      <c r="H175" s="132"/>
    </row>
    <row r="176" spans="1:8">
      <c r="A176" s="127"/>
      <c r="B176" s="128"/>
      <c r="C176" s="132"/>
      <c r="D176" s="133"/>
      <c r="E176" s="132"/>
      <c r="F176" s="129"/>
      <c r="G176" s="132"/>
      <c r="H176" s="132"/>
    </row>
    <row r="177" spans="1:8">
      <c r="A177" s="127"/>
      <c r="B177" s="128"/>
      <c r="C177" s="132"/>
      <c r="D177" s="133"/>
      <c r="E177" s="132"/>
      <c r="F177" s="129"/>
      <c r="G177" s="132"/>
      <c r="H177" s="132"/>
    </row>
    <row r="178" spans="1:8">
      <c r="A178" s="127"/>
      <c r="B178" s="128"/>
      <c r="C178" s="132"/>
      <c r="D178" s="133"/>
      <c r="E178" s="132"/>
      <c r="F178" s="129"/>
      <c r="G178" s="132"/>
      <c r="H178" s="132"/>
    </row>
    <row r="179" spans="1:8">
      <c r="A179" s="127"/>
      <c r="B179" s="128"/>
      <c r="C179" s="132"/>
      <c r="D179" s="133"/>
      <c r="E179" s="132"/>
      <c r="F179" s="129"/>
      <c r="G179" s="132"/>
      <c r="H179" s="132"/>
    </row>
    <row r="180" spans="1:8">
      <c r="A180" s="127"/>
      <c r="B180" s="128"/>
      <c r="C180" s="132"/>
      <c r="D180" s="133"/>
      <c r="E180" s="132"/>
      <c r="F180" s="129"/>
      <c r="G180" s="132"/>
      <c r="H180" s="132"/>
    </row>
    <row r="181" spans="1:8">
      <c r="A181" s="127"/>
      <c r="B181" s="128"/>
      <c r="C181" s="132"/>
      <c r="D181" s="133"/>
      <c r="E181" s="132"/>
      <c r="F181" s="129"/>
      <c r="G181" s="132"/>
      <c r="H181" s="132"/>
    </row>
    <row r="182" spans="1:8">
      <c r="A182" s="127"/>
      <c r="B182" s="128"/>
      <c r="C182" s="132"/>
      <c r="D182" s="133"/>
      <c r="E182" s="132"/>
      <c r="F182" s="129"/>
      <c r="G182" s="132"/>
      <c r="H182" s="132"/>
    </row>
    <row r="183" spans="1:8">
      <c r="A183" s="127"/>
      <c r="B183" s="128"/>
      <c r="C183" s="132"/>
      <c r="D183" s="133"/>
      <c r="E183" s="132"/>
      <c r="F183" s="129"/>
      <c r="G183" s="132"/>
      <c r="H183" s="132"/>
    </row>
    <row r="184" spans="1:8">
      <c r="A184" s="127"/>
      <c r="B184" s="128"/>
      <c r="C184" s="132"/>
      <c r="D184" s="133"/>
      <c r="E184" s="132"/>
      <c r="F184" s="129"/>
      <c r="G184" s="132"/>
      <c r="H184" s="132"/>
    </row>
    <row r="185" spans="1:8">
      <c r="A185" s="127"/>
      <c r="B185" s="128"/>
      <c r="C185" s="132"/>
      <c r="D185" s="133"/>
      <c r="E185" s="132"/>
      <c r="F185" s="129"/>
      <c r="G185" s="132"/>
      <c r="H185" s="132"/>
    </row>
    <row r="186" spans="1:8">
      <c r="A186" s="127"/>
      <c r="B186" s="128"/>
      <c r="C186" s="132"/>
      <c r="D186" s="133"/>
      <c r="E186" s="132"/>
      <c r="F186" s="129"/>
      <c r="G186" s="132"/>
      <c r="H186" s="132"/>
    </row>
    <row r="187" spans="1:8">
      <c r="A187" s="127"/>
      <c r="B187" s="128"/>
      <c r="C187" s="132"/>
      <c r="D187" s="133"/>
      <c r="E187" s="132"/>
      <c r="F187" s="129"/>
      <c r="G187" s="132"/>
      <c r="H187" s="132"/>
    </row>
    <row r="188" spans="1:8">
      <c r="A188" s="127"/>
      <c r="B188" s="128"/>
      <c r="C188" s="132"/>
      <c r="D188" s="133"/>
      <c r="E188" s="132"/>
      <c r="F188" s="129"/>
      <c r="G188" s="132"/>
      <c r="H188" s="132"/>
    </row>
    <row r="189" spans="1:8">
      <c r="A189" s="127"/>
      <c r="B189" s="128"/>
      <c r="C189" s="132"/>
      <c r="D189" s="133"/>
      <c r="E189" s="132"/>
      <c r="F189" s="129"/>
      <c r="G189" s="132"/>
      <c r="H189" s="132"/>
    </row>
    <row r="190" spans="1:8">
      <c r="A190" s="127"/>
      <c r="B190" s="128"/>
      <c r="C190" s="132"/>
      <c r="D190" s="133"/>
      <c r="E190" s="132"/>
      <c r="F190" s="129"/>
      <c r="G190" s="132"/>
      <c r="H190" s="132"/>
    </row>
    <row r="191" spans="1:8">
      <c r="A191" s="127"/>
      <c r="B191" s="128"/>
      <c r="C191" s="132"/>
      <c r="D191" s="133"/>
      <c r="E191" s="132"/>
      <c r="F191" s="129"/>
      <c r="G191" s="132"/>
      <c r="H191" s="132"/>
    </row>
    <row r="192" spans="1:8">
      <c r="A192" s="127"/>
      <c r="B192" s="128"/>
      <c r="C192" s="132"/>
      <c r="D192" s="133"/>
      <c r="E192" s="132"/>
      <c r="F192" s="129"/>
      <c r="G192" s="132"/>
      <c r="H192" s="132"/>
    </row>
    <row r="193" spans="1:8">
      <c r="A193" s="127"/>
      <c r="B193" s="128"/>
      <c r="C193" s="132"/>
      <c r="D193" s="133"/>
      <c r="E193" s="132"/>
      <c r="F193" s="129"/>
      <c r="G193" s="132"/>
      <c r="H193" s="132"/>
    </row>
    <row r="194" spans="1:8">
      <c r="A194" s="127"/>
      <c r="B194" s="128"/>
      <c r="C194" s="132"/>
      <c r="D194" s="133"/>
      <c r="E194" s="132"/>
      <c r="F194" s="129"/>
      <c r="G194" s="132"/>
      <c r="H194" s="132"/>
    </row>
    <row r="195" spans="1:8">
      <c r="A195" s="127"/>
      <c r="B195" s="128"/>
      <c r="C195" s="132"/>
      <c r="D195" s="133"/>
      <c r="E195" s="132"/>
      <c r="F195" s="129"/>
      <c r="G195" s="132"/>
      <c r="H195" s="132"/>
    </row>
    <row r="196" spans="1:8">
      <c r="A196" s="127"/>
      <c r="B196" s="128"/>
      <c r="C196" s="132"/>
      <c r="D196" s="133"/>
      <c r="E196" s="132"/>
      <c r="F196" s="129"/>
      <c r="G196" s="132"/>
      <c r="H196" s="132"/>
    </row>
    <row r="197" spans="1:8">
      <c r="A197" s="127"/>
      <c r="B197" s="128"/>
      <c r="C197" s="132"/>
      <c r="D197" s="133"/>
      <c r="E197" s="132"/>
      <c r="F197" s="129"/>
      <c r="G197" s="132"/>
      <c r="H197" s="132"/>
    </row>
    <row r="198" spans="1:8">
      <c r="A198" s="127"/>
      <c r="B198" s="128"/>
      <c r="C198" s="132"/>
      <c r="D198" s="133"/>
      <c r="E198" s="132"/>
      <c r="F198" s="129"/>
      <c r="G198" s="132"/>
      <c r="H198" s="132"/>
    </row>
    <row r="199" spans="1:8">
      <c r="A199" s="127"/>
      <c r="B199" s="128"/>
      <c r="C199" s="132"/>
      <c r="D199" s="133"/>
      <c r="E199" s="132"/>
      <c r="F199" s="129"/>
      <c r="G199" s="132"/>
      <c r="H199" s="132"/>
    </row>
    <row r="200" spans="1:8">
      <c r="A200" s="127"/>
      <c r="B200" s="128"/>
      <c r="C200" s="132"/>
      <c r="D200" s="133"/>
      <c r="E200" s="132"/>
      <c r="F200" s="129"/>
      <c r="G200" s="132"/>
      <c r="H200" s="132"/>
    </row>
    <row r="201" spans="1:8">
      <c r="A201" s="127"/>
      <c r="B201" s="128"/>
      <c r="C201" s="132"/>
      <c r="D201" s="133"/>
      <c r="E201" s="132"/>
      <c r="F201" s="129"/>
      <c r="G201" s="132"/>
      <c r="H201" s="132"/>
    </row>
    <row r="202" spans="1:8">
      <c r="A202" s="127"/>
      <c r="B202" s="128"/>
      <c r="C202" s="132"/>
      <c r="D202" s="133"/>
      <c r="E202" s="132"/>
      <c r="F202" s="129"/>
      <c r="G202" s="132"/>
      <c r="H202" s="132"/>
    </row>
    <row r="203" spans="1:8">
      <c r="A203" s="127"/>
      <c r="B203" s="128"/>
      <c r="C203" s="132"/>
      <c r="D203" s="133"/>
      <c r="E203" s="132"/>
      <c r="F203" s="129"/>
      <c r="G203" s="132"/>
      <c r="H203" s="132"/>
    </row>
    <row r="204" spans="1:8">
      <c r="A204" s="127"/>
      <c r="B204" s="128"/>
      <c r="C204" s="132"/>
      <c r="D204" s="133"/>
      <c r="E204" s="132"/>
      <c r="F204" s="129"/>
      <c r="G204" s="132"/>
      <c r="H204" s="132"/>
    </row>
    <row r="205" spans="1:8">
      <c r="A205" s="127"/>
      <c r="B205" s="128"/>
      <c r="C205" s="132"/>
      <c r="D205" s="133"/>
      <c r="E205" s="132"/>
      <c r="F205" s="129"/>
      <c r="G205" s="132"/>
      <c r="H205" s="132"/>
    </row>
    <row r="206" spans="1:8">
      <c r="A206" s="127"/>
      <c r="B206" s="128"/>
      <c r="C206" s="132"/>
      <c r="D206" s="133"/>
      <c r="E206" s="132"/>
      <c r="F206" s="129"/>
      <c r="G206" s="132"/>
      <c r="H206" s="132"/>
    </row>
    <row r="207" spans="1:8">
      <c r="A207" s="127"/>
      <c r="B207" s="128"/>
      <c r="C207" s="132"/>
      <c r="D207" s="133"/>
      <c r="E207" s="132"/>
      <c r="F207" s="129"/>
      <c r="G207" s="132"/>
      <c r="H207" s="132"/>
    </row>
    <row r="208" spans="1:8">
      <c r="A208" s="127"/>
      <c r="B208" s="128"/>
      <c r="C208" s="132"/>
      <c r="D208" s="133"/>
      <c r="E208" s="132"/>
      <c r="F208" s="129"/>
      <c r="G208" s="132"/>
      <c r="H208" s="132"/>
    </row>
    <row r="209" spans="1:8">
      <c r="A209" s="127"/>
      <c r="B209" s="128"/>
      <c r="C209" s="132"/>
      <c r="D209" s="133"/>
      <c r="E209" s="132"/>
      <c r="F209" s="129"/>
      <c r="G209" s="132"/>
      <c r="H209" s="132"/>
    </row>
    <row r="210" spans="1:8">
      <c r="A210" s="127"/>
      <c r="B210" s="128"/>
      <c r="C210" s="132"/>
      <c r="D210" s="133"/>
      <c r="E210" s="132"/>
      <c r="F210" s="129"/>
      <c r="G210" s="132"/>
      <c r="H210" s="132"/>
    </row>
    <row r="211" spans="1:8">
      <c r="A211" s="127"/>
      <c r="B211" s="128"/>
      <c r="C211" s="132"/>
      <c r="D211" s="133"/>
      <c r="E211" s="132"/>
      <c r="F211" s="129"/>
      <c r="G211" s="132"/>
      <c r="H211" s="132"/>
    </row>
    <row r="212" spans="1:8">
      <c r="A212" s="127"/>
      <c r="B212" s="128"/>
      <c r="C212" s="132"/>
      <c r="D212" s="133"/>
      <c r="E212" s="132"/>
      <c r="F212" s="129"/>
      <c r="G212" s="132"/>
      <c r="H212" s="132"/>
    </row>
    <row r="213" spans="1:8">
      <c r="A213" s="127"/>
      <c r="B213" s="128"/>
      <c r="C213" s="132"/>
      <c r="D213" s="133"/>
      <c r="E213" s="132"/>
      <c r="F213" s="129"/>
      <c r="G213" s="132"/>
      <c r="H213" s="132"/>
    </row>
    <row r="214" spans="1:8">
      <c r="A214" s="127"/>
      <c r="B214" s="128"/>
      <c r="C214" s="132"/>
      <c r="D214" s="133"/>
      <c r="E214" s="132"/>
      <c r="F214" s="129"/>
      <c r="G214" s="132"/>
      <c r="H214" s="132"/>
    </row>
    <row r="215" spans="1:8">
      <c r="A215" s="127"/>
      <c r="B215" s="128"/>
      <c r="C215" s="132"/>
      <c r="D215" s="133"/>
      <c r="E215" s="132"/>
      <c r="F215" s="129"/>
      <c r="G215" s="132"/>
      <c r="H215" s="132"/>
    </row>
    <row r="216" spans="1:8">
      <c r="A216" s="127"/>
      <c r="B216" s="128"/>
      <c r="C216" s="132"/>
      <c r="D216" s="133"/>
      <c r="E216" s="132"/>
      <c r="F216" s="129"/>
      <c r="G216" s="132"/>
      <c r="H216" s="132"/>
    </row>
    <row r="217" spans="1:8">
      <c r="A217" s="127"/>
      <c r="B217" s="128"/>
      <c r="C217" s="132"/>
      <c r="D217" s="133"/>
      <c r="E217" s="132"/>
      <c r="F217" s="129"/>
      <c r="G217" s="132"/>
      <c r="H217" s="132"/>
    </row>
    <row r="218" spans="1:8">
      <c r="A218" s="127"/>
      <c r="B218" s="128"/>
      <c r="C218" s="132"/>
      <c r="D218" s="133"/>
      <c r="E218" s="132"/>
      <c r="F218" s="129"/>
      <c r="G218" s="132"/>
      <c r="H218" s="132"/>
    </row>
    <row r="219" spans="1:8">
      <c r="A219" s="127"/>
      <c r="B219" s="128"/>
      <c r="C219" s="132"/>
      <c r="D219" s="133"/>
      <c r="E219" s="132"/>
      <c r="F219" s="129"/>
      <c r="G219" s="132"/>
      <c r="H219" s="132"/>
    </row>
    <row r="220" spans="1:8">
      <c r="A220" s="127"/>
      <c r="B220" s="128"/>
      <c r="C220" s="132"/>
      <c r="D220" s="133"/>
      <c r="E220" s="132"/>
      <c r="F220" s="129"/>
      <c r="G220" s="132"/>
      <c r="H220" s="132"/>
    </row>
    <row r="221" spans="1:8">
      <c r="A221" s="127"/>
      <c r="B221" s="128"/>
      <c r="C221" s="132"/>
      <c r="D221" s="133"/>
      <c r="E221" s="132"/>
      <c r="F221" s="129"/>
      <c r="G221" s="132"/>
      <c r="H221" s="132"/>
    </row>
    <row r="222" spans="1:8">
      <c r="A222" s="127"/>
      <c r="B222" s="128"/>
      <c r="C222" s="132"/>
      <c r="D222" s="133"/>
      <c r="E222" s="132"/>
      <c r="F222" s="129"/>
      <c r="G222" s="132"/>
      <c r="H222" s="132"/>
    </row>
    <row r="223" spans="1:8">
      <c r="A223" s="127"/>
      <c r="B223" s="128"/>
      <c r="C223" s="132"/>
      <c r="D223" s="133"/>
      <c r="E223" s="132"/>
      <c r="F223" s="129"/>
      <c r="G223" s="132"/>
      <c r="H223" s="132"/>
    </row>
    <row r="224" spans="1:8">
      <c r="A224" s="127"/>
      <c r="B224" s="128"/>
      <c r="C224" s="132"/>
      <c r="D224" s="133"/>
      <c r="E224" s="132"/>
      <c r="F224" s="129"/>
      <c r="G224" s="132"/>
      <c r="H224" s="132"/>
    </row>
    <row r="225" spans="1:8">
      <c r="A225" s="127"/>
      <c r="B225" s="128"/>
      <c r="C225" s="132"/>
      <c r="D225" s="133"/>
      <c r="E225" s="132"/>
      <c r="F225" s="129"/>
      <c r="G225" s="132"/>
      <c r="H225" s="132"/>
    </row>
    <row r="226" spans="1:8">
      <c r="A226" s="127"/>
      <c r="B226" s="128"/>
      <c r="C226" s="132"/>
      <c r="D226" s="133"/>
      <c r="E226" s="132"/>
      <c r="F226" s="129"/>
      <c r="G226" s="132"/>
      <c r="H226" s="132"/>
    </row>
    <row r="227" spans="1:8">
      <c r="A227" s="127"/>
      <c r="B227" s="128"/>
      <c r="C227" s="132"/>
      <c r="D227" s="133"/>
      <c r="E227" s="132"/>
      <c r="F227" s="129"/>
      <c r="G227" s="132"/>
      <c r="H227" s="132"/>
    </row>
    <row r="228" spans="1:8">
      <c r="A228" s="127"/>
      <c r="B228" s="128"/>
      <c r="C228" s="132"/>
      <c r="D228" s="133"/>
      <c r="E228" s="132"/>
      <c r="F228" s="129"/>
      <c r="G228" s="132"/>
      <c r="H228" s="132"/>
    </row>
    <row r="229" spans="1:8">
      <c r="A229" s="127"/>
      <c r="B229" s="128"/>
      <c r="C229" s="132"/>
      <c r="D229" s="133"/>
      <c r="E229" s="132"/>
      <c r="F229" s="129"/>
      <c r="G229" s="132"/>
      <c r="H229" s="132"/>
    </row>
    <row r="230" spans="1:8">
      <c r="A230" s="127"/>
      <c r="B230" s="128"/>
      <c r="C230" s="132"/>
      <c r="D230" s="133"/>
      <c r="E230" s="132"/>
      <c r="F230" s="129"/>
      <c r="G230" s="132"/>
      <c r="H230" s="132"/>
    </row>
    <row r="231" spans="1:8">
      <c r="A231" s="127"/>
      <c r="B231" s="128"/>
      <c r="C231" s="132"/>
      <c r="D231" s="133"/>
      <c r="E231" s="132"/>
      <c r="F231" s="129"/>
      <c r="G231" s="132"/>
      <c r="H231" s="132"/>
    </row>
    <row r="232" spans="1:8">
      <c r="A232" s="127"/>
      <c r="B232" s="128"/>
      <c r="C232" s="132"/>
      <c r="D232" s="133"/>
      <c r="E232" s="132"/>
      <c r="F232" s="129"/>
      <c r="G232" s="132"/>
      <c r="H232" s="132"/>
    </row>
    <row r="233" spans="1:8">
      <c r="A233" s="127"/>
      <c r="B233" s="128"/>
      <c r="C233" s="132"/>
      <c r="D233" s="133"/>
      <c r="E233" s="132"/>
      <c r="F233" s="129"/>
      <c r="G233" s="132"/>
      <c r="H233" s="132"/>
    </row>
    <row r="234" spans="1:8">
      <c r="A234" s="127"/>
      <c r="B234" s="128"/>
      <c r="C234" s="132"/>
      <c r="D234" s="133"/>
      <c r="E234" s="132"/>
      <c r="F234" s="129"/>
      <c r="G234" s="132"/>
      <c r="H234" s="132"/>
    </row>
    <row r="235" spans="1:8">
      <c r="A235" s="127"/>
      <c r="B235" s="128"/>
      <c r="C235" s="132"/>
      <c r="D235" s="133"/>
      <c r="E235" s="132"/>
      <c r="F235" s="129"/>
      <c r="G235" s="132"/>
      <c r="H235" s="132"/>
    </row>
    <row r="236" spans="1:8">
      <c r="A236" s="127"/>
      <c r="B236" s="128"/>
      <c r="C236" s="132"/>
      <c r="D236" s="133"/>
      <c r="E236" s="132"/>
      <c r="F236" s="129"/>
      <c r="G236" s="132"/>
      <c r="H236" s="132"/>
    </row>
    <row r="237" spans="1:8">
      <c r="A237" s="127"/>
      <c r="B237" s="128"/>
      <c r="C237" s="132"/>
      <c r="D237" s="133"/>
      <c r="E237" s="132"/>
      <c r="F237" s="129"/>
      <c r="G237" s="132"/>
      <c r="H237" s="132"/>
    </row>
    <row r="238" spans="1:8">
      <c r="A238" s="127"/>
      <c r="B238" s="128"/>
      <c r="C238" s="132"/>
      <c r="D238" s="133"/>
      <c r="E238" s="132"/>
      <c r="F238" s="129"/>
      <c r="G238" s="132"/>
      <c r="H238" s="132"/>
    </row>
    <row r="239" spans="1:8">
      <c r="A239" s="127"/>
      <c r="B239" s="128"/>
      <c r="C239" s="132"/>
      <c r="D239" s="133"/>
      <c r="E239" s="132"/>
      <c r="F239" s="129"/>
      <c r="G239" s="132"/>
      <c r="H239" s="132"/>
    </row>
    <row r="240" spans="1:8">
      <c r="A240" s="127"/>
      <c r="B240" s="128"/>
      <c r="C240" s="132"/>
      <c r="D240" s="133"/>
      <c r="E240" s="132"/>
      <c r="F240" s="129"/>
      <c r="G240" s="132"/>
      <c r="H240" s="132"/>
    </row>
    <row r="241" spans="1:8">
      <c r="A241" s="127"/>
      <c r="B241" s="128"/>
      <c r="C241" s="132"/>
      <c r="D241" s="133"/>
      <c r="E241" s="132"/>
      <c r="F241" s="129"/>
      <c r="G241" s="132"/>
      <c r="H241" s="132"/>
    </row>
    <row r="242" spans="1:8">
      <c r="A242" s="127"/>
      <c r="B242" s="128"/>
      <c r="C242" s="132"/>
      <c r="D242" s="133"/>
      <c r="E242" s="132"/>
      <c r="F242" s="129"/>
      <c r="G242" s="132"/>
      <c r="H242" s="132"/>
    </row>
    <row r="243" spans="1:8">
      <c r="A243" s="127"/>
      <c r="B243" s="128"/>
      <c r="C243" s="132"/>
      <c r="D243" s="133"/>
      <c r="E243" s="132"/>
      <c r="F243" s="129"/>
      <c r="G243" s="132"/>
      <c r="H243" s="132"/>
    </row>
    <row r="244" spans="1:8">
      <c r="A244" s="127"/>
      <c r="B244" s="128"/>
      <c r="C244" s="132"/>
      <c r="D244" s="133"/>
      <c r="E244" s="132"/>
      <c r="F244" s="129"/>
      <c r="G244" s="132"/>
      <c r="H244" s="132"/>
    </row>
    <row r="245" spans="1:8">
      <c r="A245" s="127"/>
      <c r="B245" s="128"/>
      <c r="C245" s="132"/>
      <c r="D245" s="133"/>
      <c r="E245" s="132"/>
      <c r="F245" s="129"/>
      <c r="G245" s="132"/>
      <c r="H245" s="132"/>
    </row>
    <row r="246" spans="1:8">
      <c r="A246" s="127"/>
      <c r="B246" s="128"/>
      <c r="C246" s="132"/>
      <c r="D246" s="133"/>
      <c r="E246" s="132"/>
      <c r="F246" s="129"/>
      <c r="G246" s="132"/>
      <c r="H246" s="132"/>
    </row>
    <row r="247" spans="1:8">
      <c r="A247" s="127"/>
      <c r="B247" s="128"/>
      <c r="C247" s="132"/>
      <c r="D247" s="133"/>
      <c r="E247" s="132"/>
      <c r="F247" s="129"/>
      <c r="G247" s="132"/>
      <c r="H247" s="132"/>
    </row>
    <row r="248" spans="1:8">
      <c r="A248" s="127"/>
      <c r="B248" s="128"/>
      <c r="C248" s="132"/>
      <c r="D248" s="133"/>
      <c r="E248" s="132"/>
      <c r="F248" s="129"/>
      <c r="G248" s="132"/>
      <c r="H248" s="132"/>
    </row>
    <row r="249" spans="1:8">
      <c r="A249" s="127"/>
      <c r="B249" s="128"/>
      <c r="C249" s="132"/>
      <c r="D249" s="133"/>
      <c r="E249" s="132"/>
      <c r="F249" s="129"/>
      <c r="G249" s="132"/>
      <c r="H249" s="132"/>
    </row>
    <row r="250" spans="1:8">
      <c r="A250" s="127"/>
      <c r="B250" s="128"/>
      <c r="C250" s="132"/>
      <c r="D250" s="133"/>
      <c r="E250" s="132"/>
      <c r="F250" s="129"/>
      <c r="G250" s="132"/>
      <c r="H250" s="132"/>
    </row>
    <row r="251" spans="1:8">
      <c r="A251" s="127"/>
      <c r="B251" s="128"/>
      <c r="C251" s="132"/>
      <c r="D251" s="133"/>
      <c r="E251" s="132"/>
      <c r="F251" s="129"/>
      <c r="G251" s="132"/>
      <c r="H251" s="132"/>
    </row>
    <row r="252" spans="1:8">
      <c r="A252" s="127"/>
      <c r="B252" s="128"/>
      <c r="C252" s="132"/>
      <c r="D252" s="133"/>
      <c r="E252" s="132"/>
      <c r="F252" s="129"/>
      <c r="G252" s="132"/>
      <c r="H252" s="132"/>
    </row>
    <row r="253" spans="1:8">
      <c r="A253" s="127"/>
      <c r="B253" s="128"/>
      <c r="C253" s="132"/>
      <c r="D253" s="133"/>
      <c r="E253" s="132"/>
      <c r="F253" s="129"/>
      <c r="G253" s="132"/>
      <c r="H253" s="132"/>
    </row>
    <row r="254" spans="1:8">
      <c r="A254" s="127"/>
      <c r="B254" s="128"/>
      <c r="C254" s="132"/>
      <c r="D254" s="133"/>
      <c r="E254" s="132"/>
      <c r="F254" s="129"/>
      <c r="G254" s="132"/>
      <c r="H254" s="132"/>
    </row>
    <row r="255" spans="1:8">
      <c r="A255" s="127"/>
      <c r="B255" s="128"/>
      <c r="C255" s="132"/>
      <c r="D255" s="133"/>
      <c r="E255" s="132"/>
      <c r="F255" s="129"/>
      <c r="G255" s="132"/>
      <c r="H255" s="132"/>
    </row>
    <row r="256" spans="1:8">
      <c r="A256" s="127"/>
      <c r="B256" s="128"/>
      <c r="C256" s="132"/>
      <c r="D256" s="133"/>
      <c r="E256" s="132"/>
      <c r="F256" s="129"/>
      <c r="G256" s="132"/>
      <c r="H256" s="132"/>
    </row>
    <row r="257" spans="1:8">
      <c r="A257" s="127"/>
      <c r="B257" s="128"/>
      <c r="C257" s="132"/>
      <c r="D257" s="133"/>
      <c r="E257" s="132"/>
      <c r="F257" s="129"/>
      <c r="G257" s="132"/>
      <c r="H257" s="132"/>
    </row>
    <row r="258" spans="1:8">
      <c r="A258" s="127"/>
      <c r="B258" s="128"/>
      <c r="C258" s="132"/>
      <c r="D258" s="133"/>
      <c r="E258" s="132"/>
      <c r="F258" s="129"/>
      <c r="G258" s="132"/>
      <c r="H258" s="132"/>
    </row>
    <row r="259" spans="1:8">
      <c r="A259" s="127"/>
      <c r="B259" s="128"/>
      <c r="C259" s="132"/>
      <c r="D259" s="133"/>
      <c r="E259" s="132"/>
      <c r="F259" s="129"/>
      <c r="G259" s="132"/>
      <c r="H259" s="132"/>
    </row>
    <row r="260" spans="1:8">
      <c r="A260" s="127"/>
      <c r="B260" s="128"/>
      <c r="C260" s="132"/>
      <c r="D260" s="133"/>
      <c r="E260" s="132"/>
      <c r="F260" s="129"/>
      <c r="G260" s="132"/>
      <c r="H260" s="132"/>
    </row>
    <row r="261" spans="1:8">
      <c r="A261" s="127"/>
      <c r="B261" s="128"/>
      <c r="C261" s="132"/>
      <c r="D261" s="133"/>
      <c r="E261" s="132"/>
      <c r="F261" s="129"/>
      <c r="G261" s="132"/>
      <c r="H261" s="132"/>
    </row>
    <row r="262" spans="1:8">
      <c r="A262" s="127"/>
      <c r="B262" s="128"/>
      <c r="C262" s="132"/>
      <c r="D262" s="133"/>
      <c r="E262" s="132"/>
      <c r="F262" s="129"/>
      <c r="G262" s="132"/>
      <c r="H262" s="132"/>
    </row>
    <row r="263" spans="1:8">
      <c r="A263" s="127"/>
      <c r="B263" s="128"/>
      <c r="C263" s="132"/>
      <c r="D263" s="133"/>
      <c r="E263" s="132"/>
      <c r="F263" s="129"/>
      <c r="G263" s="132"/>
      <c r="H263" s="132"/>
    </row>
    <row r="264" spans="1:8">
      <c r="A264" s="127"/>
      <c r="B264" s="128"/>
      <c r="C264" s="132"/>
      <c r="D264" s="133"/>
      <c r="E264" s="132"/>
      <c r="F264" s="129"/>
      <c r="G264" s="132"/>
      <c r="H264" s="132"/>
    </row>
    <row r="265" spans="1:8">
      <c r="A265" s="127"/>
      <c r="B265" s="128"/>
      <c r="C265" s="132"/>
      <c r="D265" s="133"/>
      <c r="E265" s="132"/>
      <c r="F265" s="129"/>
      <c r="G265" s="132"/>
      <c r="H265" s="132"/>
    </row>
    <row r="266" spans="1:8">
      <c r="A266" s="127"/>
      <c r="B266" s="128"/>
      <c r="C266" s="132"/>
      <c r="D266" s="133"/>
      <c r="E266" s="132"/>
      <c r="F266" s="129"/>
      <c r="G266" s="132"/>
      <c r="H266" s="132"/>
    </row>
    <row r="267" spans="1:8">
      <c r="A267" s="127"/>
      <c r="B267" s="128"/>
      <c r="C267" s="132"/>
      <c r="D267" s="133"/>
      <c r="E267" s="132"/>
      <c r="F267" s="129"/>
      <c r="G267" s="132"/>
      <c r="H267" s="132"/>
    </row>
    <row r="268" spans="1:8">
      <c r="A268" s="127"/>
      <c r="B268" s="128"/>
      <c r="C268" s="132"/>
      <c r="D268" s="133"/>
      <c r="E268" s="132"/>
      <c r="F268" s="129"/>
      <c r="G268" s="132"/>
      <c r="H268" s="132"/>
    </row>
    <row r="269" spans="1:8">
      <c r="A269" s="127"/>
      <c r="B269" s="128"/>
      <c r="C269" s="132"/>
      <c r="D269" s="133"/>
      <c r="E269" s="132"/>
      <c r="F269" s="129"/>
      <c r="G269" s="132"/>
      <c r="H269" s="132"/>
    </row>
    <row r="270" spans="1:8">
      <c r="A270" s="127"/>
      <c r="B270" s="128"/>
      <c r="C270" s="132"/>
      <c r="D270" s="133"/>
      <c r="E270" s="132"/>
      <c r="F270" s="129"/>
      <c r="G270" s="132"/>
      <c r="H270" s="132"/>
    </row>
    <row r="271" spans="1:8">
      <c r="A271" s="127"/>
      <c r="B271" s="128"/>
      <c r="C271" s="132"/>
      <c r="D271" s="133"/>
      <c r="E271" s="132"/>
      <c r="F271" s="129"/>
      <c r="G271" s="132"/>
      <c r="H271" s="132"/>
    </row>
    <row r="272" spans="1:8">
      <c r="A272" s="127"/>
      <c r="B272" s="128"/>
      <c r="C272" s="132"/>
      <c r="D272" s="133"/>
      <c r="E272" s="132"/>
      <c r="F272" s="129"/>
      <c r="G272" s="132"/>
      <c r="H272" s="132"/>
    </row>
    <row r="273" spans="1:8">
      <c r="A273" s="127"/>
      <c r="B273" s="128"/>
      <c r="C273" s="132"/>
      <c r="D273" s="133"/>
      <c r="E273" s="132"/>
      <c r="F273" s="129"/>
      <c r="G273" s="132"/>
      <c r="H273" s="132"/>
    </row>
    <row r="274" spans="1:8">
      <c r="A274" s="127"/>
      <c r="B274" s="128"/>
      <c r="C274" s="132"/>
      <c r="D274" s="133"/>
      <c r="E274" s="132"/>
      <c r="F274" s="129"/>
      <c r="G274" s="132"/>
      <c r="H274" s="132"/>
    </row>
    <row r="275" spans="1:8">
      <c r="A275" s="127"/>
      <c r="B275" s="128"/>
      <c r="C275" s="132"/>
      <c r="D275" s="133"/>
      <c r="E275" s="132"/>
      <c r="F275" s="129"/>
      <c r="G275" s="132"/>
      <c r="H275" s="132"/>
    </row>
    <row r="276" spans="1:8">
      <c r="A276" s="127"/>
      <c r="B276" s="128"/>
      <c r="C276" s="132"/>
      <c r="D276" s="133"/>
      <c r="E276" s="132"/>
      <c r="F276" s="129"/>
      <c r="G276" s="132"/>
      <c r="H276" s="132"/>
    </row>
    <row r="277" spans="1:8">
      <c r="A277" s="127"/>
      <c r="B277" s="128"/>
      <c r="C277" s="132"/>
      <c r="D277" s="133"/>
      <c r="E277" s="132"/>
      <c r="F277" s="129"/>
      <c r="G277" s="132"/>
      <c r="H277" s="132"/>
    </row>
    <row r="278" spans="1:8">
      <c r="A278" s="127"/>
      <c r="B278" s="128"/>
      <c r="C278" s="132"/>
      <c r="D278" s="133"/>
      <c r="E278" s="132"/>
      <c r="F278" s="129"/>
      <c r="G278" s="132"/>
      <c r="H278" s="132"/>
    </row>
    <row r="279" spans="1:8">
      <c r="A279" s="127"/>
      <c r="B279" s="128"/>
      <c r="C279" s="132"/>
      <c r="D279" s="133"/>
      <c r="E279" s="132"/>
      <c r="F279" s="129"/>
      <c r="G279" s="132"/>
      <c r="H279" s="132"/>
    </row>
    <row r="280" spans="1:8">
      <c r="A280" s="127"/>
      <c r="B280" s="128"/>
      <c r="C280" s="132"/>
      <c r="D280" s="133"/>
      <c r="E280" s="132"/>
      <c r="F280" s="129"/>
      <c r="G280" s="132"/>
      <c r="H280" s="132"/>
    </row>
    <row r="281" spans="1:8">
      <c r="A281" s="127"/>
      <c r="B281" s="128"/>
      <c r="C281" s="132"/>
      <c r="D281" s="133"/>
      <c r="E281" s="132"/>
      <c r="F281" s="129"/>
      <c r="G281" s="132"/>
      <c r="H281" s="132"/>
    </row>
    <row r="282" spans="1:8">
      <c r="A282" s="127"/>
      <c r="B282" s="128"/>
      <c r="C282" s="132"/>
      <c r="D282" s="133"/>
      <c r="E282" s="132"/>
      <c r="F282" s="129"/>
      <c r="G282" s="132"/>
      <c r="H282" s="132"/>
    </row>
    <row r="283" spans="1:8">
      <c r="A283" s="127"/>
      <c r="B283" s="128"/>
      <c r="C283" s="132"/>
      <c r="D283" s="133"/>
      <c r="E283" s="132"/>
      <c r="F283" s="129"/>
      <c r="G283" s="132"/>
      <c r="H283" s="132"/>
    </row>
    <row r="284" spans="1:8">
      <c r="A284" s="127"/>
      <c r="B284" s="128"/>
      <c r="C284" s="132"/>
      <c r="D284" s="133"/>
      <c r="E284" s="132"/>
      <c r="F284" s="129"/>
      <c r="G284" s="132"/>
      <c r="H284" s="132"/>
    </row>
    <row r="285" spans="1:8">
      <c r="A285" s="127"/>
      <c r="B285" s="128"/>
      <c r="C285" s="132"/>
      <c r="D285" s="133"/>
      <c r="E285" s="132"/>
      <c r="F285" s="129"/>
      <c r="G285" s="132"/>
      <c r="H285" s="132"/>
    </row>
    <row r="286" spans="1:8">
      <c r="A286" s="127"/>
      <c r="B286" s="128"/>
      <c r="C286" s="132"/>
      <c r="D286" s="133"/>
      <c r="E286" s="132"/>
      <c r="F286" s="129"/>
      <c r="G286" s="132"/>
      <c r="H286" s="132"/>
    </row>
    <row r="287" spans="1:8">
      <c r="A287" s="127"/>
      <c r="B287" s="128"/>
      <c r="C287" s="132"/>
      <c r="D287" s="133"/>
      <c r="E287" s="132"/>
      <c r="F287" s="129"/>
      <c r="G287" s="132"/>
      <c r="H287" s="132"/>
    </row>
    <row r="288" spans="1:8">
      <c r="A288" s="127"/>
      <c r="B288" s="128"/>
      <c r="C288" s="132"/>
      <c r="D288" s="133"/>
      <c r="E288" s="132"/>
      <c r="F288" s="129"/>
      <c r="G288" s="132"/>
      <c r="H288" s="132"/>
    </row>
    <row r="289" spans="1:8">
      <c r="A289" s="127"/>
      <c r="B289" s="128"/>
      <c r="C289" s="132"/>
      <c r="D289" s="133"/>
      <c r="E289" s="132"/>
      <c r="F289" s="129"/>
      <c r="G289" s="132"/>
      <c r="H289" s="132"/>
    </row>
    <row r="290" spans="1:8">
      <c r="A290" s="127"/>
      <c r="B290" s="128"/>
      <c r="C290" s="132"/>
      <c r="D290" s="133"/>
      <c r="E290" s="132"/>
      <c r="F290" s="129"/>
      <c r="G290" s="132"/>
      <c r="H290" s="132"/>
    </row>
    <row r="291" spans="1:8">
      <c r="A291" s="127"/>
      <c r="B291" s="128"/>
      <c r="C291" s="132"/>
      <c r="D291" s="133"/>
      <c r="E291" s="132"/>
      <c r="F291" s="129"/>
      <c r="G291" s="132"/>
      <c r="H291" s="132"/>
    </row>
    <row r="292" spans="1:8">
      <c r="A292" s="127"/>
      <c r="B292" s="128"/>
      <c r="C292" s="132"/>
      <c r="D292" s="133"/>
      <c r="E292" s="132"/>
      <c r="F292" s="129"/>
      <c r="G292" s="132"/>
      <c r="H292" s="132"/>
    </row>
    <row r="293" spans="1:8">
      <c r="A293" s="127"/>
      <c r="B293" s="128"/>
      <c r="C293" s="132"/>
      <c r="D293" s="133"/>
      <c r="E293" s="132"/>
      <c r="F293" s="129"/>
      <c r="G293" s="132"/>
      <c r="H293" s="132"/>
    </row>
    <row r="294" spans="1:8">
      <c r="A294" s="127"/>
      <c r="B294" s="128"/>
      <c r="C294" s="132"/>
      <c r="D294" s="133"/>
      <c r="E294" s="132"/>
      <c r="F294" s="129"/>
      <c r="G294" s="132"/>
      <c r="H294" s="132"/>
    </row>
    <row r="295" spans="1:8">
      <c r="A295" s="127"/>
      <c r="B295" s="128"/>
      <c r="C295" s="132"/>
      <c r="D295" s="133"/>
      <c r="E295" s="132"/>
      <c r="F295" s="129"/>
      <c r="G295" s="132"/>
      <c r="H295" s="132"/>
    </row>
    <row r="296" spans="1:8">
      <c r="A296" s="127"/>
      <c r="B296" s="128"/>
      <c r="C296" s="132"/>
      <c r="D296" s="133"/>
      <c r="E296" s="132"/>
      <c r="F296" s="129"/>
      <c r="G296" s="132"/>
      <c r="H296" s="132"/>
    </row>
    <row r="297" spans="1:8">
      <c r="A297" s="127"/>
      <c r="B297" s="128"/>
      <c r="C297" s="132"/>
      <c r="D297" s="133"/>
      <c r="E297" s="132"/>
      <c r="F297" s="129"/>
      <c r="G297" s="132"/>
      <c r="H297" s="132"/>
    </row>
    <row r="298" spans="1:8">
      <c r="A298" s="127"/>
      <c r="B298" s="128"/>
      <c r="C298" s="132"/>
      <c r="D298" s="133"/>
      <c r="E298" s="132"/>
      <c r="F298" s="129"/>
      <c r="G298" s="132"/>
      <c r="H298" s="132"/>
    </row>
    <row r="299" spans="1:8">
      <c r="A299" s="127"/>
      <c r="B299" s="128"/>
      <c r="C299" s="132"/>
      <c r="D299" s="133"/>
      <c r="E299" s="132"/>
      <c r="F299" s="129"/>
      <c r="G299" s="132"/>
      <c r="H299" s="132"/>
    </row>
    <row r="300" spans="1:8">
      <c r="A300" s="127"/>
      <c r="B300" s="128"/>
      <c r="C300" s="132"/>
      <c r="D300" s="133"/>
      <c r="E300" s="132"/>
      <c r="F300" s="129"/>
      <c r="G300" s="132"/>
      <c r="H300" s="132"/>
    </row>
    <row r="301" spans="1:8">
      <c r="A301" s="127"/>
      <c r="B301" s="128"/>
      <c r="C301" s="132"/>
      <c r="D301" s="133"/>
      <c r="E301" s="132"/>
      <c r="F301" s="129"/>
      <c r="G301" s="132"/>
      <c r="H301" s="132"/>
    </row>
    <row r="302" spans="1:8">
      <c r="A302" s="127"/>
      <c r="B302" s="128"/>
      <c r="C302" s="132"/>
      <c r="D302" s="133"/>
      <c r="E302" s="132"/>
      <c r="F302" s="129"/>
      <c r="G302" s="132"/>
      <c r="H302" s="132"/>
    </row>
    <row r="303" spans="1:8">
      <c r="A303" s="127"/>
      <c r="B303" s="128"/>
      <c r="C303" s="132"/>
      <c r="D303" s="133"/>
      <c r="E303" s="132"/>
      <c r="F303" s="129"/>
      <c r="G303" s="132"/>
      <c r="H303" s="132"/>
    </row>
    <row r="304" spans="1:8">
      <c r="A304" s="127"/>
      <c r="B304" s="128"/>
      <c r="C304" s="132"/>
      <c r="D304" s="133"/>
      <c r="E304" s="132"/>
      <c r="F304" s="129"/>
      <c r="G304" s="132"/>
      <c r="H304" s="132"/>
    </row>
    <row r="305" spans="1:8">
      <c r="A305" s="127"/>
      <c r="B305" s="128"/>
      <c r="C305" s="132"/>
      <c r="D305" s="133"/>
      <c r="E305" s="132"/>
      <c r="F305" s="129"/>
      <c r="G305" s="132"/>
      <c r="H305" s="132"/>
    </row>
    <row r="306" spans="1:8">
      <c r="A306" s="127"/>
      <c r="B306" s="128"/>
      <c r="C306" s="132"/>
      <c r="D306" s="133"/>
      <c r="E306" s="132"/>
      <c r="F306" s="129"/>
      <c r="G306" s="132"/>
      <c r="H306" s="132"/>
    </row>
    <row r="307" spans="1:8">
      <c r="A307" s="127"/>
      <c r="B307" s="128"/>
      <c r="C307" s="132"/>
      <c r="D307" s="133"/>
      <c r="E307" s="132"/>
      <c r="F307" s="129"/>
      <c r="G307" s="132"/>
      <c r="H307" s="132"/>
    </row>
    <row r="308" spans="1:8">
      <c r="A308" s="127"/>
      <c r="B308" s="128"/>
      <c r="C308" s="132"/>
      <c r="D308" s="133"/>
      <c r="E308" s="132"/>
      <c r="F308" s="129"/>
      <c r="G308" s="132"/>
      <c r="H308" s="132"/>
    </row>
    <row r="309" spans="1:8">
      <c r="A309" s="127"/>
      <c r="B309" s="128"/>
      <c r="C309" s="132"/>
      <c r="D309" s="133"/>
      <c r="E309" s="132"/>
      <c r="F309" s="129"/>
      <c r="G309" s="132"/>
      <c r="H309" s="132"/>
    </row>
    <row r="310" spans="1:8">
      <c r="A310" s="127"/>
      <c r="B310" s="128"/>
      <c r="C310" s="132"/>
      <c r="D310" s="133"/>
      <c r="E310" s="132"/>
      <c r="F310" s="129"/>
      <c r="G310" s="132"/>
      <c r="H310" s="132"/>
    </row>
    <row r="311" spans="1:8">
      <c r="A311" s="127"/>
      <c r="B311" s="128"/>
      <c r="C311" s="132"/>
      <c r="D311" s="133"/>
      <c r="E311" s="132"/>
      <c r="F311" s="129"/>
      <c r="G311" s="132"/>
      <c r="H311" s="132"/>
    </row>
    <row r="312" spans="1:8">
      <c r="A312" s="127"/>
      <c r="B312" s="128"/>
      <c r="C312" s="132"/>
      <c r="D312" s="133"/>
      <c r="E312" s="132"/>
      <c r="F312" s="129"/>
      <c r="G312" s="132"/>
      <c r="H312" s="132"/>
    </row>
    <row r="313" spans="1:8">
      <c r="A313" s="127"/>
      <c r="B313" s="128"/>
      <c r="C313" s="132"/>
      <c r="D313" s="133"/>
      <c r="E313" s="132"/>
      <c r="F313" s="129"/>
      <c r="G313" s="132"/>
      <c r="H313" s="132"/>
    </row>
    <row r="314" spans="1:8">
      <c r="A314" s="127"/>
      <c r="B314" s="128"/>
      <c r="C314" s="132"/>
      <c r="D314" s="133"/>
      <c r="E314" s="132"/>
      <c r="F314" s="129"/>
      <c r="G314" s="132"/>
      <c r="H314" s="132"/>
    </row>
    <row r="315" spans="1:8">
      <c r="A315" s="127"/>
      <c r="B315" s="128"/>
      <c r="C315" s="132"/>
      <c r="D315" s="133"/>
      <c r="E315" s="132"/>
      <c r="F315" s="129"/>
      <c r="G315" s="132"/>
      <c r="H315" s="132"/>
    </row>
    <row r="316" spans="1:8">
      <c r="A316" s="127"/>
      <c r="B316" s="128"/>
      <c r="C316" s="132"/>
      <c r="D316" s="133"/>
      <c r="E316" s="132"/>
      <c r="F316" s="129"/>
      <c r="G316" s="132"/>
      <c r="H316" s="132"/>
    </row>
    <row r="317" spans="1:8">
      <c r="A317" s="127"/>
      <c r="B317" s="128"/>
      <c r="C317" s="132"/>
      <c r="D317" s="133"/>
      <c r="E317" s="132"/>
      <c r="F317" s="129"/>
      <c r="G317" s="132"/>
      <c r="H317" s="132"/>
    </row>
    <row r="318" spans="1:8">
      <c r="A318" s="127"/>
      <c r="B318" s="128"/>
      <c r="C318" s="132"/>
      <c r="D318" s="133"/>
      <c r="E318" s="132"/>
      <c r="F318" s="129"/>
      <c r="G318" s="132"/>
      <c r="H318" s="132"/>
    </row>
    <row r="319" spans="1:8">
      <c r="A319" s="127"/>
      <c r="B319" s="128"/>
      <c r="C319" s="132"/>
      <c r="D319" s="133"/>
      <c r="E319" s="132"/>
      <c r="F319" s="129"/>
      <c r="G319" s="132"/>
      <c r="H319" s="132"/>
    </row>
    <row r="320" spans="1:8">
      <c r="A320" s="127"/>
      <c r="B320" s="128"/>
      <c r="C320" s="132"/>
      <c r="D320" s="133"/>
      <c r="E320" s="132"/>
      <c r="F320" s="129"/>
      <c r="G320" s="132"/>
      <c r="H320" s="132"/>
    </row>
    <row r="321" spans="1:8">
      <c r="A321" s="127"/>
      <c r="B321" s="128"/>
      <c r="C321" s="132"/>
      <c r="D321" s="133"/>
      <c r="E321" s="132"/>
      <c r="F321" s="129"/>
      <c r="G321" s="132"/>
      <c r="H321" s="132"/>
    </row>
    <row r="322" spans="1:8">
      <c r="A322" s="127"/>
      <c r="B322" s="128"/>
      <c r="C322" s="132"/>
      <c r="D322" s="133"/>
      <c r="E322" s="132"/>
      <c r="F322" s="129"/>
      <c r="G322" s="132"/>
      <c r="H322" s="132"/>
    </row>
    <row r="323" spans="1:8">
      <c r="A323" s="127"/>
      <c r="B323" s="128"/>
      <c r="C323" s="132"/>
      <c r="D323" s="133"/>
      <c r="E323" s="132"/>
      <c r="F323" s="129"/>
      <c r="G323" s="132"/>
      <c r="H323" s="132"/>
    </row>
    <row r="324" spans="1:8">
      <c r="A324" s="127"/>
      <c r="B324" s="128"/>
      <c r="C324" s="132"/>
      <c r="D324" s="133"/>
      <c r="E324" s="132"/>
      <c r="F324" s="129"/>
      <c r="G324" s="132"/>
      <c r="H324" s="132"/>
    </row>
    <row r="325" spans="1:8">
      <c r="A325" s="127"/>
      <c r="B325" s="128"/>
      <c r="C325" s="132"/>
      <c r="D325" s="133"/>
      <c r="E325" s="132"/>
      <c r="F325" s="129"/>
      <c r="G325" s="132"/>
      <c r="H325" s="132"/>
    </row>
    <row r="326" spans="1:8">
      <c r="A326" s="127"/>
      <c r="B326" s="128"/>
      <c r="C326" s="132"/>
      <c r="D326" s="133"/>
      <c r="E326" s="132"/>
      <c r="F326" s="129"/>
      <c r="G326" s="132"/>
      <c r="H326" s="132"/>
    </row>
    <row r="327" spans="1:8">
      <c r="A327" s="127"/>
      <c r="B327" s="128"/>
      <c r="C327" s="132"/>
      <c r="D327" s="133"/>
      <c r="E327" s="132"/>
      <c r="F327" s="129"/>
      <c r="G327" s="132"/>
      <c r="H327" s="132"/>
    </row>
    <row r="328" spans="1:8">
      <c r="A328" s="127"/>
      <c r="B328" s="128"/>
      <c r="C328" s="132"/>
      <c r="D328" s="133"/>
      <c r="E328" s="132"/>
      <c r="F328" s="129"/>
      <c r="G328" s="132"/>
      <c r="H328" s="132"/>
    </row>
    <row r="329" spans="1:8">
      <c r="A329" s="127"/>
      <c r="B329" s="128"/>
      <c r="C329" s="132"/>
      <c r="D329" s="133"/>
      <c r="E329" s="132"/>
      <c r="F329" s="129"/>
      <c r="G329" s="132"/>
      <c r="H329" s="132"/>
    </row>
    <row r="330" spans="1:8">
      <c r="A330" s="127"/>
      <c r="B330" s="128"/>
      <c r="C330" s="132"/>
      <c r="D330" s="133"/>
      <c r="E330" s="132"/>
      <c r="F330" s="129"/>
      <c r="G330" s="132"/>
      <c r="H330" s="132"/>
    </row>
    <row r="331" spans="1:8">
      <c r="A331" s="127"/>
      <c r="B331" s="128"/>
      <c r="C331" s="132"/>
      <c r="D331" s="133"/>
      <c r="E331" s="132"/>
      <c r="F331" s="129"/>
      <c r="G331" s="132"/>
      <c r="H331" s="132"/>
    </row>
    <row r="332" spans="1:8">
      <c r="A332" s="127"/>
      <c r="B332" s="128"/>
      <c r="C332" s="132"/>
      <c r="D332" s="133"/>
      <c r="E332" s="132"/>
      <c r="F332" s="129"/>
      <c r="G332" s="132"/>
      <c r="H332" s="132"/>
    </row>
    <row r="333" spans="1:8">
      <c r="A333" s="127"/>
      <c r="B333" s="128"/>
      <c r="C333" s="132"/>
      <c r="D333" s="133"/>
      <c r="E333" s="132"/>
      <c r="F333" s="129"/>
      <c r="G333" s="132"/>
      <c r="H333" s="132"/>
    </row>
    <row r="334" spans="1:8">
      <c r="A334" s="127"/>
      <c r="B334" s="128"/>
      <c r="C334" s="132"/>
      <c r="D334" s="133"/>
      <c r="E334" s="132"/>
      <c r="F334" s="129"/>
      <c r="G334" s="132"/>
      <c r="H334" s="132"/>
    </row>
    <row r="335" spans="1:8">
      <c r="A335" s="127"/>
      <c r="B335" s="128"/>
      <c r="C335" s="132"/>
      <c r="D335" s="133"/>
      <c r="E335" s="132"/>
      <c r="F335" s="129"/>
      <c r="G335" s="132"/>
      <c r="H335" s="132"/>
    </row>
    <row r="336" spans="1:8">
      <c r="A336" s="127"/>
      <c r="B336" s="128"/>
      <c r="C336" s="132"/>
      <c r="D336" s="133"/>
      <c r="E336" s="132"/>
      <c r="F336" s="129"/>
      <c r="G336" s="132"/>
      <c r="H336" s="132"/>
    </row>
    <row r="337" spans="1:8">
      <c r="A337" s="127"/>
      <c r="B337" s="128"/>
      <c r="C337" s="132"/>
      <c r="D337" s="133"/>
      <c r="E337" s="132"/>
      <c r="F337" s="129"/>
      <c r="G337" s="132"/>
      <c r="H337" s="132"/>
    </row>
    <row r="338" spans="1:8">
      <c r="A338" s="127"/>
      <c r="B338" s="128"/>
      <c r="C338" s="132"/>
      <c r="D338" s="133"/>
      <c r="E338" s="132"/>
      <c r="F338" s="129"/>
      <c r="G338" s="132"/>
      <c r="H338" s="132"/>
    </row>
    <row r="339" spans="1:8">
      <c r="A339" s="127"/>
      <c r="B339" s="128"/>
      <c r="C339" s="132"/>
      <c r="D339" s="133"/>
      <c r="E339" s="132"/>
      <c r="F339" s="129"/>
      <c r="G339" s="132"/>
      <c r="H339" s="132"/>
    </row>
    <row r="340" spans="1:8">
      <c r="A340" s="127"/>
      <c r="B340" s="128"/>
      <c r="C340" s="132"/>
      <c r="D340" s="133"/>
      <c r="E340" s="132"/>
      <c r="F340" s="129"/>
      <c r="G340" s="132"/>
      <c r="H340" s="132"/>
    </row>
    <row r="341" spans="1:8">
      <c r="A341" s="127"/>
      <c r="B341" s="128"/>
      <c r="C341" s="132"/>
      <c r="D341" s="133"/>
      <c r="E341" s="132"/>
      <c r="F341" s="129"/>
      <c r="G341" s="132"/>
      <c r="H341" s="132"/>
    </row>
    <row r="342" spans="1:8">
      <c r="A342" s="127"/>
      <c r="B342" s="128"/>
      <c r="C342" s="132"/>
      <c r="D342" s="133"/>
      <c r="E342" s="132"/>
      <c r="F342" s="129"/>
      <c r="G342" s="132"/>
      <c r="H342" s="132"/>
    </row>
    <row r="343" spans="1:8">
      <c r="A343" s="127"/>
      <c r="B343" s="128"/>
      <c r="C343" s="132"/>
      <c r="D343" s="133"/>
      <c r="E343" s="132"/>
      <c r="F343" s="129"/>
      <c r="G343" s="132"/>
      <c r="H343" s="132"/>
    </row>
    <row r="344" spans="1:8">
      <c r="A344" s="127"/>
      <c r="B344" s="128"/>
      <c r="C344" s="132"/>
      <c r="D344" s="133"/>
      <c r="E344" s="132"/>
      <c r="F344" s="129"/>
      <c r="G344" s="132"/>
      <c r="H344" s="132"/>
    </row>
    <row r="345" spans="1:8">
      <c r="A345" s="127"/>
      <c r="B345" s="128"/>
      <c r="C345" s="132"/>
      <c r="D345" s="133"/>
      <c r="E345" s="132"/>
      <c r="F345" s="129"/>
      <c r="G345" s="132"/>
      <c r="H345" s="132"/>
    </row>
    <row r="346" spans="1:8">
      <c r="A346" s="127"/>
      <c r="B346" s="128"/>
      <c r="C346" s="132"/>
      <c r="D346" s="133"/>
      <c r="E346" s="132"/>
      <c r="F346" s="129"/>
      <c r="G346" s="132"/>
      <c r="H346" s="132"/>
    </row>
    <row r="347" spans="1:8">
      <c r="A347" s="127"/>
      <c r="B347" s="128"/>
      <c r="C347" s="132"/>
      <c r="D347" s="133"/>
      <c r="E347" s="132"/>
      <c r="F347" s="129"/>
      <c r="G347" s="132"/>
      <c r="H347" s="132"/>
    </row>
    <row r="348" spans="1:8">
      <c r="A348" s="127"/>
      <c r="B348" s="128"/>
      <c r="C348" s="132"/>
      <c r="D348" s="133"/>
      <c r="E348" s="132"/>
      <c r="F348" s="129"/>
      <c r="G348" s="132"/>
      <c r="H348" s="132"/>
    </row>
    <row r="349" spans="1:8">
      <c r="A349" s="127"/>
      <c r="B349" s="128"/>
      <c r="C349" s="132"/>
      <c r="D349" s="133"/>
      <c r="E349" s="132"/>
      <c r="F349" s="129"/>
      <c r="G349" s="132"/>
      <c r="H349" s="132"/>
    </row>
    <row r="350" spans="1:8">
      <c r="A350" s="127"/>
      <c r="B350" s="128"/>
      <c r="C350" s="132"/>
      <c r="D350" s="133"/>
      <c r="E350" s="132"/>
      <c r="F350" s="129"/>
      <c r="G350" s="132"/>
      <c r="H350" s="132"/>
    </row>
    <row r="351" spans="1:8">
      <c r="A351" s="127"/>
      <c r="B351" s="128"/>
      <c r="C351" s="132"/>
      <c r="D351" s="133"/>
      <c r="E351" s="132"/>
      <c r="F351" s="129"/>
      <c r="G351" s="132"/>
      <c r="H351" s="132"/>
    </row>
    <row r="352" spans="1:8">
      <c r="A352" s="127"/>
      <c r="B352" s="128"/>
      <c r="C352" s="132"/>
      <c r="D352" s="133"/>
      <c r="E352" s="132"/>
      <c r="F352" s="129"/>
      <c r="G352" s="132"/>
      <c r="H352" s="132"/>
    </row>
    <row r="353" spans="1:8">
      <c r="A353" s="127"/>
      <c r="B353" s="128"/>
      <c r="C353" s="132"/>
      <c r="D353" s="133"/>
      <c r="E353" s="132"/>
      <c r="F353" s="129"/>
      <c r="G353" s="132"/>
      <c r="H353" s="132"/>
    </row>
    <row r="354" spans="1:8">
      <c r="A354" s="127"/>
      <c r="B354" s="128"/>
      <c r="C354" s="132"/>
      <c r="D354" s="133"/>
      <c r="E354" s="132"/>
      <c r="F354" s="129"/>
      <c r="G354" s="132"/>
      <c r="H354" s="132"/>
    </row>
    <row r="355" spans="1:8">
      <c r="A355" s="127"/>
      <c r="B355" s="128"/>
      <c r="C355" s="132"/>
      <c r="D355" s="133"/>
      <c r="E355" s="132"/>
      <c r="F355" s="129"/>
      <c r="G355" s="132"/>
      <c r="H355" s="132"/>
    </row>
    <row r="356" spans="1:8">
      <c r="A356" s="127"/>
      <c r="B356" s="128"/>
      <c r="C356" s="132"/>
      <c r="D356" s="133"/>
      <c r="E356" s="132"/>
      <c r="F356" s="129"/>
      <c r="G356" s="132"/>
      <c r="H356" s="132"/>
    </row>
    <row r="357" spans="1:8">
      <c r="A357" s="127"/>
      <c r="B357" s="128"/>
      <c r="C357" s="132"/>
      <c r="D357" s="133"/>
      <c r="E357" s="132"/>
      <c r="F357" s="129"/>
      <c r="G357" s="132"/>
      <c r="H357" s="132"/>
    </row>
    <row r="358" spans="1:8">
      <c r="A358" s="127"/>
      <c r="B358" s="128"/>
      <c r="C358" s="132"/>
      <c r="D358" s="133"/>
      <c r="E358" s="132"/>
      <c r="F358" s="129"/>
      <c r="G358" s="132"/>
      <c r="H358" s="132"/>
    </row>
    <row r="359" spans="1:8">
      <c r="A359" s="127"/>
      <c r="B359" s="128"/>
      <c r="C359" s="132"/>
      <c r="D359" s="133"/>
      <c r="E359" s="132"/>
      <c r="F359" s="129"/>
      <c r="G359" s="132"/>
      <c r="H359" s="132"/>
    </row>
    <row r="360" spans="1:8">
      <c r="A360" s="127"/>
      <c r="B360" s="128"/>
      <c r="C360" s="132"/>
      <c r="D360" s="133"/>
      <c r="E360" s="132"/>
      <c r="F360" s="129"/>
      <c r="G360" s="132"/>
      <c r="H360" s="132"/>
    </row>
    <row r="361" spans="1:8">
      <c r="A361" s="127"/>
      <c r="B361" s="128"/>
      <c r="C361" s="132"/>
      <c r="D361" s="133"/>
      <c r="E361" s="132"/>
      <c r="F361" s="129"/>
      <c r="G361" s="132"/>
      <c r="H361" s="132"/>
    </row>
    <row r="362" spans="1:8">
      <c r="A362" s="127"/>
      <c r="B362" s="128"/>
      <c r="C362" s="132"/>
      <c r="D362" s="133"/>
      <c r="E362" s="132"/>
      <c r="F362" s="129"/>
      <c r="G362" s="132"/>
      <c r="H362" s="132"/>
    </row>
    <row r="363" spans="1:8">
      <c r="A363" s="127"/>
      <c r="B363" s="128"/>
      <c r="C363" s="132"/>
      <c r="D363" s="133"/>
      <c r="E363" s="132"/>
      <c r="F363" s="129"/>
      <c r="G363" s="132"/>
      <c r="H363" s="132"/>
    </row>
    <row r="364" spans="1:8">
      <c r="A364" s="127"/>
      <c r="B364" s="128"/>
      <c r="C364" s="132"/>
      <c r="D364" s="133"/>
      <c r="E364" s="132"/>
      <c r="F364" s="129"/>
      <c r="G364" s="132"/>
      <c r="H364" s="132"/>
    </row>
    <row r="365" spans="1:8">
      <c r="A365" s="127"/>
      <c r="B365" s="128"/>
      <c r="C365" s="132"/>
      <c r="D365" s="133"/>
      <c r="E365" s="132"/>
      <c r="F365" s="129"/>
      <c r="G365" s="132"/>
      <c r="H365" s="132"/>
    </row>
    <row r="366" spans="1:8">
      <c r="A366" s="127"/>
      <c r="B366" s="128"/>
      <c r="C366" s="132"/>
      <c r="D366" s="133"/>
      <c r="E366" s="132"/>
      <c r="F366" s="129"/>
      <c r="G366" s="132"/>
      <c r="H366" s="132"/>
    </row>
    <row r="367" spans="1:8">
      <c r="A367" s="127"/>
      <c r="B367" s="128"/>
      <c r="C367" s="132"/>
      <c r="D367" s="133"/>
      <c r="E367" s="132"/>
      <c r="F367" s="129"/>
      <c r="G367" s="132"/>
      <c r="H367" s="132"/>
    </row>
    <row r="368" spans="1:8">
      <c r="A368" s="127"/>
      <c r="B368" s="128"/>
      <c r="C368" s="132"/>
      <c r="D368" s="133"/>
      <c r="E368" s="132"/>
      <c r="F368" s="129"/>
      <c r="G368" s="132"/>
      <c r="H368" s="132"/>
    </row>
    <row r="369" spans="1:8">
      <c r="A369" s="127"/>
      <c r="B369" s="128"/>
      <c r="C369" s="132"/>
      <c r="D369" s="133"/>
      <c r="E369" s="132"/>
      <c r="F369" s="129"/>
      <c r="G369" s="132"/>
      <c r="H369" s="132"/>
    </row>
    <row r="370" spans="1:8">
      <c r="A370" s="127"/>
      <c r="B370" s="128"/>
      <c r="C370" s="132"/>
      <c r="D370" s="133"/>
      <c r="E370" s="132"/>
      <c r="F370" s="129"/>
      <c r="G370" s="132"/>
      <c r="H370" s="132"/>
    </row>
    <row r="371" spans="1:8">
      <c r="A371" s="127"/>
      <c r="B371" s="128"/>
      <c r="C371" s="132"/>
      <c r="D371" s="133"/>
      <c r="E371" s="132"/>
      <c r="F371" s="129"/>
      <c r="G371" s="132"/>
      <c r="H371" s="132"/>
    </row>
    <row r="372" spans="1:8">
      <c r="A372" s="127"/>
      <c r="B372" s="128"/>
      <c r="C372" s="132"/>
      <c r="D372" s="133"/>
      <c r="E372" s="132"/>
      <c r="F372" s="129"/>
      <c r="G372" s="132"/>
      <c r="H372" s="132"/>
    </row>
    <row r="373" spans="1:8">
      <c r="A373" s="127"/>
      <c r="B373" s="128"/>
      <c r="C373" s="132"/>
      <c r="D373" s="133"/>
      <c r="E373" s="132"/>
      <c r="F373" s="129"/>
      <c r="G373" s="132"/>
      <c r="H373" s="132"/>
    </row>
    <row r="374" spans="1:8">
      <c r="A374" s="127"/>
      <c r="B374" s="128"/>
      <c r="C374" s="132"/>
      <c r="D374" s="133"/>
      <c r="E374" s="132"/>
      <c r="F374" s="129"/>
      <c r="G374" s="132"/>
      <c r="H374" s="132"/>
    </row>
    <row r="375" spans="1:8">
      <c r="A375" s="127"/>
      <c r="B375" s="128"/>
      <c r="C375" s="132"/>
      <c r="D375" s="133"/>
      <c r="E375" s="132"/>
      <c r="F375" s="129"/>
      <c r="G375" s="132"/>
      <c r="H375" s="132"/>
    </row>
    <row r="376" spans="1:8">
      <c r="A376" s="127"/>
      <c r="B376" s="128"/>
      <c r="C376" s="132"/>
      <c r="D376" s="133"/>
      <c r="E376" s="132"/>
      <c r="F376" s="129"/>
      <c r="G376" s="132"/>
      <c r="H376" s="132"/>
    </row>
    <row r="377" spans="1:8">
      <c r="A377" s="127"/>
      <c r="B377" s="128"/>
      <c r="C377" s="132"/>
      <c r="D377" s="133"/>
      <c r="E377" s="132"/>
      <c r="F377" s="129"/>
      <c r="G377" s="132"/>
      <c r="H377" s="132"/>
    </row>
    <row r="378" spans="1:8">
      <c r="A378" s="127"/>
      <c r="B378" s="128"/>
      <c r="C378" s="132"/>
      <c r="D378" s="133"/>
      <c r="E378" s="132"/>
      <c r="F378" s="129"/>
      <c r="G378" s="132"/>
      <c r="H378" s="132"/>
    </row>
    <row r="379" spans="1:8">
      <c r="A379" s="127"/>
      <c r="B379" s="128"/>
      <c r="C379" s="132"/>
      <c r="D379" s="133"/>
      <c r="E379" s="132"/>
      <c r="F379" s="129"/>
      <c r="G379" s="132"/>
      <c r="H379" s="132"/>
    </row>
    <row r="380" spans="1:8">
      <c r="A380" s="127"/>
      <c r="B380" s="128"/>
      <c r="C380" s="132"/>
      <c r="D380" s="133"/>
      <c r="E380" s="132"/>
      <c r="F380" s="129"/>
      <c r="G380" s="132"/>
      <c r="H380" s="132"/>
    </row>
    <row r="381" spans="1:8">
      <c r="A381" s="127"/>
      <c r="B381" s="128"/>
      <c r="C381" s="132"/>
      <c r="D381" s="133"/>
      <c r="E381" s="132"/>
      <c r="F381" s="129"/>
      <c r="G381" s="132"/>
      <c r="H381" s="132"/>
    </row>
    <row r="382" spans="1:8">
      <c r="A382" s="127"/>
      <c r="B382" s="128"/>
      <c r="C382" s="132"/>
      <c r="D382" s="133"/>
      <c r="E382" s="132"/>
      <c r="F382" s="129"/>
      <c r="G382" s="132"/>
      <c r="H382" s="132"/>
    </row>
    <row r="383" spans="1:8">
      <c r="A383" s="127"/>
      <c r="B383" s="128"/>
      <c r="C383" s="132"/>
      <c r="D383" s="133"/>
      <c r="E383" s="132"/>
      <c r="F383" s="129"/>
      <c r="G383" s="132"/>
      <c r="H383" s="132"/>
    </row>
    <row r="384" spans="1:8">
      <c r="A384" s="127"/>
      <c r="B384" s="128"/>
      <c r="C384" s="132"/>
      <c r="D384" s="133"/>
      <c r="E384" s="132"/>
      <c r="F384" s="129"/>
      <c r="G384" s="132"/>
      <c r="H384" s="132"/>
    </row>
    <row r="385" spans="1:8">
      <c r="A385" s="127"/>
      <c r="B385" s="128"/>
      <c r="C385" s="132"/>
      <c r="D385" s="133"/>
      <c r="E385" s="132"/>
      <c r="F385" s="129"/>
      <c r="G385" s="132"/>
      <c r="H385" s="132"/>
    </row>
    <row r="386" spans="1:8">
      <c r="A386" s="127"/>
      <c r="B386" s="128"/>
      <c r="C386" s="132"/>
      <c r="D386" s="133"/>
      <c r="E386" s="132"/>
      <c r="F386" s="129"/>
      <c r="G386" s="132"/>
      <c r="H386" s="132"/>
    </row>
    <row r="387" spans="1:8">
      <c r="A387" s="127"/>
      <c r="B387" s="128"/>
      <c r="C387" s="132"/>
      <c r="D387" s="133"/>
      <c r="E387" s="132"/>
      <c r="F387" s="129"/>
      <c r="G387" s="132"/>
      <c r="H387" s="132"/>
    </row>
    <row r="388" spans="1:8">
      <c r="A388" s="127"/>
      <c r="B388" s="128"/>
      <c r="C388" s="132"/>
      <c r="D388" s="133"/>
      <c r="E388" s="132"/>
      <c r="F388" s="129"/>
      <c r="G388" s="132"/>
      <c r="H388" s="132"/>
    </row>
    <row r="389" spans="1:8">
      <c r="A389" s="127"/>
      <c r="B389" s="128"/>
      <c r="C389" s="132"/>
      <c r="D389" s="133"/>
      <c r="E389" s="132"/>
      <c r="F389" s="129"/>
      <c r="G389" s="132"/>
      <c r="H389" s="132"/>
    </row>
    <row r="390" spans="1:8">
      <c r="A390" s="127"/>
      <c r="B390" s="128"/>
      <c r="C390" s="132"/>
      <c r="D390" s="133"/>
      <c r="E390" s="132"/>
      <c r="F390" s="129"/>
      <c r="G390" s="132"/>
      <c r="H390" s="132"/>
    </row>
    <row r="391" spans="1:8">
      <c r="A391" s="127"/>
      <c r="B391" s="128"/>
      <c r="C391" s="132"/>
      <c r="D391" s="133"/>
      <c r="E391" s="132"/>
      <c r="F391" s="129"/>
      <c r="G391" s="132"/>
      <c r="H391" s="132"/>
    </row>
    <row r="392" spans="1:8">
      <c r="A392" s="127"/>
      <c r="B392" s="128"/>
      <c r="C392" s="132"/>
      <c r="D392" s="133"/>
      <c r="E392" s="132"/>
      <c r="F392" s="129"/>
      <c r="G392" s="132"/>
      <c r="H392" s="132"/>
    </row>
    <row r="393" spans="1:8">
      <c r="A393" s="127"/>
      <c r="B393" s="128"/>
      <c r="C393" s="132"/>
      <c r="D393" s="133"/>
      <c r="E393" s="132"/>
      <c r="F393" s="129"/>
      <c r="G393" s="132"/>
      <c r="H393" s="132"/>
    </row>
    <row r="394" spans="1:8">
      <c r="A394" s="127"/>
      <c r="B394" s="128"/>
      <c r="C394" s="132"/>
      <c r="D394" s="133"/>
      <c r="E394" s="132"/>
      <c r="F394" s="129"/>
      <c r="G394" s="132"/>
      <c r="H394" s="132"/>
    </row>
    <row r="395" spans="1:8">
      <c r="A395" s="127"/>
      <c r="B395" s="128"/>
      <c r="C395" s="132"/>
      <c r="D395" s="133"/>
      <c r="E395" s="132"/>
      <c r="F395" s="129"/>
      <c r="G395" s="132"/>
      <c r="H395" s="132"/>
    </row>
    <row r="396" spans="1:8">
      <c r="A396" s="127"/>
      <c r="B396" s="128"/>
      <c r="C396" s="132"/>
      <c r="D396" s="133"/>
      <c r="E396" s="132"/>
      <c r="F396" s="129"/>
      <c r="G396" s="132"/>
      <c r="H396" s="132"/>
    </row>
    <row r="397" spans="1:8">
      <c r="A397" s="127"/>
      <c r="B397" s="128"/>
      <c r="C397" s="132"/>
      <c r="D397" s="133"/>
      <c r="E397" s="132"/>
      <c r="F397" s="129"/>
      <c r="G397" s="132"/>
      <c r="H397" s="132"/>
    </row>
    <row r="398" spans="1:8">
      <c r="A398" s="127"/>
      <c r="B398" s="128"/>
      <c r="C398" s="132"/>
      <c r="D398" s="133"/>
      <c r="E398" s="132"/>
      <c r="F398" s="129"/>
      <c r="G398" s="132"/>
      <c r="H398" s="132"/>
    </row>
    <row r="399" spans="1:8">
      <c r="A399" s="127"/>
      <c r="B399" s="128"/>
      <c r="C399" s="132"/>
      <c r="D399" s="133"/>
      <c r="E399" s="132"/>
      <c r="F399" s="129"/>
      <c r="G399" s="132"/>
      <c r="H399" s="132"/>
    </row>
    <row r="400" spans="1:8">
      <c r="A400" s="127"/>
      <c r="B400" s="128"/>
      <c r="C400" s="132"/>
      <c r="D400" s="133"/>
      <c r="E400" s="132"/>
      <c r="F400" s="129"/>
      <c r="G400" s="132"/>
      <c r="H400" s="132"/>
    </row>
    <row r="401" spans="1:8">
      <c r="A401" s="127"/>
      <c r="B401" s="128"/>
      <c r="C401" s="132"/>
      <c r="D401" s="133"/>
      <c r="E401" s="132"/>
      <c r="F401" s="129"/>
      <c r="G401" s="132"/>
      <c r="H401" s="132"/>
    </row>
    <row r="402" spans="1:8">
      <c r="A402" s="127"/>
      <c r="B402" s="128"/>
      <c r="C402" s="132"/>
      <c r="D402" s="133"/>
      <c r="E402" s="132"/>
      <c r="F402" s="129"/>
      <c r="G402" s="132"/>
      <c r="H402" s="132"/>
    </row>
    <row r="403" spans="1:8">
      <c r="A403" s="127"/>
      <c r="B403" s="128"/>
      <c r="C403" s="132"/>
      <c r="D403" s="133"/>
      <c r="E403" s="132"/>
      <c r="F403" s="129"/>
      <c r="G403" s="132"/>
      <c r="H403" s="132"/>
    </row>
    <row r="404" spans="1:8">
      <c r="A404" s="127"/>
      <c r="B404" s="128"/>
      <c r="C404" s="132"/>
      <c r="D404" s="133"/>
      <c r="E404" s="132"/>
      <c r="F404" s="129"/>
      <c r="G404" s="132"/>
      <c r="H404" s="132"/>
    </row>
    <row r="405" spans="1:8">
      <c r="A405" s="127"/>
      <c r="B405" s="128"/>
      <c r="C405" s="132"/>
      <c r="D405" s="133"/>
      <c r="E405" s="132"/>
      <c r="F405" s="129"/>
      <c r="G405" s="132"/>
      <c r="H405" s="132"/>
    </row>
    <row r="406" spans="1:8">
      <c r="A406" s="127"/>
      <c r="B406" s="128"/>
      <c r="C406" s="132"/>
      <c r="D406" s="133"/>
      <c r="E406" s="132"/>
      <c r="F406" s="129"/>
      <c r="G406" s="132"/>
      <c r="H406" s="132"/>
    </row>
    <row r="407" spans="1:8">
      <c r="A407" s="127"/>
      <c r="B407" s="128"/>
      <c r="C407" s="132"/>
      <c r="D407" s="133"/>
      <c r="E407" s="132"/>
      <c r="F407" s="129"/>
      <c r="G407" s="132"/>
      <c r="H407" s="132"/>
    </row>
    <row r="408" spans="1:8">
      <c r="A408" s="127"/>
      <c r="B408" s="128"/>
      <c r="C408" s="132"/>
      <c r="D408" s="133"/>
      <c r="E408" s="132"/>
      <c r="F408" s="129"/>
      <c r="G408" s="132"/>
      <c r="H408" s="132"/>
    </row>
    <row r="409" spans="1:8">
      <c r="A409" s="127"/>
      <c r="B409" s="128"/>
      <c r="C409" s="132"/>
      <c r="D409" s="133"/>
      <c r="E409" s="132"/>
      <c r="F409" s="129"/>
      <c r="G409" s="132"/>
      <c r="H409" s="132"/>
    </row>
    <row r="410" spans="1:8">
      <c r="A410" s="127"/>
      <c r="B410" s="128"/>
      <c r="C410" s="132"/>
      <c r="D410" s="133"/>
      <c r="E410" s="132"/>
      <c r="F410" s="129"/>
      <c r="G410" s="132"/>
      <c r="H410" s="132"/>
    </row>
    <row r="411" spans="1:8">
      <c r="A411" s="127"/>
      <c r="B411" s="128"/>
      <c r="C411" s="132"/>
      <c r="D411" s="133"/>
      <c r="E411" s="132"/>
      <c r="F411" s="129"/>
      <c r="G411" s="132"/>
      <c r="H411" s="132"/>
    </row>
    <row r="412" spans="1:8">
      <c r="A412" s="127"/>
      <c r="B412" s="128"/>
      <c r="C412" s="132"/>
      <c r="D412" s="133"/>
      <c r="E412" s="132"/>
      <c r="F412" s="129"/>
      <c r="G412" s="132"/>
      <c r="H412" s="132"/>
    </row>
    <row r="413" spans="1:8">
      <c r="A413" s="127"/>
      <c r="B413" s="128"/>
      <c r="C413" s="132"/>
      <c r="D413" s="133"/>
      <c r="E413" s="132"/>
      <c r="F413" s="129"/>
      <c r="G413" s="132"/>
      <c r="H413" s="132"/>
    </row>
    <row r="414" spans="1:8">
      <c r="A414" s="127"/>
      <c r="B414" s="128"/>
      <c r="C414" s="132"/>
      <c r="D414" s="133"/>
      <c r="E414" s="132"/>
      <c r="F414" s="129"/>
      <c r="G414" s="132"/>
      <c r="H414" s="132"/>
    </row>
    <row r="415" spans="1:8">
      <c r="A415" s="127"/>
      <c r="B415" s="128"/>
      <c r="C415" s="132"/>
      <c r="D415" s="133"/>
      <c r="E415" s="132"/>
      <c r="F415" s="129"/>
      <c r="G415" s="132"/>
      <c r="H415" s="132"/>
    </row>
    <row r="416" spans="1:8">
      <c r="A416" s="127"/>
      <c r="B416" s="128"/>
      <c r="C416" s="132"/>
      <c r="D416" s="133"/>
      <c r="E416" s="132"/>
      <c r="F416" s="129"/>
      <c r="G416" s="132"/>
      <c r="H416" s="132"/>
    </row>
    <row r="417" spans="1:8">
      <c r="A417" s="127"/>
      <c r="B417" s="128"/>
      <c r="C417" s="132"/>
      <c r="D417" s="133"/>
      <c r="E417" s="132"/>
      <c r="F417" s="129"/>
      <c r="G417" s="132"/>
      <c r="H417" s="132"/>
    </row>
    <row r="418" spans="1:8">
      <c r="A418" s="127"/>
      <c r="B418" s="128"/>
      <c r="C418" s="132"/>
      <c r="D418" s="133"/>
      <c r="E418" s="132"/>
      <c r="F418" s="129"/>
      <c r="G418" s="132"/>
      <c r="H418" s="132"/>
    </row>
    <row r="419" spans="1:8">
      <c r="A419" s="127"/>
      <c r="B419" s="128"/>
      <c r="C419" s="132"/>
      <c r="D419" s="133"/>
      <c r="E419" s="132"/>
      <c r="F419" s="129"/>
      <c r="G419" s="132"/>
      <c r="H419" s="132"/>
    </row>
    <row r="420" spans="1:8">
      <c r="A420" s="127"/>
      <c r="B420" s="128"/>
      <c r="C420" s="132"/>
      <c r="D420" s="133"/>
      <c r="E420" s="132"/>
      <c r="F420" s="129"/>
      <c r="G420" s="132"/>
      <c r="H420" s="132"/>
    </row>
    <row r="421" spans="1:8">
      <c r="A421" s="127"/>
      <c r="B421" s="128"/>
      <c r="C421" s="132"/>
      <c r="D421" s="133"/>
      <c r="E421" s="132"/>
      <c r="F421" s="129"/>
      <c r="G421" s="132"/>
      <c r="H421" s="132"/>
    </row>
    <row r="422" spans="1:8">
      <c r="A422" s="127"/>
      <c r="B422" s="128"/>
      <c r="C422" s="132"/>
      <c r="D422" s="133"/>
      <c r="E422" s="132"/>
      <c r="F422" s="129"/>
      <c r="G422" s="132"/>
      <c r="H422" s="132"/>
    </row>
    <row r="423" spans="1:8">
      <c r="A423" s="127"/>
      <c r="B423" s="128"/>
      <c r="C423" s="132"/>
      <c r="D423" s="133"/>
      <c r="E423" s="132"/>
      <c r="F423" s="129"/>
      <c r="G423" s="132"/>
      <c r="H423" s="132"/>
    </row>
    <row r="424" spans="1:8">
      <c r="A424" s="127"/>
      <c r="B424" s="128"/>
      <c r="C424" s="132"/>
      <c r="D424" s="133"/>
      <c r="E424" s="132"/>
      <c r="F424" s="129"/>
      <c r="G424" s="132"/>
      <c r="H424" s="132"/>
    </row>
    <row r="425" spans="1:8">
      <c r="A425" s="127"/>
      <c r="B425" s="128"/>
      <c r="C425" s="132"/>
      <c r="D425" s="133"/>
      <c r="E425" s="132"/>
      <c r="F425" s="129"/>
      <c r="G425" s="132"/>
      <c r="H425" s="132"/>
    </row>
    <row r="426" spans="1:8">
      <c r="A426" s="127"/>
      <c r="B426" s="128"/>
      <c r="C426" s="132"/>
      <c r="D426" s="133"/>
      <c r="E426" s="132"/>
      <c r="F426" s="129"/>
      <c r="G426" s="132"/>
      <c r="H426" s="132"/>
    </row>
    <row r="427" spans="1:8">
      <c r="A427" s="127"/>
      <c r="B427" s="128"/>
      <c r="C427" s="132"/>
      <c r="D427" s="133"/>
      <c r="E427" s="132"/>
      <c r="F427" s="129"/>
      <c r="G427" s="132"/>
      <c r="H427" s="132"/>
    </row>
    <row r="428" spans="1:8">
      <c r="A428" s="127"/>
      <c r="B428" s="128"/>
      <c r="C428" s="132"/>
      <c r="D428" s="133"/>
      <c r="E428" s="132"/>
      <c r="F428" s="129"/>
      <c r="G428" s="132"/>
      <c r="H428" s="132"/>
    </row>
    <row r="429" spans="1:8">
      <c r="A429" s="127"/>
      <c r="B429" s="128"/>
      <c r="C429" s="132"/>
      <c r="D429" s="133"/>
      <c r="E429" s="132"/>
      <c r="F429" s="129"/>
      <c r="G429" s="132"/>
      <c r="H429" s="132"/>
    </row>
    <row r="430" spans="1:8">
      <c r="A430" s="127"/>
      <c r="B430" s="128"/>
      <c r="C430" s="132"/>
      <c r="D430" s="133"/>
      <c r="E430" s="132"/>
      <c r="F430" s="129"/>
      <c r="G430" s="132"/>
      <c r="H430" s="132"/>
    </row>
    <row r="431" spans="1:8">
      <c r="A431" s="127"/>
      <c r="B431" s="128"/>
      <c r="C431" s="132"/>
      <c r="D431" s="133"/>
      <c r="E431" s="132"/>
      <c r="F431" s="129"/>
      <c r="G431" s="132"/>
      <c r="H431" s="132"/>
    </row>
    <row r="432" spans="1:8">
      <c r="A432" s="127"/>
      <c r="B432" s="128"/>
      <c r="C432" s="132"/>
      <c r="D432" s="133"/>
      <c r="E432" s="132"/>
      <c r="F432" s="129"/>
      <c r="G432" s="132"/>
      <c r="H432" s="132"/>
    </row>
    <row r="433" spans="1:8">
      <c r="A433" s="127"/>
      <c r="B433" s="128"/>
      <c r="C433" s="132"/>
      <c r="D433" s="133"/>
      <c r="E433" s="132"/>
      <c r="F433" s="129"/>
      <c r="G433" s="132"/>
      <c r="H433" s="132"/>
    </row>
    <row r="434" spans="1:8">
      <c r="A434" s="127"/>
      <c r="B434" s="128"/>
      <c r="C434" s="132"/>
      <c r="D434" s="133"/>
      <c r="E434" s="132"/>
      <c r="F434" s="129"/>
      <c r="G434" s="132"/>
      <c r="H434" s="132"/>
    </row>
    <row r="435" spans="1:8">
      <c r="A435" s="127"/>
      <c r="B435" s="128"/>
      <c r="C435" s="132"/>
      <c r="D435" s="133"/>
      <c r="E435" s="132"/>
      <c r="F435" s="129"/>
      <c r="G435" s="132"/>
      <c r="H435" s="132"/>
    </row>
    <row r="436" spans="1:8">
      <c r="A436" s="127"/>
      <c r="B436" s="128"/>
      <c r="C436" s="132"/>
      <c r="D436" s="133"/>
      <c r="E436" s="132"/>
      <c r="F436" s="129"/>
      <c r="G436" s="132"/>
      <c r="H436" s="132"/>
    </row>
    <row r="437" spans="1:8">
      <c r="A437" s="127"/>
      <c r="B437" s="128"/>
      <c r="C437" s="132"/>
      <c r="D437" s="133"/>
      <c r="E437" s="132"/>
      <c r="F437" s="129"/>
      <c r="G437" s="132"/>
      <c r="H437" s="132"/>
    </row>
    <row r="438" spans="1:8">
      <c r="A438" s="127"/>
      <c r="B438" s="128"/>
      <c r="C438" s="132"/>
      <c r="D438" s="133"/>
      <c r="E438" s="132"/>
      <c r="F438" s="129"/>
      <c r="G438" s="132"/>
      <c r="H438" s="132"/>
    </row>
    <row r="439" spans="1:8">
      <c r="A439" s="127"/>
      <c r="B439" s="128"/>
      <c r="C439" s="132"/>
      <c r="D439" s="133"/>
      <c r="E439" s="132"/>
      <c r="F439" s="129"/>
      <c r="G439" s="132"/>
      <c r="H439" s="132"/>
    </row>
    <row r="440" spans="1:8">
      <c r="A440" s="127"/>
      <c r="B440" s="128"/>
      <c r="C440" s="132"/>
      <c r="D440" s="133"/>
      <c r="E440" s="132"/>
      <c r="F440" s="129"/>
      <c r="G440" s="132"/>
      <c r="H440" s="132"/>
    </row>
    <row r="441" spans="1:8">
      <c r="A441" s="127"/>
      <c r="B441" s="128"/>
      <c r="C441" s="132"/>
      <c r="D441" s="133"/>
      <c r="E441" s="132"/>
      <c r="F441" s="129"/>
      <c r="G441" s="132"/>
      <c r="H441" s="132"/>
    </row>
    <row r="442" spans="1:8">
      <c r="A442" s="127"/>
      <c r="B442" s="128"/>
      <c r="C442" s="132"/>
      <c r="D442" s="133"/>
      <c r="E442" s="132"/>
      <c r="F442" s="129"/>
      <c r="G442" s="132"/>
      <c r="H442" s="132"/>
    </row>
    <row r="443" spans="1:8">
      <c r="A443" s="127"/>
      <c r="B443" s="128"/>
      <c r="C443" s="132"/>
      <c r="D443" s="133"/>
      <c r="E443" s="132"/>
      <c r="F443" s="129"/>
      <c r="G443" s="132"/>
      <c r="H443" s="132"/>
    </row>
    <row r="444" spans="1:8">
      <c r="A444" s="127"/>
      <c r="B444" s="128"/>
      <c r="C444" s="132"/>
      <c r="D444" s="133"/>
      <c r="E444" s="132"/>
      <c r="F444" s="129"/>
      <c r="G444" s="132"/>
      <c r="H444" s="132"/>
    </row>
    <row r="445" spans="1:8">
      <c r="A445" s="127"/>
      <c r="B445" s="128"/>
      <c r="C445" s="132"/>
      <c r="D445" s="133"/>
      <c r="E445" s="132"/>
      <c r="F445" s="129"/>
      <c r="G445" s="132"/>
      <c r="H445" s="132"/>
    </row>
    <row r="446" spans="1:8">
      <c r="A446" s="127"/>
      <c r="B446" s="128"/>
      <c r="C446" s="132"/>
      <c r="D446" s="133"/>
      <c r="E446" s="132"/>
      <c r="F446" s="129"/>
      <c r="G446" s="132"/>
      <c r="H446" s="132"/>
    </row>
    <row r="447" spans="1:8">
      <c r="A447" s="127"/>
      <c r="B447" s="128"/>
      <c r="C447" s="132"/>
      <c r="D447" s="133"/>
      <c r="E447" s="132"/>
      <c r="F447" s="129"/>
      <c r="G447" s="132"/>
      <c r="H447" s="132"/>
    </row>
    <row r="448" spans="1:8">
      <c r="A448" s="127"/>
      <c r="B448" s="128"/>
      <c r="C448" s="132"/>
      <c r="D448" s="133"/>
      <c r="E448" s="132"/>
      <c r="F448" s="129"/>
      <c r="G448" s="132"/>
      <c r="H448" s="132"/>
    </row>
    <row r="449" spans="1:8">
      <c r="A449" s="127"/>
      <c r="B449" s="128"/>
      <c r="C449" s="132"/>
      <c r="D449" s="133"/>
      <c r="E449" s="132"/>
      <c r="F449" s="129"/>
      <c r="G449" s="132"/>
      <c r="H449" s="132"/>
    </row>
    <row r="450" spans="1:8">
      <c r="A450" s="127"/>
      <c r="B450" s="128"/>
      <c r="C450" s="132"/>
      <c r="D450" s="133"/>
      <c r="E450" s="132"/>
      <c r="F450" s="129"/>
      <c r="G450" s="132"/>
      <c r="H450" s="132"/>
    </row>
    <row r="451" spans="1:8">
      <c r="A451" s="127"/>
      <c r="B451" s="128"/>
      <c r="C451" s="132"/>
      <c r="D451" s="133"/>
      <c r="E451" s="132"/>
      <c r="F451" s="129"/>
      <c r="G451" s="132"/>
      <c r="H451" s="132"/>
    </row>
    <row r="452" spans="1:8">
      <c r="A452" s="127"/>
      <c r="B452" s="128"/>
      <c r="C452" s="132"/>
      <c r="D452" s="133"/>
      <c r="E452" s="132"/>
      <c r="F452" s="129"/>
      <c r="G452" s="132"/>
      <c r="H452" s="132"/>
    </row>
    <row r="453" spans="1:8">
      <c r="A453" s="127"/>
      <c r="B453" s="128"/>
      <c r="C453" s="132"/>
      <c r="D453" s="133"/>
      <c r="E453" s="132"/>
      <c r="F453" s="129"/>
      <c r="G453" s="132"/>
      <c r="H453" s="132"/>
    </row>
    <row r="454" spans="1:8">
      <c r="A454" s="127"/>
      <c r="B454" s="128"/>
      <c r="C454" s="132"/>
      <c r="D454" s="133"/>
      <c r="E454" s="132"/>
      <c r="F454" s="129"/>
      <c r="G454" s="132"/>
      <c r="H454" s="132"/>
    </row>
    <row r="455" spans="1:8">
      <c r="A455" s="127"/>
      <c r="B455" s="128"/>
      <c r="C455" s="132"/>
      <c r="D455" s="133"/>
      <c r="E455" s="132"/>
      <c r="F455" s="129"/>
      <c r="G455" s="132"/>
      <c r="H455" s="132"/>
    </row>
    <row r="456" spans="1:8">
      <c r="A456" s="127"/>
      <c r="B456" s="128"/>
      <c r="C456" s="132"/>
      <c r="D456" s="133"/>
      <c r="E456" s="132"/>
      <c r="F456" s="129"/>
      <c r="G456" s="132"/>
      <c r="H456" s="132"/>
    </row>
    <row r="457" spans="1:8">
      <c r="A457" s="127"/>
      <c r="B457" s="128"/>
      <c r="C457" s="132"/>
      <c r="D457" s="133"/>
      <c r="E457" s="132"/>
      <c r="F457" s="129"/>
      <c r="G457" s="132"/>
      <c r="H457" s="132"/>
    </row>
    <row r="458" spans="1:8">
      <c r="A458" s="127"/>
      <c r="B458" s="128"/>
      <c r="C458" s="132"/>
      <c r="D458" s="133"/>
      <c r="E458" s="132"/>
      <c r="F458" s="129"/>
      <c r="G458" s="132"/>
      <c r="H458" s="132"/>
    </row>
    <row r="459" spans="1:8">
      <c r="A459" s="127"/>
      <c r="B459" s="128"/>
      <c r="C459" s="132"/>
      <c r="D459" s="133"/>
      <c r="E459" s="132"/>
      <c r="F459" s="129"/>
      <c r="G459" s="132"/>
      <c r="H459" s="132"/>
    </row>
    <row r="460" spans="1:8">
      <c r="A460" s="127"/>
      <c r="B460" s="128"/>
      <c r="C460" s="132"/>
      <c r="D460" s="133"/>
      <c r="E460" s="132"/>
      <c r="F460" s="129"/>
      <c r="G460" s="132"/>
      <c r="H460" s="132"/>
    </row>
    <row r="461" spans="1:8">
      <c r="A461" s="127"/>
      <c r="B461" s="128"/>
      <c r="C461" s="132"/>
      <c r="D461" s="133"/>
      <c r="E461" s="132"/>
      <c r="F461" s="129"/>
      <c r="G461" s="132"/>
      <c r="H461" s="132"/>
    </row>
    <row r="462" spans="1:8">
      <c r="A462" s="127"/>
      <c r="B462" s="128"/>
      <c r="C462" s="132"/>
      <c r="D462" s="133"/>
      <c r="E462" s="132"/>
      <c r="F462" s="129"/>
      <c r="G462" s="132"/>
      <c r="H462" s="132"/>
    </row>
    <row r="463" spans="1:8">
      <c r="A463" s="127"/>
      <c r="B463" s="128"/>
      <c r="C463" s="132"/>
      <c r="D463" s="133"/>
      <c r="E463" s="132"/>
      <c r="F463" s="129"/>
      <c r="G463" s="132"/>
      <c r="H463" s="132"/>
    </row>
    <row r="464" spans="1:8">
      <c r="A464" s="127"/>
      <c r="B464" s="128"/>
      <c r="C464" s="132"/>
      <c r="D464" s="133"/>
      <c r="E464" s="132"/>
      <c r="F464" s="129"/>
      <c r="G464" s="132"/>
      <c r="H464" s="132"/>
    </row>
    <row r="465" spans="1:8">
      <c r="A465" s="127"/>
      <c r="B465" s="128"/>
      <c r="C465" s="132"/>
      <c r="D465" s="133"/>
      <c r="E465" s="132"/>
      <c r="F465" s="129"/>
      <c r="G465" s="132"/>
      <c r="H465" s="132"/>
    </row>
    <row r="466" spans="1:8">
      <c r="A466" s="127"/>
      <c r="B466" s="128"/>
      <c r="C466" s="132"/>
      <c r="D466" s="133"/>
      <c r="E466" s="132"/>
      <c r="F466" s="129"/>
      <c r="G466" s="132"/>
      <c r="H466" s="132"/>
    </row>
    <row r="467" spans="1:8">
      <c r="A467" s="127"/>
      <c r="B467" s="128"/>
      <c r="C467" s="132"/>
      <c r="D467" s="133"/>
      <c r="E467" s="132"/>
      <c r="F467" s="129"/>
      <c r="G467" s="132"/>
      <c r="H467" s="132"/>
    </row>
    <row r="468" spans="1:8">
      <c r="A468" s="127"/>
      <c r="B468" s="128"/>
      <c r="C468" s="132"/>
      <c r="D468" s="133"/>
      <c r="E468" s="132"/>
      <c r="F468" s="129"/>
      <c r="G468" s="132"/>
      <c r="H468" s="132"/>
    </row>
    <row r="469" spans="1:8">
      <c r="A469" s="127"/>
      <c r="B469" s="128"/>
      <c r="C469" s="132"/>
      <c r="D469" s="133"/>
      <c r="E469" s="132"/>
      <c r="F469" s="129"/>
      <c r="G469" s="132"/>
      <c r="H469" s="132"/>
    </row>
    <row r="470" spans="1:8">
      <c r="A470" s="127"/>
      <c r="B470" s="128"/>
      <c r="C470" s="132"/>
      <c r="D470" s="133"/>
      <c r="E470" s="132"/>
      <c r="F470" s="129"/>
      <c r="G470" s="132"/>
      <c r="H470" s="132"/>
    </row>
    <row r="471" spans="1:8">
      <c r="A471" s="127"/>
      <c r="B471" s="128"/>
      <c r="C471" s="132"/>
      <c r="D471" s="133"/>
      <c r="E471" s="132"/>
      <c r="F471" s="129"/>
      <c r="G471" s="132"/>
      <c r="H471" s="132"/>
    </row>
    <row r="472" spans="1:8">
      <c r="A472" s="127"/>
      <c r="B472" s="128"/>
      <c r="C472" s="132"/>
      <c r="D472" s="133"/>
      <c r="E472" s="132"/>
      <c r="F472" s="129"/>
      <c r="G472" s="132"/>
      <c r="H472" s="132"/>
    </row>
    <row r="473" spans="1:8">
      <c r="A473" s="127"/>
      <c r="B473" s="128"/>
      <c r="C473" s="132"/>
      <c r="D473" s="133"/>
      <c r="E473" s="132"/>
      <c r="F473" s="129"/>
      <c r="G473" s="132"/>
      <c r="H473" s="132"/>
    </row>
    <row r="474" spans="1:8">
      <c r="A474" s="127"/>
      <c r="B474" s="128"/>
      <c r="C474" s="132"/>
      <c r="D474" s="133"/>
      <c r="E474" s="132"/>
      <c r="F474" s="129"/>
      <c r="G474" s="132"/>
      <c r="H474" s="132"/>
    </row>
    <row r="475" spans="1:8">
      <c r="A475" s="127"/>
      <c r="B475" s="128"/>
      <c r="C475" s="132"/>
      <c r="D475" s="133"/>
      <c r="E475" s="132"/>
      <c r="F475" s="129"/>
      <c r="G475" s="132"/>
      <c r="H475" s="132"/>
    </row>
    <row r="476" spans="1:8">
      <c r="A476" s="127"/>
      <c r="B476" s="128"/>
      <c r="C476" s="132"/>
      <c r="D476" s="133"/>
      <c r="E476" s="132"/>
      <c r="F476" s="129"/>
      <c r="G476" s="132"/>
      <c r="H476" s="132"/>
    </row>
    <row r="477" spans="1:8">
      <c r="A477" s="127"/>
      <c r="B477" s="128"/>
      <c r="C477" s="132"/>
      <c r="D477" s="133"/>
      <c r="E477" s="132"/>
      <c r="F477" s="129"/>
      <c r="G477" s="132"/>
      <c r="H477" s="132"/>
    </row>
    <row r="478" spans="1:8">
      <c r="A478" s="127"/>
      <c r="B478" s="128"/>
      <c r="C478" s="132"/>
      <c r="D478" s="133"/>
      <c r="E478" s="132"/>
      <c r="F478" s="129"/>
      <c r="G478" s="132"/>
      <c r="H478" s="132"/>
    </row>
    <row r="479" spans="1:8">
      <c r="A479" s="127"/>
      <c r="B479" s="128"/>
      <c r="C479" s="132"/>
      <c r="D479" s="133"/>
      <c r="E479" s="132"/>
      <c r="F479" s="129"/>
      <c r="G479" s="132"/>
      <c r="H479" s="132"/>
    </row>
    <row r="480" spans="1:8">
      <c r="A480" s="127"/>
      <c r="B480" s="128"/>
      <c r="C480" s="132"/>
      <c r="D480" s="133"/>
      <c r="E480" s="132"/>
      <c r="F480" s="129"/>
      <c r="G480" s="132"/>
      <c r="H480" s="132"/>
    </row>
    <row r="481" spans="1:8">
      <c r="A481" s="127"/>
      <c r="B481" s="128"/>
      <c r="C481" s="132"/>
      <c r="D481" s="133"/>
      <c r="E481" s="132"/>
      <c r="F481" s="129"/>
      <c r="G481" s="132"/>
      <c r="H481" s="132"/>
    </row>
    <row r="482" spans="1:8">
      <c r="A482" s="127"/>
      <c r="B482" s="128"/>
      <c r="C482" s="132"/>
      <c r="D482" s="133"/>
      <c r="E482" s="132"/>
      <c r="F482" s="129"/>
      <c r="G482" s="132"/>
      <c r="H482" s="132"/>
    </row>
    <row r="483" spans="1:8">
      <c r="A483" s="127"/>
      <c r="B483" s="128"/>
      <c r="C483" s="132"/>
      <c r="D483" s="133"/>
      <c r="E483" s="132"/>
      <c r="F483" s="129"/>
      <c r="G483" s="132"/>
      <c r="H483" s="132"/>
    </row>
    <row r="484" spans="1:8">
      <c r="A484" s="127"/>
      <c r="B484" s="128"/>
      <c r="C484" s="132"/>
      <c r="D484" s="133"/>
      <c r="E484" s="132"/>
      <c r="F484" s="129"/>
      <c r="G484" s="132"/>
      <c r="H484" s="132"/>
    </row>
    <row r="485" spans="1:8">
      <c r="A485" s="127"/>
      <c r="B485" s="128"/>
      <c r="C485" s="132"/>
      <c r="D485" s="133"/>
      <c r="E485" s="132"/>
      <c r="F485" s="129"/>
      <c r="G485" s="132"/>
      <c r="H485" s="132"/>
    </row>
    <row r="486" spans="1:8">
      <c r="A486" s="127"/>
      <c r="B486" s="128"/>
      <c r="C486" s="132"/>
      <c r="D486" s="133"/>
      <c r="E486" s="132"/>
      <c r="F486" s="129"/>
      <c r="G486" s="132"/>
      <c r="H486" s="132"/>
    </row>
    <row r="487" spans="1:8">
      <c r="A487" s="127"/>
      <c r="B487" s="128"/>
      <c r="C487" s="132"/>
      <c r="D487" s="133"/>
      <c r="E487" s="132"/>
      <c r="F487" s="129"/>
      <c r="G487" s="132"/>
      <c r="H487" s="132"/>
    </row>
    <row r="488" spans="1:8">
      <c r="A488" s="127"/>
      <c r="B488" s="128"/>
      <c r="C488" s="132"/>
      <c r="D488" s="133"/>
      <c r="E488" s="132"/>
      <c r="F488" s="129"/>
      <c r="G488" s="132"/>
      <c r="H488" s="132"/>
    </row>
    <row r="489" spans="1:8">
      <c r="A489" s="127"/>
      <c r="B489" s="128"/>
      <c r="C489" s="132"/>
      <c r="D489" s="133"/>
      <c r="E489" s="132"/>
      <c r="F489" s="129"/>
      <c r="G489" s="132"/>
      <c r="H489" s="132"/>
    </row>
    <row r="490" spans="1:8">
      <c r="A490" s="127"/>
      <c r="B490" s="128"/>
      <c r="C490" s="132"/>
      <c r="D490" s="133"/>
      <c r="E490" s="132"/>
      <c r="F490" s="129"/>
      <c r="G490" s="132"/>
      <c r="H490" s="132"/>
    </row>
    <row r="491" spans="1:8">
      <c r="A491" s="127"/>
      <c r="B491" s="128"/>
      <c r="C491" s="132"/>
      <c r="D491" s="133"/>
      <c r="E491" s="132"/>
      <c r="F491" s="129"/>
      <c r="G491" s="132"/>
      <c r="H491" s="132"/>
    </row>
    <row r="492" spans="1:8">
      <c r="A492" s="127"/>
      <c r="B492" s="128"/>
      <c r="C492" s="132"/>
      <c r="D492" s="133"/>
      <c r="E492" s="132"/>
      <c r="F492" s="129"/>
      <c r="G492" s="132"/>
      <c r="H492" s="132"/>
    </row>
    <row r="493" spans="1:8">
      <c r="A493" s="127"/>
      <c r="B493" s="128"/>
      <c r="C493" s="132"/>
      <c r="D493" s="133"/>
      <c r="E493" s="132"/>
      <c r="F493" s="129"/>
      <c r="G493" s="132"/>
      <c r="H493" s="132"/>
    </row>
    <row r="494" spans="1:8">
      <c r="A494" s="127"/>
      <c r="B494" s="128"/>
      <c r="C494" s="132"/>
      <c r="D494" s="133"/>
      <c r="E494" s="132"/>
      <c r="F494" s="129"/>
      <c r="G494" s="132"/>
      <c r="H494" s="132"/>
    </row>
    <row r="495" spans="1:8">
      <c r="A495" s="127"/>
      <c r="B495" s="128"/>
      <c r="C495" s="132"/>
      <c r="D495" s="133"/>
      <c r="E495" s="132"/>
      <c r="F495" s="129"/>
      <c r="G495" s="132"/>
      <c r="H495" s="132"/>
    </row>
    <row r="496" spans="1:8">
      <c r="A496" s="127"/>
      <c r="B496" s="128"/>
      <c r="C496" s="132"/>
      <c r="D496" s="133"/>
      <c r="E496" s="132"/>
      <c r="F496" s="129"/>
      <c r="G496" s="132"/>
      <c r="H496" s="132"/>
    </row>
    <row r="497" spans="1:8">
      <c r="A497" s="127"/>
      <c r="B497" s="128"/>
      <c r="C497" s="132"/>
      <c r="D497" s="133"/>
      <c r="E497" s="132"/>
      <c r="F497" s="129"/>
      <c r="G497" s="132"/>
      <c r="H497" s="132"/>
    </row>
    <row r="498" spans="1:8">
      <c r="A498" s="127"/>
      <c r="B498" s="128"/>
      <c r="C498" s="132"/>
      <c r="D498" s="133"/>
      <c r="E498" s="132"/>
      <c r="F498" s="129"/>
      <c r="G498" s="132"/>
      <c r="H498" s="132"/>
    </row>
    <row r="499" spans="1:8">
      <c r="A499" s="127"/>
      <c r="B499" s="128"/>
      <c r="C499" s="132"/>
      <c r="D499" s="133"/>
      <c r="E499" s="132"/>
      <c r="F499" s="129"/>
      <c r="G499" s="132"/>
      <c r="H499" s="132"/>
    </row>
    <row r="500" spans="1:8">
      <c r="A500" s="127"/>
      <c r="B500" s="128"/>
      <c r="C500" s="132"/>
      <c r="D500" s="133"/>
      <c r="E500" s="132"/>
      <c r="F500" s="129"/>
      <c r="G500" s="132"/>
      <c r="H500" s="132"/>
    </row>
    <row r="501" spans="1:8">
      <c r="A501" s="127"/>
      <c r="B501" s="128"/>
      <c r="C501" s="132"/>
      <c r="D501" s="133"/>
      <c r="E501" s="132"/>
      <c r="F501" s="129"/>
      <c r="G501" s="132"/>
      <c r="H501" s="132"/>
    </row>
    <row r="502" spans="1:8">
      <c r="A502" s="127"/>
      <c r="B502" s="128"/>
      <c r="C502" s="132"/>
      <c r="D502" s="133"/>
      <c r="E502" s="132"/>
      <c r="F502" s="129"/>
      <c r="G502" s="132"/>
      <c r="H502" s="132"/>
    </row>
    <row r="503" spans="1:8">
      <c r="A503" s="127"/>
      <c r="B503" s="128"/>
      <c r="C503" s="132"/>
      <c r="D503" s="133"/>
      <c r="E503" s="132"/>
      <c r="F503" s="129"/>
      <c r="G503" s="132"/>
      <c r="H503" s="132"/>
    </row>
    <row r="504" spans="1:8">
      <c r="A504" s="127"/>
      <c r="B504" s="128"/>
      <c r="C504" s="132"/>
      <c r="D504" s="133"/>
      <c r="E504" s="132"/>
      <c r="F504" s="129"/>
      <c r="G504" s="132"/>
      <c r="H504" s="132"/>
    </row>
    <row r="505" spans="1:8">
      <c r="A505" s="127"/>
      <c r="B505" s="128"/>
      <c r="C505" s="132"/>
      <c r="D505" s="133"/>
      <c r="E505" s="132"/>
      <c r="F505" s="129"/>
      <c r="G505" s="132"/>
      <c r="H505" s="132"/>
    </row>
    <row r="506" spans="1:8">
      <c r="A506" s="127"/>
      <c r="B506" s="128"/>
      <c r="C506" s="132"/>
      <c r="D506" s="133"/>
      <c r="E506" s="132"/>
      <c r="F506" s="129"/>
      <c r="G506" s="132"/>
      <c r="H506" s="132"/>
    </row>
    <row r="507" spans="1:8">
      <c r="A507" s="127"/>
      <c r="B507" s="128"/>
      <c r="C507" s="132"/>
      <c r="D507" s="133"/>
      <c r="E507" s="132"/>
      <c r="F507" s="129"/>
      <c r="G507" s="132"/>
      <c r="H507" s="132"/>
    </row>
    <row r="508" spans="1:8">
      <c r="A508" s="127"/>
      <c r="B508" s="128"/>
      <c r="C508" s="132"/>
      <c r="D508" s="133"/>
      <c r="E508" s="132"/>
      <c r="F508" s="129"/>
      <c r="G508" s="132"/>
      <c r="H508" s="132"/>
    </row>
    <row r="509" spans="1:8">
      <c r="A509" s="127"/>
      <c r="B509" s="128"/>
      <c r="C509" s="132"/>
      <c r="D509" s="133"/>
      <c r="E509" s="132"/>
      <c r="F509" s="129"/>
      <c r="G509" s="132"/>
      <c r="H509" s="132"/>
    </row>
    <row r="510" spans="1:8">
      <c r="A510" s="127"/>
      <c r="B510" s="128"/>
      <c r="C510" s="132"/>
      <c r="D510" s="133"/>
      <c r="E510" s="132"/>
      <c r="F510" s="129"/>
      <c r="G510" s="132"/>
      <c r="H510" s="132"/>
    </row>
    <row r="511" spans="1:8">
      <c r="A511" s="127"/>
      <c r="B511" s="128"/>
      <c r="C511" s="132"/>
      <c r="D511" s="133"/>
      <c r="E511" s="132"/>
      <c r="F511" s="129"/>
      <c r="G511" s="132"/>
      <c r="H511" s="132"/>
    </row>
    <row r="512" spans="1:8">
      <c r="A512" s="127"/>
      <c r="B512" s="128"/>
      <c r="C512" s="132"/>
      <c r="D512" s="133"/>
      <c r="E512" s="132"/>
      <c r="F512" s="129"/>
      <c r="G512" s="132"/>
      <c r="H512" s="132"/>
    </row>
    <row r="513" spans="1:8">
      <c r="A513" s="127"/>
      <c r="B513" s="128"/>
      <c r="C513" s="132"/>
      <c r="D513" s="133"/>
      <c r="E513" s="132"/>
      <c r="F513" s="129"/>
      <c r="G513" s="132"/>
      <c r="H513" s="132"/>
    </row>
    <row r="514" spans="1:8">
      <c r="A514" s="127"/>
      <c r="B514" s="128"/>
      <c r="C514" s="132"/>
      <c r="D514" s="133"/>
      <c r="E514" s="132"/>
      <c r="F514" s="129"/>
      <c r="G514" s="132"/>
      <c r="H514" s="132"/>
    </row>
    <row r="515" spans="1:8">
      <c r="A515" s="127"/>
      <c r="B515" s="128"/>
      <c r="C515" s="132"/>
      <c r="D515" s="133"/>
      <c r="E515" s="132"/>
      <c r="F515" s="129"/>
      <c r="G515" s="132"/>
      <c r="H515" s="132"/>
    </row>
    <row r="516" spans="1:8">
      <c r="A516" s="127"/>
      <c r="B516" s="128"/>
      <c r="C516" s="132"/>
      <c r="D516" s="133"/>
      <c r="E516" s="132"/>
      <c r="F516" s="129"/>
      <c r="G516" s="132"/>
      <c r="H516" s="132"/>
    </row>
    <row r="517" spans="1:8">
      <c r="A517" s="127"/>
      <c r="B517" s="128"/>
      <c r="C517" s="132"/>
      <c r="D517" s="133"/>
      <c r="E517" s="132"/>
      <c r="F517" s="129"/>
      <c r="G517" s="132"/>
      <c r="H517" s="132"/>
    </row>
    <row r="518" spans="1:8">
      <c r="A518" s="127"/>
      <c r="B518" s="128"/>
      <c r="C518" s="132"/>
      <c r="D518" s="133"/>
      <c r="E518" s="132"/>
      <c r="F518" s="129"/>
      <c r="G518" s="132"/>
      <c r="H518" s="132"/>
    </row>
    <row r="519" spans="1:8">
      <c r="A519" s="127"/>
      <c r="B519" s="128"/>
      <c r="C519" s="132"/>
      <c r="D519" s="133"/>
      <c r="E519" s="132"/>
      <c r="F519" s="129"/>
      <c r="G519" s="132"/>
      <c r="H519" s="132"/>
    </row>
    <row r="520" spans="1:8">
      <c r="A520" s="127"/>
      <c r="B520" s="128"/>
      <c r="C520" s="132"/>
      <c r="D520" s="133"/>
      <c r="E520" s="132"/>
      <c r="F520" s="129"/>
      <c r="G520" s="132"/>
      <c r="H520" s="132"/>
    </row>
    <row r="521" spans="1:8">
      <c r="A521" s="127"/>
      <c r="B521" s="128"/>
      <c r="C521" s="132"/>
      <c r="D521" s="133"/>
      <c r="E521" s="132"/>
      <c r="F521" s="129"/>
      <c r="G521" s="132"/>
      <c r="H521" s="132"/>
    </row>
    <row r="522" spans="1:8">
      <c r="A522" s="127"/>
      <c r="B522" s="128"/>
      <c r="C522" s="132"/>
      <c r="D522" s="133"/>
      <c r="E522" s="132"/>
      <c r="F522" s="129"/>
      <c r="G522" s="132"/>
      <c r="H522" s="132"/>
    </row>
    <row r="523" spans="1:8">
      <c r="A523" s="127"/>
      <c r="B523" s="128"/>
      <c r="C523" s="132"/>
      <c r="D523" s="133"/>
      <c r="E523" s="132"/>
      <c r="F523" s="129"/>
      <c r="G523" s="132"/>
      <c r="H523" s="132"/>
    </row>
    <row r="524" spans="1:8">
      <c r="A524" s="127"/>
      <c r="B524" s="128"/>
      <c r="C524" s="132"/>
      <c r="D524" s="133"/>
      <c r="E524" s="132"/>
      <c r="F524" s="129"/>
      <c r="G524" s="132"/>
      <c r="H524" s="132"/>
    </row>
    <row r="525" spans="1:8">
      <c r="A525" s="127"/>
      <c r="B525" s="128"/>
      <c r="C525" s="132"/>
      <c r="D525" s="133"/>
      <c r="E525" s="132"/>
      <c r="F525" s="129"/>
      <c r="G525" s="132"/>
      <c r="H525" s="132"/>
    </row>
    <row r="526" spans="1:8">
      <c r="A526" s="127"/>
      <c r="B526" s="128"/>
      <c r="C526" s="132"/>
      <c r="D526" s="133"/>
      <c r="E526" s="132"/>
      <c r="F526" s="129"/>
      <c r="G526" s="132"/>
      <c r="H526" s="132"/>
    </row>
    <row r="527" spans="1:8">
      <c r="A527" s="127"/>
      <c r="B527" s="128"/>
      <c r="C527" s="132"/>
      <c r="D527" s="133"/>
      <c r="E527" s="132"/>
      <c r="F527" s="129"/>
      <c r="G527" s="132"/>
      <c r="H527" s="132"/>
    </row>
    <row r="528" spans="1:8">
      <c r="A528" s="127"/>
      <c r="B528" s="128"/>
      <c r="C528" s="132"/>
      <c r="D528" s="133"/>
      <c r="E528" s="132"/>
      <c r="F528" s="129"/>
      <c r="G528" s="132"/>
      <c r="H528" s="132"/>
    </row>
    <row r="529" spans="1:8">
      <c r="A529" s="127"/>
      <c r="B529" s="128"/>
      <c r="C529" s="132"/>
      <c r="D529" s="133"/>
      <c r="E529" s="132"/>
      <c r="F529" s="129"/>
      <c r="G529" s="132"/>
      <c r="H529" s="132"/>
    </row>
    <row r="530" spans="1:8">
      <c r="A530" s="127"/>
      <c r="B530" s="128"/>
      <c r="C530" s="132"/>
      <c r="D530" s="133"/>
      <c r="E530" s="132"/>
      <c r="F530" s="129"/>
      <c r="G530" s="132"/>
      <c r="H530" s="132"/>
    </row>
    <row r="531" spans="1:8">
      <c r="A531" s="127"/>
      <c r="B531" s="128"/>
      <c r="C531" s="132"/>
      <c r="D531" s="133"/>
      <c r="E531" s="132"/>
      <c r="F531" s="129"/>
      <c r="G531" s="132"/>
      <c r="H531" s="132"/>
    </row>
    <row r="532" spans="1:8">
      <c r="A532" s="127"/>
      <c r="B532" s="128"/>
      <c r="C532" s="132"/>
      <c r="D532" s="133"/>
      <c r="E532" s="132"/>
      <c r="F532" s="129"/>
      <c r="G532" s="132"/>
      <c r="H532" s="132"/>
    </row>
    <row r="533" spans="1:8">
      <c r="A533" s="127"/>
      <c r="B533" s="128"/>
      <c r="C533" s="132"/>
      <c r="D533" s="133"/>
      <c r="E533" s="132"/>
      <c r="F533" s="129"/>
      <c r="G533" s="132"/>
      <c r="H533" s="132"/>
    </row>
    <row r="534" spans="1:8">
      <c r="A534" s="127"/>
      <c r="B534" s="128"/>
      <c r="C534" s="132"/>
      <c r="D534" s="133"/>
      <c r="E534" s="132"/>
      <c r="F534" s="129"/>
      <c r="G534" s="132"/>
      <c r="H534" s="132"/>
    </row>
    <row r="535" spans="1:8">
      <c r="A535" s="127"/>
      <c r="B535" s="128"/>
      <c r="C535" s="132"/>
      <c r="D535" s="133"/>
      <c r="E535" s="132"/>
      <c r="F535" s="129"/>
      <c r="G535" s="132"/>
      <c r="H535" s="132"/>
    </row>
    <row r="536" spans="1:8">
      <c r="A536" s="127"/>
      <c r="B536" s="128"/>
      <c r="C536" s="132"/>
      <c r="D536" s="133"/>
      <c r="E536" s="132"/>
      <c r="F536" s="129"/>
      <c r="G536" s="132"/>
      <c r="H536" s="132"/>
    </row>
    <row r="537" spans="1:8">
      <c r="A537" s="127"/>
      <c r="B537" s="128"/>
      <c r="C537" s="132"/>
      <c r="D537" s="133"/>
      <c r="E537" s="132"/>
      <c r="F537" s="129"/>
      <c r="G537" s="132"/>
      <c r="H537" s="132"/>
    </row>
    <row r="538" spans="1:8">
      <c r="A538" s="127"/>
      <c r="B538" s="128"/>
      <c r="C538" s="132"/>
      <c r="D538" s="133"/>
      <c r="E538" s="132"/>
      <c r="F538" s="129"/>
      <c r="G538" s="132"/>
      <c r="H538" s="132"/>
    </row>
    <row r="539" spans="1:8">
      <c r="A539" s="127"/>
      <c r="B539" s="128"/>
      <c r="C539" s="132"/>
      <c r="D539" s="133"/>
      <c r="E539" s="132"/>
      <c r="F539" s="129"/>
      <c r="G539" s="132"/>
      <c r="H539" s="132"/>
    </row>
    <row r="540" spans="1:8">
      <c r="A540" s="127"/>
      <c r="B540" s="128"/>
      <c r="C540" s="132"/>
      <c r="D540" s="133"/>
      <c r="E540" s="132"/>
      <c r="F540" s="129"/>
      <c r="G540" s="132"/>
      <c r="H540" s="132"/>
    </row>
    <row r="541" spans="1:8">
      <c r="A541" s="127"/>
      <c r="B541" s="128"/>
      <c r="C541" s="132"/>
      <c r="D541" s="133"/>
      <c r="E541" s="132"/>
      <c r="F541" s="129"/>
      <c r="G541" s="132"/>
      <c r="H541" s="132"/>
    </row>
    <row r="542" spans="1:8">
      <c r="A542" s="127"/>
      <c r="B542" s="128"/>
      <c r="C542" s="132"/>
      <c r="D542" s="133"/>
      <c r="E542" s="132"/>
      <c r="F542" s="129"/>
      <c r="G542" s="132"/>
      <c r="H542" s="132"/>
    </row>
    <row r="543" spans="1:8">
      <c r="A543" s="127"/>
      <c r="B543" s="128"/>
      <c r="C543" s="132"/>
      <c r="D543" s="133"/>
      <c r="E543" s="132"/>
      <c r="F543" s="129"/>
      <c r="G543" s="132"/>
      <c r="H543" s="132"/>
    </row>
    <row r="544" spans="1:8">
      <c r="A544" s="127"/>
      <c r="B544" s="128"/>
      <c r="C544" s="132"/>
      <c r="D544" s="133"/>
      <c r="E544" s="132"/>
      <c r="F544" s="129"/>
      <c r="G544" s="132"/>
      <c r="H544" s="132"/>
    </row>
    <row r="545" spans="1:8">
      <c r="A545" s="127"/>
      <c r="B545" s="128"/>
      <c r="C545" s="132"/>
      <c r="D545" s="133"/>
      <c r="E545" s="132"/>
      <c r="F545" s="129"/>
      <c r="G545" s="132"/>
      <c r="H545" s="132"/>
    </row>
    <row r="546" spans="1:8">
      <c r="A546" s="127"/>
      <c r="B546" s="128"/>
      <c r="C546" s="132"/>
      <c r="D546" s="133"/>
      <c r="E546" s="132"/>
      <c r="F546" s="129"/>
      <c r="G546" s="132"/>
      <c r="H546" s="132"/>
    </row>
    <row r="547" spans="1:8">
      <c r="A547" s="127"/>
      <c r="B547" s="128"/>
      <c r="C547" s="132"/>
      <c r="D547" s="133"/>
      <c r="E547" s="132"/>
      <c r="F547" s="129"/>
      <c r="G547" s="132"/>
      <c r="H547" s="132"/>
    </row>
    <row r="548" spans="1:8">
      <c r="A548" s="127"/>
      <c r="B548" s="128"/>
      <c r="C548" s="132"/>
      <c r="D548" s="133"/>
      <c r="E548" s="132"/>
      <c r="F548" s="129"/>
      <c r="G548" s="132"/>
      <c r="H548" s="132"/>
    </row>
    <row r="549" spans="1:8">
      <c r="A549" s="127"/>
      <c r="B549" s="128"/>
      <c r="C549" s="132"/>
      <c r="D549" s="133"/>
      <c r="E549" s="132"/>
      <c r="F549" s="129"/>
      <c r="G549" s="132"/>
      <c r="H549" s="132"/>
    </row>
    <row r="550" spans="1:8">
      <c r="A550" s="127"/>
      <c r="B550" s="128"/>
      <c r="C550" s="132"/>
      <c r="D550" s="133"/>
      <c r="E550" s="132"/>
      <c r="F550" s="129"/>
      <c r="G550" s="132"/>
      <c r="H550" s="132"/>
    </row>
    <row r="551" spans="1:8">
      <c r="A551" s="127"/>
      <c r="B551" s="128"/>
      <c r="C551" s="132"/>
      <c r="D551" s="133"/>
      <c r="E551" s="132"/>
      <c r="F551" s="129"/>
      <c r="G551" s="132"/>
      <c r="H551" s="132"/>
    </row>
    <row r="552" spans="1:8">
      <c r="A552" s="127"/>
      <c r="B552" s="128"/>
      <c r="C552" s="132"/>
      <c r="D552" s="133"/>
      <c r="E552" s="132"/>
      <c r="F552" s="129"/>
      <c r="G552" s="132"/>
      <c r="H552" s="132"/>
    </row>
    <row r="553" spans="1:8">
      <c r="A553" s="127"/>
      <c r="B553" s="128"/>
      <c r="C553" s="132"/>
      <c r="D553" s="133"/>
      <c r="E553" s="132"/>
      <c r="F553" s="129"/>
      <c r="G553" s="132"/>
      <c r="H553" s="132"/>
    </row>
    <row r="554" spans="1:8">
      <c r="A554" s="127"/>
      <c r="B554" s="128"/>
      <c r="C554" s="132"/>
      <c r="D554" s="133"/>
      <c r="E554" s="132"/>
      <c r="F554" s="129"/>
      <c r="G554" s="132"/>
      <c r="H554" s="132"/>
    </row>
    <row r="555" spans="1:8">
      <c r="A555" s="127"/>
      <c r="B555" s="128"/>
      <c r="C555" s="132"/>
      <c r="D555" s="133"/>
      <c r="E555" s="132"/>
      <c r="F555" s="129"/>
      <c r="G555" s="132"/>
      <c r="H555" s="132"/>
    </row>
    <row r="556" spans="1:8">
      <c r="A556" s="127"/>
      <c r="B556" s="128"/>
      <c r="C556" s="132"/>
      <c r="D556" s="133"/>
      <c r="E556" s="132"/>
      <c r="F556" s="129"/>
      <c r="G556" s="132"/>
      <c r="H556" s="132"/>
    </row>
    <row r="557" spans="1:8">
      <c r="A557" s="127"/>
      <c r="B557" s="128"/>
      <c r="C557" s="132"/>
      <c r="D557" s="133"/>
      <c r="E557" s="132"/>
      <c r="F557" s="129"/>
      <c r="G557" s="132"/>
      <c r="H557" s="132"/>
    </row>
    <row r="558" spans="1:8">
      <c r="A558" s="127"/>
      <c r="B558" s="128"/>
      <c r="C558" s="132"/>
      <c r="D558" s="133"/>
      <c r="E558" s="132"/>
      <c r="F558" s="129"/>
      <c r="G558" s="132"/>
      <c r="H558" s="132"/>
    </row>
    <row r="559" spans="1:8">
      <c r="A559" s="127"/>
      <c r="B559" s="128"/>
      <c r="C559" s="132"/>
      <c r="D559" s="133"/>
      <c r="E559" s="132"/>
      <c r="F559" s="129"/>
      <c r="G559" s="132"/>
      <c r="H559" s="132"/>
    </row>
    <row r="560" spans="1:8">
      <c r="A560" s="127"/>
      <c r="B560" s="128"/>
      <c r="C560" s="132"/>
      <c r="D560" s="133"/>
      <c r="E560" s="132"/>
      <c r="F560" s="129"/>
      <c r="G560" s="132"/>
      <c r="H560" s="132"/>
    </row>
    <row r="561" spans="1:8">
      <c r="A561" s="127"/>
      <c r="B561" s="128"/>
      <c r="C561" s="132"/>
      <c r="D561" s="133"/>
      <c r="E561" s="132"/>
      <c r="F561" s="129"/>
      <c r="G561" s="132"/>
      <c r="H561" s="132"/>
    </row>
    <row r="562" spans="1:8">
      <c r="A562" s="127"/>
      <c r="B562" s="128"/>
      <c r="C562" s="132"/>
      <c r="D562" s="133"/>
      <c r="E562" s="132"/>
      <c r="F562" s="129"/>
      <c r="G562" s="132"/>
      <c r="H562" s="132"/>
    </row>
    <row r="563" spans="1:8">
      <c r="A563" s="127"/>
      <c r="B563" s="128"/>
      <c r="C563" s="132"/>
      <c r="D563" s="133"/>
      <c r="E563" s="132"/>
      <c r="F563" s="129"/>
      <c r="G563" s="132"/>
      <c r="H563" s="132"/>
    </row>
    <row r="564" spans="1:8">
      <c r="A564" s="127"/>
      <c r="B564" s="128"/>
      <c r="C564" s="132"/>
      <c r="D564" s="133"/>
      <c r="E564" s="132"/>
      <c r="F564" s="129"/>
      <c r="G564" s="132"/>
      <c r="H564" s="132"/>
    </row>
    <row r="565" spans="1:8">
      <c r="A565" s="127"/>
      <c r="B565" s="128"/>
      <c r="C565" s="132"/>
      <c r="D565" s="133"/>
      <c r="E565" s="132"/>
      <c r="F565" s="129"/>
      <c r="G565" s="132"/>
      <c r="H565" s="132"/>
    </row>
    <row r="566" spans="1:8">
      <c r="A566" s="127"/>
      <c r="B566" s="128"/>
      <c r="C566" s="132"/>
      <c r="D566" s="133"/>
      <c r="E566" s="132"/>
      <c r="F566" s="129"/>
      <c r="G566" s="132"/>
      <c r="H566" s="132"/>
    </row>
    <row r="567" spans="1:8">
      <c r="A567" s="127"/>
      <c r="B567" s="128"/>
      <c r="C567" s="132"/>
      <c r="D567" s="133"/>
      <c r="E567" s="132"/>
      <c r="F567" s="129"/>
      <c r="G567" s="132"/>
      <c r="H567" s="132"/>
    </row>
    <row r="568" spans="1:8">
      <c r="A568" s="127"/>
      <c r="B568" s="128"/>
      <c r="C568" s="132"/>
      <c r="D568" s="133"/>
      <c r="E568" s="132"/>
      <c r="F568" s="129"/>
      <c r="G568" s="132"/>
      <c r="H568" s="132"/>
    </row>
    <row r="569" spans="1:8">
      <c r="A569" s="127"/>
      <c r="B569" s="128"/>
      <c r="C569" s="132"/>
      <c r="D569" s="133"/>
      <c r="E569" s="132"/>
      <c r="F569" s="129"/>
      <c r="G569" s="132"/>
      <c r="H569" s="132"/>
    </row>
    <row r="570" spans="1:8">
      <c r="A570" s="127"/>
      <c r="B570" s="128"/>
      <c r="C570" s="132"/>
      <c r="D570" s="133"/>
      <c r="E570" s="132"/>
      <c r="F570" s="129"/>
      <c r="G570" s="132"/>
      <c r="H570" s="132"/>
    </row>
    <row r="571" spans="1:8">
      <c r="A571" s="127"/>
      <c r="B571" s="128"/>
      <c r="C571" s="132"/>
      <c r="D571" s="133"/>
      <c r="E571" s="132"/>
      <c r="F571" s="129"/>
      <c r="G571" s="132"/>
      <c r="H571" s="132"/>
    </row>
    <row r="572" spans="1:8">
      <c r="A572" s="127"/>
      <c r="B572" s="128"/>
      <c r="C572" s="132"/>
      <c r="D572" s="133"/>
      <c r="E572" s="132"/>
      <c r="F572" s="129"/>
      <c r="G572" s="132"/>
      <c r="H572" s="132"/>
    </row>
    <row r="573" spans="1:8">
      <c r="A573" s="127"/>
      <c r="B573" s="128"/>
      <c r="C573" s="132"/>
      <c r="D573" s="133"/>
      <c r="E573" s="132"/>
      <c r="F573" s="129"/>
      <c r="G573" s="132"/>
      <c r="H573" s="132"/>
    </row>
    <row r="574" spans="1:8">
      <c r="A574" s="127"/>
      <c r="B574" s="128"/>
      <c r="C574" s="132"/>
      <c r="D574" s="133"/>
      <c r="E574" s="132"/>
      <c r="F574" s="129"/>
      <c r="G574" s="132"/>
      <c r="H574" s="132"/>
    </row>
    <row r="575" spans="1:8">
      <c r="A575" s="127"/>
      <c r="B575" s="128"/>
      <c r="C575" s="132"/>
      <c r="D575" s="133"/>
      <c r="E575" s="132"/>
      <c r="F575" s="129"/>
      <c r="G575" s="132"/>
      <c r="H575" s="132"/>
    </row>
    <row r="576" spans="1:8">
      <c r="A576" s="127"/>
      <c r="B576" s="128"/>
      <c r="C576" s="132"/>
      <c r="D576" s="133"/>
      <c r="E576" s="132"/>
      <c r="F576" s="129"/>
      <c r="G576" s="132"/>
      <c r="H576" s="132"/>
    </row>
    <row r="577" spans="1:8">
      <c r="A577" s="127"/>
      <c r="B577" s="128"/>
      <c r="C577" s="132"/>
      <c r="D577" s="133"/>
      <c r="E577" s="132"/>
      <c r="F577" s="129"/>
      <c r="G577" s="132"/>
      <c r="H577" s="132"/>
    </row>
    <row r="578" spans="1:8">
      <c r="A578" s="127"/>
      <c r="B578" s="128"/>
      <c r="C578" s="132"/>
      <c r="D578" s="133"/>
      <c r="E578" s="132"/>
      <c r="F578" s="129"/>
      <c r="G578" s="132"/>
      <c r="H578" s="132"/>
    </row>
    <row r="579" spans="1:8">
      <c r="A579" s="127"/>
      <c r="B579" s="128"/>
      <c r="C579" s="132"/>
      <c r="D579" s="133"/>
      <c r="E579" s="132"/>
      <c r="F579" s="129"/>
      <c r="G579" s="132"/>
      <c r="H579" s="132"/>
    </row>
    <row r="580" spans="1:8">
      <c r="A580" s="127"/>
      <c r="B580" s="128"/>
      <c r="C580" s="132"/>
      <c r="D580" s="133"/>
      <c r="E580" s="132"/>
      <c r="F580" s="129"/>
      <c r="G580" s="132"/>
      <c r="H580" s="132"/>
    </row>
    <row r="581" spans="1:8">
      <c r="A581" s="127"/>
      <c r="B581" s="128"/>
      <c r="C581" s="132"/>
      <c r="D581" s="133"/>
      <c r="E581" s="132"/>
      <c r="F581" s="129"/>
      <c r="G581" s="132"/>
      <c r="H581" s="132"/>
    </row>
    <row r="582" spans="1:8">
      <c r="A582" s="127"/>
      <c r="B582" s="128"/>
      <c r="C582" s="132"/>
      <c r="D582" s="133"/>
      <c r="E582" s="132"/>
      <c r="F582" s="129"/>
      <c r="G582" s="132"/>
      <c r="H582" s="132"/>
    </row>
    <row r="583" spans="1:8">
      <c r="A583" s="127"/>
      <c r="B583" s="128"/>
      <c r="C583" s="132"/>
      <c r="D583" s="133"/>
      <c r="E583" s="132"/>
      <c r="F583" s="129"/>
      <c r="G583" s="132"/>
      <c r="H583" s="132"/>
    </row>
    <row r="584" spans="1:8">
      <c r="A584" s="127"/>
      <c r="B584" s="128"/>
      <c r="C584" s="132"/>
      <c r="D584" s="133"/>
      <c r="E584" s="132"/>
      <c r="F584" s="129"/>
      <c r="G584" s="132"/>
      <c r="H584" s="132"/>
    </row>
    <row r="585" spans="1:8">
      <c r="A585" s="127"/>
      <c r="B585" s="128"/>
      <c r="C585" s="132"/>
      <c r="D585" s="133"/>
      <c r="E585" s="132"/>
      <c r="F585" s="129"/>
      <c r="G585" s="132"/>
      <c r="H585" s="132"/>
    </row>
    <row r="586" spans="1:8">
      <c r="A586" s="127"/>
      <c r="B586" s="128"/>
      <c r="C586" s="132"/>
      <c r="D586" s="133"/>
      <c r="E586" s="132"/>
      <c r="F586" s="129"/>
      <c r="G586" s="132"/>
      <c r="H586" s="132"/>
    </row>
    <row r="587" spans="1:8">
      <c r="A587" s="127"/>
      <c r="B587" s="128"/>
      <c r="C587" s="132"/>
      <c r="D587" s="133"/>
      <c r="E587" s="132"/>
      <c r="F587" s="129"/>
      <c r="G587" s="132"/>
      <c r="H587" s="132"/>
    </row>
    <row r="588" spans="1:8">
      <c r="A588" s="127"/>
      <c r="B588" s="128"/>
      <c r="C588" s="132"/>
      <c r="D588" s="133"/>
      <c r="E588" s="132"/>
      <c r="F588" s="129"/>
      <c r="G588" s="132"/>
      <c r="H588" s="132"/>
    </row>
    <row r="589" spans="1:8">
      <c r="A589" s="127"/>
      <c r="B589" s="128"/>
      <c r="C589" s="132"/>
      <c r="D589" s="133"/>
      <c r="E589" s="132"/>
      <c r="F589" s="129"/>
      <c r="G589" s="132"/>
      <c r="H589" s="132"/>
    </row>
    <row r="590" spans="1:8">
      <c r="A590" s="127"/>
      <c r="B590" s="128"/>
      <c r="C590" s="132"/>
      <c r="D590" s="133"/>
      <c r="E590" s="132"/>
      <c r="F590" s="129"/>
      <c r="G590" s="132"/>
      <c r="H590" s="132"/>
    </row>
    <row r="591" spans="1:8">
      <c r="A591" s="127"/>
      <c r="B591" s="128"/>
      <c r="C591" s="132"/>
      <c r="D591" s="133"/>
      <c r="E591" s="132"/>
      <c r="F591" s="129"/>
      <c r="G591" s="132"/>
      <c r="H591" s="132"/>
    </row>
    <row r="592" spans="1:8">
      <c r="A592" s="127"/>
      <c r="B592" s="128"/>
      <c r="C592" s="132"/>
      <c r="D592" s="133"/>
      <c r="E592" s="132"/>
      <c r="F592" s="129"/>
      <c r="G592" s="132"/>
      <c r="H592" s="132"/>
    </row>
    <row r="593" spans="1:8">
      <c r="A593" s="127"/>
      <c r="B593" s="128"/>
      <c r="C593" s="132"/>
      <c r="D593" s="133"/>
      <c r="E593" s="132"/>
      <c r="F593" s="129"/>
      <c r="G593" s="132"/>
      <c r="H593" s="132"/>
    </row>
    <row r="594" spans="1:8">
      <c r="A594" s="127"/>
      <c r="B594" s="128"/>
      <c r="C594" s="132"/>
      <c r="D594" s="133"/>
      <c r="E594" s="132"/>
      <c r="F594" s="129"/>
      <c r="G594" s="132"/>
      <c r="H594" s="132"/>
    </row>
    <row r="595" spans="1:8">
      <c r="A595" s="127"/>
      <c r="B595" s="128"/>
      <c r="C595" s="132"/>
      <c r="D595" s="133"/>
      <c r="E595" s="132"/>
      <c r="F595" s="129"/>
      <c r="G595" s="132"/>
      <c r="H595" s="132"/>
    </row>
    <row r="596" spans="1:8">
      <c r="A596" s="127"/>
      <c r="B596" s="128"/>
      <c r="C596" s="132"/>
      <c r="D596" s="133"/>
      <c r="E596" s="132"/>
      <c r="F596" s="129"/>
      <c r="G596" s="132"/>
      <c r="H596" s="132"/>
    </row>
    <row r="597" spans="1:8">
      <c r="A597" s="127"/>
      <c r="B597" s="128"/>
      <c r="C597" s="132"/>
      <c r="D597" s="133"/>
      <c r="E597" s="132"/>
      <c r="F597" s="129"/>
      <c r="G597" s="132"/>
      <c r="H597" s="132"/>
    </row>
    <row r="598" spans="1:8">
      <c r="A598" s="127"/>
      <c r="B598" s="128"/>
      <c r="C598" s="132"/>
      <c r="D598" s="133"/>
      <c r="E598" s="132"/>
      <c r="F598" s="129"/>
      <c r="G598" s="132"/>
      <c r="H598" s="132"/>
    </row>
    <row r="599" spans="1:8">
      <c r="A599" s="127"/>
      <c r="B599" s="128"/>
      <c r="C599" s="132"/>
      <c r="D599" s="133"/>
      <c r="E599" s="132"/>
      <c r="F599" s="129"/>
      <c r="G599" s="132"/>
      <c r="H599" s="132"/>
    </row>
    <row r="600" spans="1:8">
      <c r="A600" s="127"/>
      <c r="B600" s="128"/>
      <c r="C600" s="132"/>
      <c r="D600" s="133"/>
      <c r="E600" s="132"/>
      <c r="F600" s="129"/>
      <c r="G600" s="132"/>
      <c r="H600" s="132"/>
    </row>
    <row r="601" spans="1:8">
      <c r="A601" s="127"/>
      <c r="B601" s="128"/>
      <c r="C601" s="132"/>
      <c r="D601" s="133"/>
      <c r="E601" s="132"/>
      <c r="F601" s="129"/>
      <c r="G601" s="132"/>
      <c r="H601" s="132"/>
    </row>
    <row r="602" spans="1:8">
      <c r="A602" s="127"/>
      <c r="B602" s="128"/>
      <c r="C602" s="132"/>
      <c r="D602" s="133"/>
      <c r="E602" s="132"/>
      <c r="F602" s="129"/>
      <c r="G602" s="132"/>
      <c r="H602" s="132"/>
    </row>
    <row r="603" spans="1:8">
      <c r="A603" s="127"/>
      <c r="B603" s="128"/>
      <c r="C603" s="132"/>
      <c r="D603" s="133"/>
      <c r="E603" s="132"/>
      <c r="F603" s="129"/>
      <c r="G603" s="132"/>
      <c r="H603" s="132"/>
    </row>
    <row r="604" spans="1:8">
      <c r="A604" s="127"/>
      <c r="B604" s="128"/>
      <c r="C604" s="132"/>
      <c r="D604" s="133"/>
      <c r="E604" s="132"/>
      <c r="F604" s="129"/>
      <c r="G604" s="132"/>
      <c r="H604" s="132"/>
    </row>
    <row r="605" spans="1:8">
      <c r="A605" s="127"/>
      <c r="B605" s="128"/>
      <c r="C605" s="132"/>
      <c r="D605" s="133"/>
      <c r="E605" s="132"/>
      <c r="F605" s="129"/>
      <c r="G605" s="132"/>
      <c r="H605" s="132"/>
    </row>
    <row r="606" spans="1:8">
      <c r="A606" s="127"/>
      <c r="B606" s="128"/>
      <c r="C606" s="132"/>
      <c r="D606" s="133"/>
      <c r="E606" s="132"/>
      <c r="F606" s="129"/>
      <c r="G606" s="132"/>
      <c r="H606" s="132"/>
    </row>
    <row r="607" spans="1:8">
      <c r="A607" s="127"/>
      <c r="B607" s="128"/>
      <c r="C607" s="132"/>
      <c r="D607" s="133"/>
      <c r="E607" s="132"/>
      <c r="F607" s="129"/>
      <c r="G607" s="132"/>
      <c r="H607" s="132"/>
    </row>
    <row r="608" spans="1:8">
      <c r="A608" s="127"/>
      <c r="B608" s="128"/>
      <c r="C608" s="132"/>
      <c r="D608" s="133"/>
      <c r="E608" s="132"/>
      <c r="F608" s="129"/>
      <c r="G608" s="132"/>
      <c r="H608" s="132"/>
    </row>
    <row r="609" spans="1:8">
      <c r="A609" s="127"/>
      <c r="B609" s="128"/>
      <c r="C609" s="132"/>
      <c r="D609" s="133"/>
      <c r="E609" s="132"/>
      <c r="F609" s="129"/>
      <c r="G609" s="132"/>
      <c r="H609" s="132"/>
    </row>
    <row r="610" spans="1:8">
      <c r="A610" s="127"/>
      <c r="B610" s="128"/>
      <c r="C610" s="132"/>
      <c r="D610" s="133"/>
      <c r="E610" s="132"/>
      <c r="F610" s="129"/>
      <c r="G610" s="132"/>
      <c r="H610" s="132"/>
    </row>
    <row r="611" spans="1:8">
      <c r="A611" s="127"/>
      <c r="B611" s="128"/>
      <c r="C611" s="132"/>
      <c r="D611" s="133"/>
      <c r="E611" s="132"/>
      <c r="F611" s="129"/>
      <c r="G611" s="132"/>
      <c r="H611" s="132"/>
    </row>
    <row r="612" spans="1:8">
      <c r="A612" s="127"/>
      <c r="B612" s="128"/>
      <c r="C612" s="132"/>
      <c r="D612" s="133"/>
      <c r="E612" s="132"/>
      <c r="F612" s="129"/>
      <c r="G612" s="132"/>
      <c r="H612" s="132"/>
    </row>
    <row r="613" spans="1:8">
      <c r="A613" s="127"/>
      <c r="B613" s="128"/>
      <c r="C613" s="132"/>
      <c r="D613" s="133"/>
      <c r="E613" s="132"/>
      <c r="F613" s="129"/>
      <c r="G613" s="132"/>
      <c r="H613" s="132"/>
    </row>
    <row r="614" spans="1:8">
      <c r="A614" s="127"/>
      <c r="B614" s="128"/>
      <c r="C614" s="132"/>
      <c r="D614" s="133"/>
      <c r="E614" s="132"/>
      <c r="F614" s="129"/>
      <c r="G614" s="132"/>
      <c r="H614" s="132"/>
    </row>
    <row r="615" spans="1:8">
      <c r="A615" s="127"/>
      <c r="B615" s="128"/>
      <c r="C615" s="132"/>
      <c r="D615" s="133"/>
      <c r="E615" s="132"/>
      <c r="F615" s="129"/>
      <c r="G615" s="132"/>
      <c r="H615" s="132"/>
    </row>
    <row r="616" spans="1:8">
      <c r="A616" s="127"/>
      <c r="B616" s="128"/>
      <c r="C616" s="132"/>
      <c r="D616" s="133"/>
      <c r="E616" s="132"/>
      <c r="F616" s="129"/>
      <c r="G616" s="132"/>
      <c r="H616" s="132"/>
    </row>
    <row r="617" spans="1:8">
      <c r="A617" s="127"/>
      <c r="B617" s="128"/>
      <c r="C617" s="132"/>
      <c r="D617" s="133"/>
      <c r="E617" s="132"/>
      <c r="F617" s="129"/>
      <c r="G617" s="132"/>
      <c r="H617" s="132"/>
    </row>
    <row r="618" spans="1:8">
      <c r="A618" s="127"/>
      <c r="B618" s="128"/>
      <c r="C618" s="132"/>
      <c r="D618" s="133"/>
      <c r="E618" s="132"/>
      <c r="F618" s="129"/>
      <c r="G618" s="132"/>
      <c r="H618" s="132"/>
    </row>
    <row r="619" spans="1:8">
      <c r="A619" s="127"/>
      <c r="B619" s="128"/>
      <c r="C619" s="132"/>
      <c r="D619" s="133"/>
      <c r="E619" s="132"/>
      <c r="F619" s="129"/>
      <c r="G619" s="132"/>
      <c r="H619" s="132"/>
    </row>
    <row r="620" spans="1:8">
      <c r="A620" s="127"/>
      <c r="B620" s="128"/>
      <c r="C620" s="132"/>
      <c r="D620" s="133"/>
      <c r="E620" s="132"/>
      <c r="F620" s="129"/>
      <c r="G620" s="132"/>
      <c r="H620" s="132"/>
    </row>
    <row r="621" spans="1:8">
      <c r="A621" s="127"/>
      <c r="B621" s="128"/>
      <c r="C621" s="132"/>
      <c r="D621" s="133"/>
      <c r="E621" s="132"/>
      <c r="F621" s="129"/>
      <c r="G621" s="132"/>
      <c r="H621" s="132"/>
    </row>
    <row r="622" spans="1:8">
      <c r="A622" s="127"/>
      <c r="B622" s="128"/>
      <c r="C622" s="132"/>
      <c r="D622" s="133"/>
      <c r="E622" s="132"/>
      <c r="F622" s="129"/>
      <c r="G622" s="132"/>
      <c r="H622" s="132"/>
    </row>
    <row r="623" spans="1:8">
      <c r="A623" s="127"/>
      <c r="B623" s="128"/>
      <c r="C623" s="132"/>
      <c r="D623" s="133"/>
      <c r="E623" s="132"/>
      <c r="F623" s="129"/>
      <c r="G623" s="132"/>
      <c r="H623" s="132"/>
    </row>
    <row r="624" spans="1:8">
      <c r="A624" s="127"/>
      <c r="B624" s="128"/>
      <c r="C624" s="132"/>
      <c r="D624" s="133"/>
      <c r="E624" s="132"/>
      <c r="F624" s="129"/>
      <c r="G624" s="132"/>
      <c r="H624" s="132"/>
    </row>
    <row r="625" spans="1:8">
      <c r="A625" s="127"/>
      <c r="B625" s="128"/>
      <c r="C625" s="132"/>
      <c r="D625" s="133"/>
      <c r="E625" s="132"/>
      <c r="F625" s="129"/>
      <c r="G625" s="132"/>
      <c r="H625" s="132"/>
    </row>
    <row r="626" spans="1:8">
      <c r="A626" s="127"/>
      <c r="B626" s="128"/>
      <c r="C626" s="132"/>
      <c r="D626" s="133"/>
      <c r="E626" s="132"/>
      <c r="F626" s="129"/>
      <c r="G626" s="132"/>
      <c r="H626" s="132"/>
    </row>
    <row r="627" spans="1:8">
      <c r="A627" s="127"/>
      <c r="B627" s="128"/>
      <c r="C627" s="132"/>
      <c r="D627" s="133"/>
      <c r="E627" s="132"/>
      <c r="F627" s="129"/>
      <c r="G627" s="132"/>
      <c r="H627" s="132"/>
    </row>
    <row r="628" spans="1:8">
      <c r="A628" s="127"/>
      <c r="B628" s="128"/>
      <c r="C628" s="132"/>
      <c r="D628" s="133"/>
      <c r="E628" s="132"/>
      <c r="F628" s="129"/>
      <c r="G628" s="132"/>
      <c r="H628" s="132"/>
    </row>
    <row r="629" spans="1:8">
      <c r="A629" s="127"/>
      <c r="B629" s="128"/>
      <c r="C629" s="132"/>
      <c r="D629" s="133"/>
      <c r="E629" s="132"/>
      <c r="F629" s="129"/>
      <c r="G629" s="132"/>
      <c r="H629" s="132"/>
    </row>
    <row r="630" spans="1:8">
      <c r="A630" s="127"/>
      <c r="B630" s="128"/>
      <c r="C630" s="132"/>
      <c r="D630" s="133"/>
      <c r="E630" s="132"/>
      <c r="F630" s="129"/>
      <c r="G630" s="132"/>
      <c r="H630" s="132"/>
    </row>
    <row r="631" spans="1:8">
      <c r="A631" s="127"/>
      <c r="B631" s="128"/>
      <c r="C631" s="132"/>
      <c r="D631" s="133"/>
      <c r="E631" s="132"/>
      <c r="F631" s="129"/>
      <c r="G631" s="132"/>
      <c r="H631" s="132"/>
    </row>
    <row r="632" spans="1:8">
      <c r="A632" s="127"/>
      <c r="B632" s="128"/>
      <c r="C632" s="132"/>
      <c r="D632" s="133"/>
      <c r="E632" s="132"/>
      <c r="F632" s="129"/>
      <c r="G632" s="132"/>
      <c r="H632" s="132"/>
    </row>
    <row r="633" spans="1:8">
      <c r="A633" s="127"/>
      <c r="B633" s="128"/>
      <c r="C633" s="132"/>
      <c r="D633" s="133"/>
      <c r="E633" s="132"/>
      <c r="F633" s="129"/>
      <c r="G633" s="132"/>
      <c r="H633" s="132"/>
    </row>
    <row r="634" spans="1:8">
      <c r="A634" s="127"/>
      <c r="B634" s="128"/>
      <c r="C634" s="132"/>
      <c r="D634" s="133"/>
      <c r="E634" s="132"/>
      <c r="F634" s="129"/>
      <c r="G634" s="132"/>
      <c r="H634" s="132"/>
    </row>
    <row r="635" spans="1:8">
      <c r="A635" s="127"/>
      <c r="B635" s="128"/>
      <c r="C635" s="132"/>
      <c r="D635" s="133"/>
      <c r="E635" s="132"/>
      <c r="F635" s="129"/>
      <c r="G635" s="132"/>
      <c r="H635" s="132"/>
    </row>
    <row r="636" spans="1:8">
      <c r="A636" s="127"/>
      <c r="B636" s="128"/>
      <c r="C636" s="132"/>
      <c r="D636" s="133"/>
      <c r="E636" s="132"/>
      <c r="F636" s="129"/>
      <c r="G636" s="132"/>
      <c r="H636" s="132"/>
    </row>
    <row r="637" spans="1:8">
      <c r="A637" s="127"/>
      <c r="B637" s="128"/>
      <c r="C637" s="132"/>
      <c r="D637" s="133"/>
      <c r="E637" s="132"/>
      <c r="F637" s="129"/>
      <c r="G637" s="132"/>
      <c r="H637" s="132"/>
    </row>
    <row r="638" spans="1:8">
      <c r="A638" s="127"/>
      <c r="B638" s="128"/>
      <c r="C638" s="132"/>
      <c r="D638" s="133"/>
      <c r="E638" s="132"/>
      <c r="F638" s="129"/>
      <c r="G638" s="132"/>
      <c r="H638" s="132"/>
    </row>
    <row r="639" spans="1:8">
      <c r="A639" s="127"/>
      <c r="B639" s="128"/>
      <c r="C639" s="132"/>
      <c r="D639" s="133"/>
      <c r="E639" s="132"/>
      <c r="F639" s="129"/>
      <c r="G639" s="132"/>
      <c r="H639" s="132"/>
    </row>
    <row r="640" spans="1:8">
      <c r="A640" s="127"/>
      <c r="B640" s="128"/>
      <c r="C640" s="132"/>
      <c r="D640" s="133"/>
      <c r="E640" s="132"/>
      <c r="F640" s="129"/>
      <c r="G640" s="132"/>
      <c r="H640" s="132"/>
    </row>
    <row r="641" spans="1:8">
      <c r="A641" s="127"/>
      <c r="B641" s="128"/>
      <c r="C641" s="132"/>
      <c r="D641" s="133"/>
      <c r="E641" s="132"/>
      <c r="F641" s="129"/>
      <c r="G641" s="132"/>
      <c r="H641" s="132"/>
    </row>
    <row r="642" spans="1:8">
      <c r="A642" s="127"/>
      <c r="B642" s="128"/>
      <c r="C642" s="132"/>
      <c r="D642" s="133"/>
      <c r="E642" s="132"/>
      <c r="F642" s="129"/>
      <c r="G642" s="132"/>
      <c r="H642" s="132"/>
    </row>
    <row r="643" spans="1:8">
      <c r="A643" s="127"/>
      <c r="B643" s="128"/>
      <c r="C643" s="132"/>
      <c r="D643" s="133"/>
      <c r="E643" s="132"/>
      <c r="F643" s="129"/>
      <c r="G643" s="132"/>
      <c r="H643" s="132"/>
    </row>
    <row r="644" spans="1:8">
      <c r="A644" s="127"/>
      <c r="B644" s="128"/>
      <c r="C644" s="132"/>
      <c r="D644" s="133"/>
      <c r="E644" s="132"/>
      <c r="F644" s="129"/>
      <c r="G644" s="132"/>
      <c r="H644" s="132"/>
    </row>
    <row r="645" spans="1:8">
      <c r="A645" s="127"/>
      <c r="B645" s="128"/>
      <c r="C645" s="132"/>
      <c r="D645" s="133"/>
      <c r="E645" s="132"/>
      <c r="F645" s="129"/>
      <c r="G645" s="132"/>
      <c r="H645" s="132"/>
    </row>
    <row r="646" spans="1:8">
      <c r="A646" s="127"/>
      <c r="B646" s="128"/>
      <c r="C646" s="132"/>
      <c r="D646" s="133"/>
      <c r="E646" s="132"/>
      <c r="F646" s="129"/>
      <c r="G646" s="132"/>
      <c r="H646" s="132"/>
    </row>
    <row r="647" spans="1:8">
      <c r="A647" s="127"/>
      <c r="B647" s="128"/>
      <c r="C647" s="132"/>
      <c r="D647" s="133"/>
      <c r="E647" s="132"/>
      <c r="F647" s="129"/>
      <c r="G647" s="132"/>
      <c r="H647" s="132"/>
    </row>
    <row r="648" spans="1:8">
      <c r="A648" s="127"/>
      <c r="B648" s="128"/>
      <c r="C648" s="132"/>
      <c r="D648" s="133"/>
      <c r="E648" s="132"/>
      <c r="F648" s="129"/>
      <c r="G648" s="132"/>
      <c r="H648" s="132"/>
    </row>
    <row r="649" spans="1:8">
      <c r="A649" s="127"/>
      <c r="B649" s="128"/>
      <c r="C649" s="132"/>
      <c r="D649" s="133"/>
      <c r="E649" s="132"/>
      <c r="F649" s="129"/>
      <c r="G649" s="132"/>
      <c r="H649" s="132"/>
    </row>
    <row r="650" spans="1:8">
      <c r="A650" s="127"/>
      <c r="B650" s="128"/>
      <c r="C650" s="132"/>
      <c r="D650" s="133"/>
      <c r="E650" s="132"/>
      <c r="F650" s="129"/>
      <c r="G650" s="132"/>
      <c r="H650" s="132"/>
    </row>
    <row r="651" spans="1:8">
      <c r="A651" s="127"/>
      <c r="B651" s="128"/>
      <c r="C651" s="132"/>
      <c r="D651" s="133"/>
      <c r="E651" s="132"/>
      <c r="F651" s="129"/>
      <c r="G651" s="132"/>
      <c r="H651" s="132"/>
    </row>
    <row r="652" spans="1:8">
      <c r="A652" s="127"/>
      <c r="B652" s="128"/>
      <c r="C652" s="132"/>
      <c r="D652" s="133"/>
      <c r="E652" s="132"/>
      <c r="F652" s="129"/>
      <c r="G652" s="132"/>
      <c r="H652" s="132"/>
    </row>
    <row r="653" spans="1:8">
      <c r="A653" s="127"/>
      <c r="B653" s="128"/>
      <c r="C653" s="132"/>
      <c r="D653" s="133"/>
      <c r="E653" s="132"/>
      <c r="F653" s="129"/>
      <c r="G653" s="132"/>
      <c r="H653" s="132"/>
    </row>
    <row r="654" spans="1:8">
      <c r="A654" s="127"/>
      <c r="B654" s="128"/>
      <c r="C654" s="132"/>
      <c r="D654" s="133"/>
      <c r="E654" s="132"/>
      <c r="F654" s="129"/>
      <c r="G654" s="132"/>
      <c r="H654" s="132"/>
    </row>
    <row r="655" spans="1:8">
      <c r="A655" s="127"/>
      <c r="B655" s="128"/>
      <c r="C655" s="132"/>
      <c r="D655" s="133"/>
      <c r="E655" s="132"/>
      <c r="F655" s="129"/>
      <c r="G655" s="132"/>
      <c r="H655" s="132"/>
    </row>
    <row r="656" spans="1:8">
      <c r="A656" s="127"/>
      <c r="B656" s="128"/>
      <c r="C656" s="132"/>
      <c r="D656" s="133"/>
      <c r="E656" s="132"/>
      <c r="F656" s="129"/>
      <c r="G656" s="132"/>
      <c r="H656" s="132"/>
    </row>
    <row r="657" spans="1:8">
      <c r="A657" s="127"/>
      <c r="B657" s="128"/>
      <c r="C657" s="132"/>
      <c r="D657" s="133"/>
      <c r="E657" s="132"/>
      <c r="F657" s="129"/>
      <c r="G657" s="132"/>
      <c r="H657" s="132"/>
    </row>
    <row r="658" spans="1:8">
      <c r="A658" s="127"/>
      <c r="B658" s="128"/>
      <c r="C658" s="132"/>
      <c r="D658" s="133"/>
      <c r="E658" s="132"/>
      <c r="F658" s="129"/>
      <c r="G658" s="132"/>
      <c r="H658" s="132"/>
    </row>
    <row r="659" spans="1:8">
      <c r="A659" s="127"/>
      <c r="B659" s="128"/>
      <c r="C659" s="132"/>
      <c r="D659" s="133"/>
      <c r="E659" s="132"/>
      <c r="F659" s="129"/>
      <c r="G659" s="132"/>
      <c r="H659" s="132"/>
    </row>
    <row r="660" spans="1:8">
      <c r="A660" s="127"/>
      <c r="B660" s="128"/>
      <c r="C660" s="132"/>
      <c r="D660" s="133"/>
      <c r="E660" s="132"/>
      <c r="F660" s="129"/>
      <c r="G660" s="132"/>
      <c r="H660" s="132"/>
    </row>
    <row r="661" spans="1:8">
      <c r="A661" s="127"/>
      <c r="B661" s="128"/>
      <c r="C661" s="132"/>
      <c r="D661" s="133"/>
      <c r="E661" s="132"/>
      <c r="F661" s="129"/>
      <c r="G661" s="132"/>
      <c r="H661" s="132"/>
    </row>
    <row r="662" spans="1:8">
      <c r="A662" s="127"/>
      <c r="B662" s="128"/>
      <c r="C662" s="132"/>
      <c r="D662" s="133"/>
      <c r="E662" s="132"/>
      <c r="F662" s="129"/>
      <c r="G662" s="132"/>
      <c r="H662" s="132"/>
    </row>
    <row r="663" spans="1:8">
      <c r="A663" s="127"/>
      <c r="B663" s="128"/>
      <c r="C663" s="132"/>
      <c r="D663" s="133"/>
      <c r="E663" s="132"/>
      <c r="F663" s="129"/>
      <c r="G663" s="132"/>
      <c r="H663" s="132"/>
    </row>
    <row r="664" spans="1:8">
      <c r="A664" s="127"/>
      <c r="B664" s="128"/>
      <c r="C664" s="132"/>
      <c r="D664" s="133"/>
      <c r="E664" s="132"/>
      <c r="F664" s="129"/>
      <c r="G664" s="132"/>
      <c r="H664" s="132"/>
    </row>
    <row r="665" spans="1:8">
      <c r="A665" s="127"/>
      <c r="B665" s="128"/>
      <c r="C665" s="132"/>
      <c r="D665" s="133"/>
      <c r="E665" s="132"/>
      <c r="F665" s="129"/>
      <c r="G665" s="132"/>
      <c r="H665" s="132"/>
    </row>
    <row r="666" spans="1:8">
      <c r="A666" s="127"/>
      <c r="B666" s="128"/>
      <c r="C666" s="132"/>
      <c r="D666" s="133"/>
      <c r="E666" s="132"/>
      <c r="F666" s="129"/>
      <c r="G666" s="132"/>
      <c r="H666" s="132"/>
    </row>
    <row r="667" spans="1:8">
      <c r="A667" s="127"/>
      <c r="B667" s="128"/>
      <c r="C667" s="132"/>
      <c r="D667" s="133"/>
      <c r="E667" s="132"/>
      <c r="F667" s="129"/>
      <c r="G667" s="132"/>
      <c r="H667" s="132"/>
    </row>
    <row r="668" spans="1:8">
      <c r="A668" s="127"/>
      <c r="B668" s="128"/>
      <c r="C668" s="132"/>
      <c r="D668" s="133"/>
      <c r="E668" s="132"/>
      <c r="F668" s="129"/>
      <c r="G668" s="132"/>
      <c r="H668" s="132"/>
    </row>
    <row r="669" spans="1:8">
      <c r="A669" s="127"/>
      <c r="B669" s="128"/>
      <c r="C669" s="132"/>
      <c r="D669" s="133"/>
      <c r="E669" s="132"/>
      <c r="F669" s="129"/>
      <c r="G669" s="132"/>
      <c r="H669" s="132"/>
    </row>
    <row r="670" spans="1:8">
      <c r="A670" s="127"/>
      <c r="B670" s="128"/>
      <c r="C670" s="132"/>
      <c r="D670" s="133"/>
      <c r="E670" s="132"/>
      <c r="F670" s="129"/>
      <c r="G670" s="132"/>
      <c r="H670" s="132"/>
    </row>
    <row r="671" spans="1:8">
      <c r="A671" s="127"/>
      <c r="B671" s="128"/>
      <c r="C671" s="132"/>
      <c r="D671" s="133"/>
      <c r="E671" s="132"/>
      <c r="F671" s="129"/>
      <c r="G671" s="132"/>
      <c r="H671" s="132"/>
    </row>
    <row r="672" spans="1:8">
      <c r="A672" s="127"/>
      <c r="B672" s="128"/>
      <c r="C672" s="132"/>
      <c r="D672" s="133"/>
      <c r="E672" s="132"/>
      <c r="F672" s="129"/>
      <c r="G672" s="132"/>
      <c r="H672" s="132"/>
    </row>
    <row r="673" spans="1:8">
      <c r="A673" s="127"/>
      <c r="B673" s="128"/>
      <c r="C673" s="132"/>
      <c r="D673" s="133"/>
      <c r="E673" s="132"/>
      <c r="F673" s="129"/>
      <c r="G673" s="132"/>
      <c r="H673" s="132"/>
    </row>
    <row r="674" spans="1:8">
      <c r="A674" s="127"/>
      <c r="B674" s="128"/>
      <c r="C674" s="132"/>
      <c r="D674" s="133"/>
      <c r="E674" s="132"/>
      <c r="F674" s="129"/>
      <c r="G674" s="132"/>
      <c r="H674" s="132"/>
    </row>
    <row r="675" spans="1:8">
      <c r="A675" s="127"/>
      <c r="B675" s="128"/>
      <c r="C675" s="132"/>
      <c r="D675" s="133"/>
      <c r="E675" s="132"/>
      <c r="F675" s="129"/>
      <c r="G675" s="132"/>
      <c r="H675" s="132"/>
    </row>
    <row r="676" spans="1:8">
      <c r="A676" s="127"/>
      <c r="B676" s="128"/>
      <c r="C676" s="132"/>
      <c r="D676" s="133"/>
      <c r="E676" s="132"/>
      <c r="F676" s="129"/>
      <c r="G676" s="132"/>
      <c r="H676" s="132"/>
    </row>
    <row r="677" spans="1:8">
      <c r="A677" s="127"/>
      <c r="B677" s="128"/>
      <c r="C677" s="132"/>
      <c r="D677" s="133"/>
      <c r="E677" s="132"/>
      <c r="F677" s="129"/>
      <c r="G677" s="132"/>
      <c r="H677" s="132"/>
    </row>
    <row r="678" spans="1:8">
      <c r="A678" s="127"/>
      <c r="B678" s="128"/>
      <c r="C678" s="132"/>
      <c r="D678" s="133"/>
      <c r="E678" s="132"/>
      <c r="F678" s="129"/>
      <c r="G678" s="132"/>
      <c r="H678" s="132"/>
    </row>
    <row r="679" spans="1:8">
      <c r="A679" s="127"/>
      <c r="B679" s="128"/>
      <c r="C679" s="132"/>
      <c r="D679" s="133"/>
      <c r="E679" s="132"/>
      <c r="F679" s="129"/>
      <c r="G679" s="132"/>
      <c r="H679" s="132"/>
    </row>
    <row r="680" spans="1:8">
      <c r="A680" s="127"/>
      <c r="B680" s="128"/>
      <c r="C680" s="132"/>
      <c r="D680" s="133"/>
      <c r="E680" s="132"/>
      <c r="F680" s="129"/>
      <c r="G680" s="132"/>
      <c r="H680" s="132"/>
    </row>
    <row r="681" spans="1:8">
      <c r="A681" s="127"/>
      <c r="B681" s="128"/>
      <c r="C681" s="132"/>
      <c r="D681" s="133"/>
      <c r="E681" s="132"/>
      <c r="F681" s="129"/>
      <c r="G681" s="132"/>
      <c r="H681" s="132"/>
    </row>
    <row r="682" spans="1:8">
      <c r="A682" s="127"/>
      <c r="B682" s="128"/>
      <c r="C682" s="132"/>
      <c r="D682" s="133"/>
      <c r="E682" s="132"/>
      <c r="F682" s="129"/>
      <c r="G682" s="132"/>
      <c r="H682" s="132"/>
    </row>
    <row r="683" spans="1:8">
      <c r="A683" s="127"/>
      <c r="B683" s="128"/>
      <c r="C683" s="132"/>
      <c r="D683" s="133"/>
      <c r="E683" s="132"/>
      <c r="F683" s="129"/>
      <c r="G683" s="132"/>
      <c r="H683" s="132"/>
    </row>
    <row r="684" spans="1:8">
      <c r="A684" s="127"/>
      <c r="B684" s="128"/>
      <c r="C684" s="132"/>
      <c r="D684" s="133"/>
      <c r="E684" s="132"/>
      <c r="F684" s="129"/>
      <c r="G684" s="132"/>
      <c r="H684" s="132"/>
    </row>
    <row r="685" spans="1:8">
      <c r="A685" s="127"/>
      <c r="B685" s="128"/>
      <c r="C685" s="132"/>
      <c r="D685" s="133"/>
      <c r="E685" s="132"/>
      <c r="F685" s="129"/>
      <c r="G685" s="132"/>
      <c r="H685" s="132"/>
    </row>
    <row r="686" spans="1:8">
      <c r="A686" s="127"/>
      <c r="B686" s="128"/>
      <c r="C686" s="132"/>
      <c r="D686" s="133"/>
      <c r="E686" s="132"/>
      <c r="F686" s="129"/>
      <c r="G686" s="132"/>
      <c r="H686" s="132"/>
    </row>
    <row r="687" spans="1:8">
      <c r="A687" s="127"/>
      <c r="B687" s="128"/>
      <c r="C687" s="132"/>
      <c r="D687" s="133"/>
      <c r="E687" s="132"/>
      <c r="F687" s="129"/>
      <c r="G687" s="132"/>
      <c r="H687" s="132"/>
    </row>
    <row r="688" spans="1:8">
      <c r="A688" s="127"/>
      <c r="B688" s="128"/>
      <c r="C688" s="132"/>
      <c r="D688" s="133"/>
      <c r="E688" s="132"/>
      <c r="F688" s="129"/>
      <c r="G688" s="132"/>
      <c r="H688" s="132"/>
    </row>
    <row r="689" spans="1:8">
      <c r="A689" s="127"/>
      <c r="B689" s="128"/>
      <c r="C689" s="132"/>
      <c r="D689" s="133"/>
      <c r="E689" s="132"/>
      <c r="F689" s="129"/>
      <c r="G689" s="132"/>
      <c r="H689" s="132"/>
    </row>
    <row r="690" spans="1:8">
      <c r="A690" s="127"/>
      <c r="B690" s="128"/>
      <c r="C690" s="132"/>
      <c r="D690" s="133"/>
      <c r="E690" s="132"/>
      <c r="F690" s="129"/>
      <c r="G690" s="132"/>
      <c r="H690" s="132"/>
    </row>
    <row r="691" spans="1:8">
      <c r="A691" s="127"/>
      <c r="B691" s="128"/>
      <c r="C691" s="132"/>
      <c r="D691" s="133"/>
      <c r="E691" s="132"/>
      <c r="F691" s="129"/>
      <c r="G691" s="132"/>
      <c r="H691" s="132"/>
    </row>
    <row r="692" spans="1:8">
      <c r="A692" s="127"/>
      <c r="B692" s="128"/>
      <c r="C692" s="132"/>
      <c r="D692" s="133"/>
      <c r="E692" s="132"/>
      <c r="F692" s="129"/>
      <c r="G692" s="132"/>
      <c r="H692" s="132"/>
    </row>
    <row r="693" spans="1:8">
      <c r="A693" s="127"/>
      <c r="B693" s="128"/>
      <c r="C693" s="132"/>
      <c r="D693" s="133"/>
      <c r="E693" s="132"/>
      <c r="F693" s="129"/>
      <c r="G693" s="132"/>
      <c r="H693" s="132"/>
    </row>
    <row r="694" spans="1:8">
      <c r="A694" s="127"/>
      <c r="B694" s="128"/>
      <c r="C694" s="132"/>
      <c r="D694" s="133"/>
      <c r="E694" s="132"/>
      <c r="F694" s="129"/>
      <c r="G694" s="132"/>
      <c r="H694" s="132"/>
    </row>
    <row r="695" spans="1:8">
      <c r="A695" s="127"/>
      <c r="B695" s="128"/>
      <c r="C695" s="132"/>
      <c r="D695" s="133"/>
      <c r="E695" s="132"/>
      <c r="F695" s="129"/>
      <c r="G695" s="132"/>
      <c r="H695" s="132"/>
    </row>
    <row r="696" spans="1:8">
      <c r="A696" s="127"/>
      <c r="B696" s="128"/>
      <c r="C696" s="132"/>
      <c r="D696" s="133"/>
      <c r="E696" s="132"/>
      <c r="F696" s="129"/>
      <c r="G696" s="132"/>
      <c r="H696" s="132"/>
    </row>
    <row r="697" spans="1:8">
      <c r="A697" s="127"/>
      <c r="B697" s="128"/>
      <c r="C697" s="132"/>
      <c r="D697" s="133"/>
      <c r="E697" s="132"/>
      <c r="F697" s="129"/>
      <c r="G697" s="132"/>
      <c r="H697" s="132"/>
    </row>
    <row r="698" spans="1:8">
      <c r="A698" s="127"/>
      <c r="B698" s="128"/>
      <c r="C698" s="132"/>
      <c r="D698" s="133"/>
      <c r="E698" s="132"/>
      <c r="F698" s="129"/>
      <c r="G698" s="132"/>
      <c r="H698" s="132"/>
    </row>
    <row r="699" spans="1:8">
      <c r="A699" s="127"/>
      <c r="B699" s="128"/>
      <c r="C699" s="132"/>
      <c r="D699" s="133"/>
      <c r="E699" s="132"/>
      <c r="F699" s="129"/>
      <c r="G699" s="132"/>
      <c r="H699" s="132"/>
    </row>
    <row r="700" spans="1:8">
      <c r="A700" s="127"/>
      <c r="B700" s="128"/>
      <c r="C700" s="132"/>
      <c r="D700" s="133"/>
      <c r="E700" s="132"/>
      <c r="F700" s="129"/>
      <c r="G700" s="132"/>
      <c r="H700" s="132"/>
    </row>
    <row r="701" spans="1:8">
      <c r="A701" s="127"/>
      <c r="B701" s="128"/>
      <c r="C701" s="132"/>
      <c r="D701" s="133"/>
      <c r="E701" s="132"/>
      <c r="F701" s="129"/>
      <c r="G701" s="132"/>
      <c r="H701" s="132"/>
    </row>
    <row r="702" spans="1:8">
      <c r="A702" s="127"/>
      <c r="B702" s="128"/>
      <c r="C702" s="132"/>
      <c r="D702" s="133"/>
      <c r="E702" s="132"/>
      <c r="F702" s="129"/>
      <c r="G702" s="132"/>
      <c r="H702" s="132"/>
    </row>
    <row r="703" spans="1:8">
      <c r="A703" s="127"/>
      <c r="B703" s="128"/>
      <c r="C703" s="132"/>
      <c r="D703" s="133"/>
      <c r="E703" s="132"/>
      <c r="F703" s="129"/>
      <c r="G703" s="132"/>
      <c r="H703" s="132"/>
    </row>
    <row r="704" spans="1:8">
      <c r="A704" s="127"/>
      <c r="B704" s="128"/>
      <c r="C704" s="132"/>
      <c r="D704" s="133"/>
      <c r="E704" s="132"/>
      <c r="F704" s="129"/>
      <c r="G704" s="132"/>
      <c r="H704" s="132"/>
    </row>
    <row r="705" spans="1:8">
      <c r="A705" s="127"/>
      <c r="B705" s="128"/>
      <c r="C705" s="132"/>
      <c r="D705" s="133"/>
      <c r="E705" s="132"/>
      <c r="F705" s="129"/>
      <c r="G705" s="132"/>
      <c r="H705" s="132"/>
    </row>
    <row r="706" spans="1:8">
      <c r="A706" s="127"/>
      <c r="B706" s="128"/>
      <c r="C706" s="132"/>
      <c r="D706" s="133"/>
      <c r="E706" s="132"/>
      <c r="F706" s="129"/>
      <c r="G706" s="132"/>
      <c r="H706" s="132"/>
    </row>
    <row r="707" spans="1:8">
      <c r="A707" s="127"/>
      <c r="B707" s="128"/>
      <c r="C707" s="132"/>
      <c r="D707" s="133"/>
      <c r="E707" s="132"/>
      <c r="F707" s="129"/>
      <c r="G707" s="132"/>
      <c r="H707" s="132"/>
    </row>
    <row r="708" spans="1:8">
      <c r="A708" s="127"/>
      <c r="B708" s="128"/>
      <c r="C708" s="132"/>
      <c r="D708" s="133"/>
      <c r="E708" s="132"/>
      <c r="F708" s="129"/>
      <c r="G708" s="132"/>
      <c r="H708" s="132"/>
    </row>
    <row r="709" spans="1:8">
      <c r="A709" s="127"/>
      <c r="B709" s="128"/>
      <c r="C709" s="132"/>
      <c r="D709" s="133"/>
      <c r="E709" s="132"/>
      <c r="F709" s="129"/>
      <c r="G709" s="132"/>
      <c r="H709" s="132"/>
    </row>
    <row r="710" spans="1:8">
      <c r="A710" s="127"/>
      <c r="B710" s="128"/>
      <c r="C710" s="132"/>
      <c r="D710" s="133"/>
      <c r="E710" s="132"/>
      <c r="F710" s="129"/>
      <c r="G710" s="132"/>
      <c r="H710" s="132"/>
    </row>
    <row r="711" spans="1:8">
      <c r="A711" s="127"/>
      <c r="B711" s="128"/>
      <c r="C711" s="132"/>
      <c r="D711" s="133"/>
      <c r="E711" s="132"/>
      <c r="F711" s="129"/>
      <c r="G711" s="132"/>
      <c r="H711" s="132"/>
    </row>
    <row r="712" spans="1:8">
      <c r="A712" s="127"/>
      <c r="B712" s="128"/>
      <c r="C712" s="132"/>
      <c r="D712" s="133"/>
      <c r="E712" s="132"/>
      <c r="F712" s="129"/>
      <c r="G712" s="132"/>
      <c r="H712" s="132"/>
    </row>
    <row r="713" spans="1:8">
      <c r="A713" s="127"/>
      <c r="B713" s="128"/>
      <c r="C713" s="132"/>
      <c r="D713" s="133"/>
      <c r="E713" s="132"/>
      <c r="F713" s="129"/>
      <c r="G713" s="132"/>
      <c r="H713" s="132"/>
    </row>
    <row r="714" spans="1:8">
      <c r="A714" s="127"/>
      <c r="B714" s="128"/>
      <c r="C714" s="132"/>
      <c r="D714" s="133"/>
      <c r="E714" s="132"/>
      <c r="F714" s="129"/>
      <c r="G714" s="132"/>
      <c r="H714" s="132"/>
    </row>
    <row r="715" spans="1:8">
      <c r="A715" s="127"/>
      <c r="B715" s="128"/>
      <c r="C715" s="132"/>
      <c r="D715" s="133"/>
      <c r="E715" s="132"/>
      <c r="F715" s="129"/>
      <c r="G715" s="132"/>
      <c r="H715" s="132"/>
    </row>
    <row r="716" spans="1:8">
      <c r="A716" s="127"/>
      <c r="B716" s="128"/>
      <c r="C716" s="132"/>
      <c r="D716" s="133"/>
      <c r="E716" s="132"/>
      <c r="F716" s="129"/>
      <c r="G716" s="132"/>
      <c r="H716" s="132"/>
    </row>
    <row r="717" spans="1:8">
      <c r="A717" s="127"/>
      <c r="B717" s="128"/>
      <c r="C717" s="132"/>
      <c r="D717" s="133"/>
      <c r="E717" s="132"/>
      <c r="F717" s="129"/>
      <c r="G717" s="132"/>
      <c r="H717" s="132"/>
    </row>
    <row r="718" spans="1:8">
      <c r="A718" s="127"/>
      <c r="B718" s="128"/>
      <c r="C718" s="132"/>
      <c r="D718" s="133"/>
      <c r="E718" s="132"/>
      <c r="F718" s="129"/>
      <c r="G718" s="132"/>
      <c r="H718" s="132"/>
    </row>
    <row r="719" spans="1:8">
      <c r="A719" s="127"/>
      <c r="B719" s="128"/>
      <c r="C719" s="132"/>
      <c r="D719" s="133"/>
      <c r="E719" s="132"/>
      <c r="F719" s="129"/>
      <c r="G719" s="132"/>
      <c r="H719" s="132"/>
    </row>
    <row r="720" spans="1:8">
      <c r="A720" s="127"/>
      <c r="B720" s="128"/>
      <c r="C720" s="132"/>
      <c r="D720" s="133"/>
      <c r="E720" s="132"/>
      <c r="F720" s="129"/>
      <c r="G720" s="132"/>
      <c r="H720" s="132"/>
    </row>
    <row r="721" spans="1:8">
      <c r="A721" s="127"/>
      <c r="B721" s="128"/>
      <c r="C721" s="132"/>
      <c r="D721" s="133"/>
      <c r="E721" s="132"/>
      <c r="F721" s="129"/>
      <c r="G721" s="132"/>
      <c r="H721" s="132"/>
    </row>
    <row r="722" spans="1:8">
      <c r="A722" s="127"/>
      <c r="B722" s="128"/>
      <c r="C722" s="132"/>
      <c r="D722" s="133"/>
      <c r="E722" s="132"/>
      <c r="F722" s="129"/>
      <c r="G722" s="132"/>
      <c r="H722" s="132"/>
    </row>
    <row r="723" spans="1:8">
      <c r="A723" s="127"/>
      <c r="B723" s="128"/>
      <c r="C723" s="132"/>
      <c r="D723" s="133"/>
      <c r="E723" s="132"/>
      <c r="F723" s="129"/>
      <c r="G723" s="132"/>
      <c r="H723" s="132"/>
    </row>
    <row r="724" spans="1:8">
      <c r="A724" s="127"/>
      <c r="B724" s="128"/>
      <c r="C724" s="132"/>
      <c r="D724" s="133"/>
      <c r="E724" s="132"/>
      <c r="F724" s="129"/>
      <c r="G724" s="132"/>
      <c r="H724" s="132"/>
    </row>
    <row r="725" spans="1:8">
      <c r="A725" s="127"/>
      <c r="B725" s="128"/>
      <c r="C725" s="132"/>
      <c r="D725" s="133"/>
      <c r="E725" s="132"/>
      <c r="F725" s="129"/>
      <c r="G725" s="132"/>
      <c r="H725" s="132"/>
    </row>
    <row r="726" spans="1:8">
      <c r="A726" s="127"/>
      <c r="B726" s="128"/>
      <c r="C726" s="132"/>
      <c r="D726" s="133"/>
      <c r="E726" s="132"/>
      <c r="F726" s="129"/>
      <c r="G726" s="132"/>
      <c r="H726" s="132"/>
    </row>
    <row r="727" spans="1:8">
      <c r="A727" s="127"/>
      <c r="B727" s="128"/>
      <c r="C727" s="132"/>
      <c r="D727" s="133"/>
      <c r="E727" s="132"/>
      <c r="F727" s="129"/>
      <c r="G727" s="132"/>
      <c r="H727" s="132"/>
    </row>
    <row r="728" spans="1:8">
      <c r="A728" s="127"/>
      <c r="B728" s="128"/>
      <c r="C728" s="132"/>
      <c r="D728" s="133"/>
      <c r="E728" s="132"/>
      <c r="F728" s="129"/>
      <c r="G728" s="132"/>
      <c r="H728" s="132"/>
    </row>
    <row r="729" spans="1:8">
      <c r="A729" s="127"/>
      <c r="B729" s="128"/>
      <c r="C729" s="132"/>
      <c r="D729" s="133"/>
      <c r="E729" s="132"/>
      <c r="F729" s="129"/>
      <c r="G729" s="132"/>
      <c r="H729" s="132"/>
    </row>
    <row r="730" spans="1:8">
      <c r="A730" s="127"/>
      <c r="B730" s="128"/>
      <c r="C730" s="132"/>
      <c r="D730" s="133"/>
      <c r="E730" s="132"/>
      <c r="F730" s="129"/>
      <c r="G730" s="132"/>
      <c r="H730" s="132"/>
    </row>
    <row r="731" spans="1:8">
      <c r="A731" s="127"/>
      <c r="B731" s="128"/>
      <c r="C731" s="132"/>
      <c r="D731" s="133"/>
      <c r="E731" s="132"/>
      <c r="F731" s="129"/>
      <c r="G731" s="132"/>
      <c r="H731" s="132"/>
    </row>
    <row r="732" spans="1:8">
      <c r="A732" s="127"/>
      <c r="B732" s="128"/>
      <c r="C732" s="132"/>
      <c r="D732" s="133"/>
      <c r="E732" s="132"/>
      <c r="F732" s="129"/>
      <c r="G732" s="132"/>
      <c r="H732" s="132"/>
    </row>
    <row r="733" spans="1:8">
      <c r="A733" s="127"/>
      <c r="B733" s="128"/>
      <c r="C733" s="132"/>
      <c r="D733" s="133"/>
      <c r="E733" s="132"/>
      <c r="F733" s="129"/>
      <c r="G733" s="132"/>
      <c r="H733" s="132"/>
    </row>
    <row r="734" spans="1:8">
      <c r="A734" s="127"/>
      <c r="B734" s="128"/>
      <c r="C734" s="132"/>
      <c r="D734" s="133"/>
      <c r="E734" s="132"/>
      <c r="F734" s="129"/>
      <c r="G734" s="132"/>
      <c r="H734" s="132"/>
    </row>
    <row r="735" spans="1:8">
      <c r="A735" s="127"/>
      <c r="B735" s="128"/>
      <c r="C735" s="132"/>
      <c r="D735" s="133"/>
      <c r="E735" s="132"/>
      <c r="F735" s="129"/>
      <c r="G735" s="132"/>
      <c r="H735" s="132"/>
    </row>
    <row r="736" spans="1:8">
      <c r="A736" s="127"/>
      <c r="B736" s="128"/>
      <c r="C736" s="132"/>
      <c r="D736" s="133"/>
      <c r="E736" s="132"/>
      <c r="F736" s="129"/>
      <c r="G736" s="132"/>
      <c r="H736" s="132"/>
    </row>
    <row r="737" spans="1:8">
      <c r="A737" s="127"/>
      <c r="B737" s="128"/>
      <c r="C737" s="132"/>
      <c r="D737" s="133"/>
      <c r="E737" s="132"/>
      <c r="F737" s="129"/>
      <c r="G737" s="132"/>
      <c r="H737" s="132"/>
    </row>
    <row r="738" spans="1:8">
      <c r="A738" s="127"/>
      <c r="B738" s="128"/>
      <c r="C738" s="132"/>
      <c r="D738" s="133"/>
      <c r="E738" s="132"/>
      <c r="F738" s="129"/>
      <c r="G738" s="132"/>
      <c r="H738" s="132"/>
    </row>
    <row r="739" spans="1:8">
      <c r="A739" s="127"/>
      <c r="B739" s="128"/>
      <c r="C739" s="132"/>
      <c r="D739" s="133"/>
      <c r="E739" s="132"/>
      <c r="F739" s="129"/>
      <c r="G739" s="132"/>
      <c r="H739" s="132"/>
    </row>
    <row r="740" spans="1:8">
      <c r="A740" s="127"/>
      <c r="B740" s="128"/>
      <c r="C740" s="132"/>
      <c r="D740" s="133"/>
      <c r="E740" s="132"/>
      <c r="F740" s="129"/>
      <c r="G740" s="132"/>
      <c r="H740" s="132"/>
    </row>
    <row r="741" spans="1:8">
      <c r="A741" s="127"/>
      <c r="B741" s="128"/>
      <c r="C741" s="132"/>
      <c r="D741" s="133"/>
      <c r="E741" s="132"/>
      <c r="F741" s="129"/>
      <c r="G741" s="132"/>
      <c r="H741" s="132"/>
    </row>
    <row r="742" spans="1:8">
      <c r="A742" s="127"/>
      <c r="B742" s="128"/>
      <c r="C742" s="132"/>
      <c r="D742" s="133"/>
      <c r="E742" s="132"/>
      <c r="F742" s="129"/>
      <c r="G742" s="132"/>
      <c r="H742" s="132"/>
    </row>
    <row r="743" spans="1:8">
      <c r="A743" s="127"/>
      <c r="B743" s="128"/>
      <c r="C743" s="132"/>
      <c r="D743" s="133"/>
      <c r="E743" s="132"/>
      <c r="F743" s="129"/>
      <c r="G743" s="132"/>
      <c r="H743" s="132"/>
    </row>
    <row r="744" spans="1:8">
      <c r="A744" s="127"/>
      <c r="B744" s="128"/>
      <c r="C744" s="132"/>
      <c r="D744" s="133"/>
      <c r="E744" s="132"/>
      <c r="F744" s="129"/>
      <c r="G744" s="132"/>
      <c r="H744" s="132"/>
    </row>
    <row r="745" spans="1:8">
      <c r="A745" s="127"/>
      <c r="B745" s="128"/>
      <c r="C745" s="132"/>
      <c r="D745" s="133"/>
      <c r="E745" s="132"/>
      <c r="F745" s="129"/>
      <c r="G745" s="132"/>
      <c r="H745" s="132"/>
    </row>
    <row r="746" spans="1:8">
      <c r="A746" s="127"/>
      <c r="B746" s="128"/>
      <c r="C746" s="132"/>
      <c r="D746" s="133"/>
      <c r="E746" s="132"/>
      <c r="F746" s="129"/>
      <c r="G746" s="132"/>
      <c r="H746" s="132"/>
    </row>
    <row r="747" spans="1:8">
      <c r="A747" s="127"/>
      <c r="B747" s="128"/>
      <c r="C747" s="132"/>
      <c r="D747" s="133"/>
      <c r="E747" s="132"/>
      <c r="F747" s="129"/>
      <c r="G747" s="132"/>
      <c r="H747" s="132"/>
    </row>
    <row r="748" spans="1:8">
      <c r="A748" s="127"/>
      <c r="B748" s="128"/>
      <c r="C748" s="132"/>
      <c r="D748" s="133"/>
      <c r="E748" s="132"/>
      <c r="F748" s="129"/>
      <c r="G748" s="132"/>
      <c r="H748" s="132"/>
    </row>
    <row r="749" spans="1:8">
      <c r="A749" s="127"/>
      <c r="B749" s="128"/>
      <c r="C749" s="132"/>
      <c r="D749" s="133"/>
      <c r="E749" s="132"/>
      <c r="F749" s="129"/>
      <c r="G749" s="132"/>
      <c r="H749" s="132"/>
    </row>
    <row r="750" spans="1:8">
      <c r="A750" s="127"/>
      <c r="B750" s="128"/>
      <c r="C750" s="132"/>
      <c r="D750" s="133"/>
      <c r="E750" s="132"/>
      <c r="F750" s="129"/>
      <c r="G750" s="132"/>
      <c r="H750" s="132"/>
    </row>
    <row r="751" spans="1:8">
      <c r="A751" s="127"/>
      <c r="B751" s="128"/>
      <c r="C751" s="132"/>
      <c r="D751" s="133"/>
      <c r="E751" s="132"/>
      <c r="F751" s="129"/>
      <c r="G751" s="132"/>
      <c r="H751" s="132"/>
    </row>
    <row r="752" spans="1:8">
      <c r="A752" s="127"/>
      <c r="B752" s="128"/>
      <c r="C752" s="132"/>
      <c r="D752" s="133"/>
      <c r="E752" s="132"/>
      <c r="F752" s="129"/>
      <c r="G752" s="132"/>
      <c r="H752" s="132"/>
    </row>
    <row r="753" spans="1:8">
      <c r="A753" s="127"/>
      <c r="B753" s="128"/>
      <c r="C753" s="132"/>
      <c r="D753" s="133"/>
      <c r="E753" s="132"/>
      <c r="F753" s="129"/>
      <c r="G753" s="132"/>
      <c r="H753" s="132"/>
    </row>
    <row r="754" spans="1:8">
      <c r="A754" s="127"/>
      <c r="B754" s="128"/>
      <c r="C754" s="132"/>
      <c r="D754" s="133"/>
      <c r="E754" s="132"/>
      <c r="F754" s="129"/>
      <c r="G754" s="132"/>
      <c r="H754" s="132"/>
    </row>
    <row r="755" spans="1:8">
      <c r="A755" s="127"/>
      <c r="B755" s="128"/>
      <c r="C755" s="132"/>
      <c r="D755" s="133"/>
      <c r="E755" s="132"/>
      <c r="F755" s="129"/>
      <c r="G755" s="132"/>
      <c r="H755" s="132"/>
    </row>
    <row r="756" spans="1:8">
      <c r="A756" s="127"/>
      <c r="B756" s="128"/>
      <c r="C756" s="132"/>
      <c r="D756" s="133"/>
      <c r="E756" s="132"/>
      <c r="F756" s="129"/>
      <c r="G756" s="132"/>
      <c r="H756" s="132"/>
    </row>
    <row r="757" spans="1:8">
      <c r="A757" s="127"/>
      <c r="B757" s="128"/>
      <c r="C757" s="132"/>
      <c r="D757" s="133"/>
      <c r="E757" s="132"/>
      <c r="F757" s="129"/>
      <c r="G757" s="132"/>
      <c r="H757" s="132"/>
    </row>
    <row r="758" spans="1:8">
      <c r="A758" s="127"/>
      <c r="B758" s="128"/>
      <c r="C758" s="132"/>
      <c r="D758" s="133"/>
      <c r="E758" s="132"/>
      <c r="F758" s="129"/>
      <c r="G758" s="132"/>
      <c r="H758" s="132"/>
    </row>
    <row r="759" spans="1:8">
      <c r="A759" s="127"/>
      <c r="B759" s="128"/>
      <c r="C759" s="132"/>
      <c r="D759" s="133"/>
      <c r="E759" s="132"/>
      <c r="F759" s="129"/>
      <c r="G759" s="132"/>
      <c r="H759" s="132"/>
    </row>
    <row r="760" spans="1:8">
      <c r="A760" s="127"/>
      <c r="B760" s="128"/>
      <c r="C760" s="132"/>
      <c r="D760" s="133"/>
      <c r="E760" s="132"/>
      <c r="F760" s="129"/>
      <c r="G760" s="132"/>
      <c r="H760" s="132"/>
    </row>
    <row r="761" spans="1:8">
      <c r="A761" s="127"/>
      <c r="B761" s="128"/>
      <c r="C761" s="132"/>
      <c r="D761" s="133"/>
      <c r="E761" s="132"/>
      <c r="F761" s="129"/>
      <c r="G761" s="132"/>
      <c r="H761" s="132"/>
    </row>
    <row r="762" spans="1:8">
      <c r="A762" s="127"/>
      <c r="B762" s="128"/>
      <c r="C762" s="132"/>
      <c r="D762" s="133"/>
      <c r="E762" s="132"/>
      <c r="F762" s="129"/>
      <c r="G762" s="132"/>
      <c r="H762" s="132"/>
    </row>
    <row r="763" spans="1:8">
      <c r="A763" s="127"/>
      <c r="B763" s="128"/>
      <c r="C763" s="132"/>
      <c r="D763" s="133"/>
      <c r="E763" s="132"/>
      <c r="F763" s="129"/>
      <c r="G763" s="132"/>
      <c r="H763" s="132"/>
    </row>
    <row r="764" spans="1:8">
      <c r="A764" s="127"/>
      <c r="B764" s="128"/>
      <c r="C764" s="132"/>
      <c r="D764" s="133"/>
      <c r="E764" s="132"/>
      <c r="F764" s="129"/>
      <c r="G764" s="132"/>
      <c r="H764" s="132"/>
    </row>
    <row r="765" spans="1:8">
      <c r="A765" s="127"/>
      <c r="B765" s="128"/>
      <c r="C765" s="132"/>
      <c r="D765" s="133"/>
      <c r="E765" s="132"/>
      <c r="F765" s="129"/>
      <c r="G765" s="132"/>
      <c r="H765" s="132"/>
    </row>
    <row r="766" spans="1:8">
      <c r="A766" s="127"/>
      <c r="B766" s="128"/>
      <c r="C766" s="132"/>
      <c r="D766" s="133"/>
      <c r="E766" s="132"/>
      <c r="F766" s="129"/>
      <c r="G766" s="132"/>
      <c r="H766" s="132"/>
    </row>
    <row r="767" spans="1:8">
      <c r="A767" s="127"/>
      <c r="B767" s="128"/>
      <c r="C767" s="132"/>
      <c r="D767" s="133"/>
      <c r="E767" s="132"/>
      <c r="F767" s="129"/>
      <c r="G767" s="132"/>
      <c r="H767" s="132"/>
    </row>
    <row r="768" spans="1:8">
      <c r="A768" s="127"/>
      <c r="B768" s="128"/>
      <c r="C768" s="132"/>
      <c r="D768" s="133"/>
      <c r="E768" s="132"/>
      <c r="F768" s="129"/>
      <c r="G768" s="132"/>
      <c r="H768" s="132"/>
    </row>
    <row r="769" spans="1:8">
      <c r="A769" s="127"/>
      <c r="B769" s="128"/>
      <c r="C769" s="132"/>
      <c r="D769" s="133"/>
      <c r="E769" s="132"/>
      <c r="F769" s="129"/>
      <c r="G769" s="132"/>
      <c r="H769" s="132"/>
    </row>
    <row r="770" spans="1:8">
      <c r="A770" s="127"/>
      <c r="B770" s="128"/>
      <c r="C770" s="132"/>
      <c r="D770" s="133"/>
      <c r="E770" s="132"/>
      <c r="F770" s="129"/>
      <c r="G770" s="132"/>
      <c r="H770" s="132"/>
    </row>
    <row r="771" spans="1:8">
      <c r="A771" s="127"/>
      <c r="B771" s="128"/>
      <c r="C771" s="132"/>
      <c r="D771" s="133"/>
      <c r="E771" s="132"/>
      <c r="F771" s="129"/>
      <c r="G771" s="132"/>
      <c r="H771" s="132"/>
    </row>
    <row r="772" spans="1:8">
      <c r="A772" s="127"/>
      <c r="B772" s="128"/>
      <c r="C772" s="132"/>
      <c r="D772" s="133"/>
      <c r="E772" s="132"/>
      <c r="F772" s="129"/>
      <c r="G772" s="132"/>
      <c r="H772" s="132"/>
    </row>
    <row r="773" spans="1:8">
      <c r="A773" s="127"/>
      <c r="B773" s="128"/>
      <c r="C773" s="132"/>
      <c r="D773" s="133"/>
      <c r="E773" s="132"/>
      <c r="F773" s="129"/>
      <c r="G773" s="132"/>
      <c r="H773" s="132"/>
    </row>
    <row r="774" spans="1:8">
      <c r="A774" s="127"/>
      <c r="B774" s="128"/>
      <c r="C774" s="132"/>
      <c r="D774" s="133"/>
      <c r="E774" s="132"/>
      <c r="F774" s="129"/>
      <c r="G774" s="132"/>
      <c r="H774" s="132"/>
    </row>
    <row r="775" spans="1:8">
      <c r="A775" s="127"/>
      <c r="B775" s="128"/>
      <c r="C775" s="132"/>
      <c r="D775" s="133"/>
      <c r="E775" s="132"/>
      <c r="F775" s="129"/>
      <c r="G775" s="132"/>
      <c r="H775" s="132"/>
    </row>
    <row r="776" spans="1:8">
      <c r="A776" s="127"/>
      <c r="B776" s="128"/>
      <c r="C776" s="132"/>
      <c r="D776" s="133"/>
      <c r="E776" s="132"/>
      <c r="F776" s="129"/>
      <c r="G776" s="132"/>
      <c r="H776" s="132"/>
    </row>
    <row r="777" spans="1:8">
      <c r="A777" s="127"/>
      <c r="B777" s="128"/>
      <c r="C777" s="132"/>
      <c r="D777" s="133"/>
      <c r="E777" s="132"/>
      <c r="F777" s="129"/>
      <c r="G777" s="132"/>
      <c r="H777" s="132"/>
    </row>
    <row r="778" spans="1:8">
      <c r="A778" s="127"/>
      <c r="B778" s="128"/>
      <c r="C778" s="132"/>
      <c r="D778" s="133"/>
      <c r="E778" s="132"/>
      <c r="F778" s="129"/>
      <c r="G778" s="132"/>
      <c r="H778" s="132"/>
    </row>
    <row r="779" spans="1:8">
      <c r="A779" s="127"/>
      <c r="B779" s="128"/>
      <c r="C779" s="132"/>
      <c r="D779" s="133"/>
      <c r="E779" s="132"/>
      <c r="F779" s="129"/>
      <c r="G779" s="132"/>
      <c r="H779" s="132"/>
    </row>
    <row r="780" spans="1:8">
      <c r="A780" s="127"/>
      <c r="B780" s="128"/>
      <c r="C780" s="132"/>
      <c r="D780" s="133"/>
      <c r="E780" s="132"/>
      <c r="F780" s="129"/>
      <c r="G780" s="132"/>
      <c r="H780" s="132"/>
    </row>
    <row r="781" spans="1:8">
      <c r="A781" s="127"/>
      <c r="B781" s="128"/>
      <c r="C781" s="132"/>
      <c r="D781" s="133"/>
      <c r="E781" s="132"/>
      <c r="F781" s="129"/>
      <c r="G781" s="132"/>
      <c r="H781" s="132"/>
    </row>
    <row r="782" spans="1:8">
      <c r="A782" s="127"/>
      <c r="B782" s="128"/>
      <c r="C782" s="132"/>
      <c r="D782" s="133"/>
      <c r="E782" s="132"/>
      <c r="F782" s="129"/>
      <c r="G782" s="132"/>
      <c r="H782" s="132"/>
    </row>
    <row r="783" spans="1:8">
      <c r="A783" s="127"/>
      <c r="B783" s="128"/>
      <c r="C783" s="132"/>
      <c r="D783" s="133"/>
      <c r="E783" s="132"/>
      <c r="F783" s="129"/>
      <c r="G783" s="132"/>
      <c r="H783" s="132"/>
    </row>
    <row r="784" spans="1:8">
      <c r="A784" s="127"/>
      <c r="B784" s="128"/>
      <c r="C784" s="132"/>
      <c r="D784" s="133"/>
      <c r="E784" s="132"/>
      <c r="F784" s="129"/>
      <c r="G784" s="132"/>
      <c r="H784" s="132"/>
    </row>
    <row r="785" spans="1:8">
      <c r="A785" s="127"/>
      <c r="B785" s="128"/>
      <c r="C785" s="132"/>
      <c r="D785" s="133"/>
      <c r="E785" s="132"/>
      <c r="F785" s="129"/>
      <c r="G785" s="132"/>
      <c r="H785" s="132"/>
    </row>
    <row r="786" spans="1:8">
      <c r="A786" s="127"/>
      <c r="B786" s="128"/>
      <c r="C786" s="132"/>
      <c r="D786" s="133"/>
      <c r="E786" s="132"/>
      <c r="F786" s="129"/>
      <c r="G786" s="132"/>
      <c r="H786" s="132"/>
    </row>
    <row r="787" spans="1:8">
      <c r="A787" s="127"/>
      <c r="B787" s="128"/>
      <c r="C787" s="132"/>
      <c r="D787" s="133"/>
      <c r="E787" s="132"/>
      <c r="F787" s="129"/>
      <c r="G787" s="132"/>
      <c r="H787" s="132"/>
    </row>
    <row r="788" spans="1:8">
      <c r="A788" s="127"/>
      <c r="B788" s="128"/>
      <c r="C788" s="132"/>
      <c r="D788" s="133"/>
      <c r="E788" s="132"/>
      <c r="F788" s="129"/>
      <c r="G788" s="132"/>
      <c r="H788" s="132"/>
    </row>
    <row r="789" spans="1:8">
      <c r="A789" s="127"/>
      <c r="B789" s="128"/>
      <c r="C789" s="132"/>
      <c r="D789" s="133"/>
      <c r="E789" s="132"/>
      <c r="F789" s="129"/>
      <c r="G789" s="132"/>
      <c r="H789" s="132"/>
    </row>
    <row r="790" spans="1:8">
      <c r="A790" s="127"/>
      <c r="B790" s="128"/>
      <c r="C790" s="132"/>
      <c r="D790" s="133"/>
      <c r="E790" s="132"/>
      <c r="F790" s="129"/>
      <c r="G790" s="132"/>
      <c r="H790" s="132"/>
    </row>
    <row r="791" spans="1:8">
      <c r="A791" s="127"/>
      <c r="B791" s="128"/>
      <c r="C791" s="132"/>
      <c r="D791" s="133"/>
      <c r="E791" s="132"/>
      <c r="F791" s="129"/>
      <c r="G791" s="132"/>
      <c r="H791" s="132"/>
    </row>
    <row r="792" spans="1:8">
      <c r="A792" s="127"/>
      <c r="B792" s="128"/>
      <c r="C792" s="132"/>
      <c r="D792" s="133"/>
      <c r="E792" s="132"/>
      <c r="F792" s="129"/>
      <c r="G792" s="132"/>
      <c r="H792" s="132"/>
    </row>
    <row r="793" spans="1:8">
      <c r="A793" s="127"/>
      <c r="B793" s="128"/>
      <c r="C793" s="132"/>
      <c r="D793" s="133"/>
      <c r="E793" s="132"/>
      <c r="F793" s="129"/>
      <c r="G793" s="132"/>
      <c r="H793" s="132"/>
    </row>
    <row r="794" spans="1:8">
      <c r="A794" s="127"/>
      <c r="B794" s="128"/>
      <c r="C794" s="132"/>
      <c r="D794" s="133"/>
      <c r="E794" s="132"/>
      <c r="F794" s="129"/>
      <c r="G794" s="132"/>
      <c r="H794" s="132"/>
    </row>
    <row r="795" spans="1:8">
      <c r="A795" s="127"/>
      <c r="B795" s="128"/>
      <c r="C795" s="132"/>
      <c r="D795" s="133"/>
      <c r="E795" s="132"/>
      <c r="F795" s="129"/>
      <c r="G795" s="132"/>
      <c r="H795" s="132"/>
    </row>
    <row r="796" spans="1:8">
      <c r="A796" s="127"/>
      <c r="B796" s="128"/>
      <c r="C796" s="132"/>
      <c r="D796" s="133"/>
      <c r="E796" s="132"/>
      <c r="F796" s="129"/>
      <c r="G796" s="132"/>
      <c r="H796" s="132"/>
    </row>
    <row r="797" spans="1:8">
      <c r="A797" s="127"/>
      <c r="B797" s="128"/>
      <c r="C797" s="132"/>
      <c r="D797" s="133"/>
      <c r="E797" s="132"/>
      <c r="F797" s="129"/>
      <c r="G797" s="132"/>
      <c r="H797" s="132"/>
    </row>
    <row r="798" spans="1:8">
      <c r="A798" s="127"/>
      <c r="B798" s="128"/>
      <c r="C798" s="132"/>
      <c r="D798" s="133"/>
      <c r="E798" s="132"/>
      <c r="F798" s="129"/>
      <c r="G798" s="132"/>
      <c r="H798" s="132"/>
    </row>
    <row r="799" spans="1:8">
      <c r="A799" s="127"/>
      <c r="B799" s="128"/>
      <c r="C799" s="132"/>
      <c r="D799" s="133"/>
      <c r="E799" s="132"/>
      <c r="F799" s="129"/>
      <c r="G799" s="132"/>
      <c r="H799" s="132"/>
    </row>
    <row r="800" spans="1:8">
      <c r="A800" s="127"/>
      <c r="B800" s="128"/>
      <c r="C800" s="132"/>
      <c r="D800" s="133"/>
      <c r="E800" s="132"/>
      <c r="F800" s="129"/>
      <c r="G800" s="132"/>
      <c r="H800" s="132"/>
    </row>
    <row r="801" spans="1:8">
      <c r="A801" s="127"/>
      <c r="B801" s="128"/>
      <c r="C801" s="132"/>
      <c r="D801" s="133"/>
      <c r="E801" s="132"/>
      <c r="F801" s="129"/>
      <c r="G801" s="132"/>
      <c r="H801" s="132"/>
    </row>
    <row r="802" spans="1:8">
      <c r="A802" s="127"/>
      <c r="B802" s="128"/>
      <c r="C802" s="132"/>
      <c r="D802" s="133"/>
      <c r="E802" s="132"/>
      <c r="F802" s="129"/>
      <c r="G802" s="132"/>
      <c r="H802" s="132"/>
    </row>
    <row r="803" spans="1:8">
      <c r="A803" s="127"/>
      <c r="B803" s="128"/>
      <c r="C803" s="132"/>
      <c r="D803" s="133"/>
      <c r="E803" s="132"/>
      <c r="F803" s="129"/>
      <c r="G803" s="132"/>
      <c r="H803" s="132"/>
    </row>
    <row r="804" spans="1:8">
      <c r="A804" s="127"/>
      <c r="B804" s="128"/>
      <c r="C804" s="132"/>
      <c r="D804" s="133"/>
      <c r="E804" s="132"/>
      <c r="F804" s="129"/>
      <c r="G804" s="132"/>
      <c r="H804" s="132"/>
    </row>
    <row r="805" spans="1:8">
      <c r="A805" s="127"/>
      <c r="B805" s="128"/>
      <c r="C805" s="132"/>
      <c r="D805" s="133"/>
      <c r="E805" s="132"/>
      <c r="F805" s="129"/>
      <c r="G805" s="132"/>
      <c r="H805" s="132"/>
    </row>
    <row r="806" spans="1:8">
      <c r="A806" s="127"/>
      <c r="B806" s="128"/>
      <c r="C806" s="132"/>
      <c r="D806" s="133"/>
      <c r="E806" s="132"/>
      <c r="F806" s="129"/>
      <c r="G806" s="132"/>
      <c r="H806" s="132"/>
    </row>
    <row r="807" spans="1:8">
      <c r="A807" s="127"/>
      <c r="B807" s="128"/>
      <c r="C807" s="132"/>
      <c r="D807" s="133"/>
      <c r="E807" s="132"/>
      <c r="F807" s="129"/>
      <c r="G807" s="132"/>
      <c r="H807" s="132"/>
    </row>
    <row r="808" spans="1:8">
      <c r="A808" s="127"/>
      <c r="B808" s="128"/>
      <c r="C808" s="132"/>
      <c r="D808" s="133"/>
      <c r="E808" s="132"/>
      <c r="F808" s="129"/>
      <c r="G808" s="132"/>
      <c r="H808" s="132"/>
    </row>
    <row r="809" spans="1:8">
      <c r="A809" s="127"/>
      <c r="B809" s="128"/>
      <c r="C809" s="132"/>
      <c r="D809" s="133"/>
      <c r="E809" s="132"/>
      <c r="F809" s="129"/>
      <c r="G809" s="132"/>
      <c r="H809" s="132"/>
    </row>
    <row r="810" spans="1:8">
      <c r="A810" s="127"/>
      <c r="B810" s="128"/>
      <c r="C810" s="132"/>
      <c r="D810" s="133"/>
      <c r="E810" s="132"/>
      <c r="F810" s="129"/>
      <c r="G810" s="132"/>
      <c r="H810" s="132"/>
    </row>
    <row r="811" spans="1:8">
      <c r="A811" s="127"/>
      <c r="B811" s="128"/>
      <c r="C811" s="132"/>
      <c r="D811" s="133"/>
      <c r="E811" s="132"/>
      <c r="F811" s="129"/>
      <c r="G811" s="132"/>
      <c r="H811" s="132"/>
    </row>
    <row r="812" spans="1:8">
      <c r="A812" s="127"/>
      <c r="B812" s="128"/>
      <c r="C812" s="132"/>
      <c r="D812" s="133"/>
      <c r="E812" s="132"/>
      <c r="F812" s="129"/>
      <c r="G812" s="132"/>
      <c r="H812" s="132"/>
    </row>
    <row r="813" spans="1:8">
      <c r="A813" s="127"/>
      <c r="B813" s="128"/>
      <c r="C813" s="132"/>
      <c r="D813" s="133"/>
      <c r="E813" s="132"/>
      <c r="F813" s="129"/>
      <c r="G813" s="132"/>
      <c r="H813" s="132"/>
    </row>
    <row r="814" spans="1:8">
      <c r="A814" s="127"/>
      <c r="B814" s="128"/>
      <c r="C814" s="132"/>
      <c r="D814" s="133"/>
      <c r="E814" s="132"/>
      <c r="F814" s="129"/>
      <c r="G814" s="132"/>
      <c r="H814" s="132"/>
    </row>
    <row r="815" spans="1:8">
      <c r="A815" s="127"/>
      <c r="B815" s="128"/>
      <c r="C815" s="132"/>
      <c r="D815" s="133"/>
      <c r="E815" s="132"/>
      <c r="F815" s="129"/>
      <c r="G815" s="132"/>
      <c r="H815" s="132"/>
    </row>
    <row r="816" spans="1:8">
      <c r="A816" s="127"/>
      <c r="B816" s="128"/>
      <c r="C816" s="132"/>
      <c r="D816" s="133"/>
      <c r="E816" s="132"/>
      <c r="F816" s="129"/>
      <c r="G816" s="132"/>
      <c r="H816" s="132"/>
    </row>
    <row r="817" spans="1:8">
      <c r="A817" s="127"/>
      <c r="B817" s="128"/>
      <c r="C817" s="132"/>
      <c r="D817" s="133"/>
      <c r="E817" s="132"/>
      <c r="F817" s="129"/>
      <c r="G817" s="132"/>
      <c r="H817" s="132"/>
    </row>
    <row r="818" spans="1:8">
      <c r="A818" s="127"/>
      <c r="B818" s="128"/>
      <c r="C818" s="132"/>
      <c r="D818" s="133"/>
      <c r="E818" s="132"/>
      <c r="F818" s="129"/>
      <c r="G818" s="132"/>
      <c r="H818" s="132"/>
    </row>
    <row r="819" spans="1:8">
      <c r="A819" s="127"/>
      <c r="B819" s="128"/>
      <c r="C819" s="132"/>
      <c r="D819" s="133"/>
      <c r="E819" s="132"/>
      <c r="F819" s="129"/>
      <c r="G819" s="132"/>
      <c r="H819" s="132"/>
    </row>
    <row r="820" spans="1:8">
      <c r="A820" s="127"/>
      <c r="B820" s="128"/>
      <c r="C820" s="132"/>
      <c r="D820" s="133"/>
      <c r="E820" s="132"/>
      <c r="F820" s="129"/>
      <c r="G820" s="132"/>
      <c r="H820" s="132"/>
    </row>
    <row r="821" spans="1:8">
      <c r="A821" s="127"/>
      <c r="B821" s="128"/>
      <c r="C821" s="132"/>
      <c r="D821" s="133"/>
      <c r="E821" s="132"/>
      <c r="F821" s="129"/>
      <c r="G821" s="132"/>
      <c r="H821" s="132"/>
    </row>
    <row r="822" spans="1:8">
      <c r="A822" s="127"/>
      <c r="B822" s="128"/>
      <c r="C822" s="132"/>
      <c r="D822" s="133"/>
      <c r="E822" s="132"/>
      <c r="F822" s="129"/>
      <c r="G822" s="132"/>
      <c r="H822" s="132"/>
    </row>
    <row r="823" spans="1:8">
      <c r="A823" s="127"/>
      <c r="B823" s="128"/>
      <c r="C823" s="132"/>
      <c r="D823" s="133"/>
      <c r="E823" s="132"/>
      <c r="F823" s="129"/>
      <c r="G823" s="132"/>
      <c r="H823" s="132"/>
    </row>
    <row r="824" spans="1:8">
      <c r="A824" s="127"/>
      <c r="B824" s="128"/>
      <c r="C824" s="132"/>
      <c r="D824" s="133"/>
      <c r="E824" s="132"/>
      <c r="F824" s="129"/>
      <c r="G824" s="132"/>
      <c r="H824" s="132"/>
    </row>
    <row r="825" spans="1:8">
      <c r="A825" s="127"/>
      <c r="B825" s="128"/>
      <c r="C825" s="132"/>
      <c r="D825" s="133"/>
      <c r="E825" s="132"/>
      <c r="F825" s="129"/>
      <c r="G825" s="132"/>
      <c r="H825" s="132"/>
    </row>
    <row r="826" spans="1:8">
      <c r="A826" s="127"/>
      <c r="B826" s="128"/>
      <c r="C826" s="132"/>
      <c r="D826" s="133"/>
      <c r="E826" s="132"/>
      <c r="F826" s="129"/>
      <c r="G826" s="132"/>
      <c r="H826" s="132"/>
    </row>
    <row r="827" spans="1:8">
      <c r="A827" s="127"/>
      <c r="B827" s="128"/>
      <c r="C827" s="132"/>
      <c r="D827" s="133"/>
      <c r="E827" s="132"/>
      <c r="F827" s="129"/>
      <c r="G827" s="132"/>
      <c r="H827" s="132"/>
    </row>
    <row r="828" spans="1:8">
      <c r="A828" s="127"/>
      <c r="B828" s="128"/>
      <c r="C828" s="132"/>
      <c r="D828" s="133"/>
      <c r="E828" s="132"/>
      <c r="F828" s="129"/>
      <c r="G828" s="132"/>
      <c r="H828" s="132"/>
    </row>
    <row r="829" spans="1:8">
      <c r="A829" s="127"/>
      <c r="B829" s="128"/>
      <c r="C829" s="132"/>
      <c r="D829" s="133"/>
      <c r="E829" s="132"/>
      <c r="F829" s="129"/>
      <c r="G829" s="132"/>
      <c r="H829" s="132"/>
    </row>
    <row r="830" spans="1:8">
      <c r="A830" s="127"/>
      <c r="B830" s="128"/>
      <c r="C830" s="132"/>
      <c r="D830" s="133"/>
      <c r="E830" s="132"/>
      <c r="F830" s="129"/>
      <c r="G830" s="132"/>
      <c r="H830" s="132"/>
    </row>
    <row r="831" spans="1:8">
      <c r="A831" s="127"/>
      <c r="B831" s="128"/>
      <c r="C831" s="132"/>
      <c r="D831" s="133"/>
      <c r="E831" s="132"/>
      <c r="F831" s="129"/>
      <c r="G831" s="132"/>
      <c r="H831" s="132"/>
    </row>
    <row r="832" spans="1:8">
      <c r="A832" s="127"/>
      <c r="B832" s="128"/>
      <c r="C832" s="132"/>
      <c r="D832" s="133"/>
      <c r="E832" s="132"/>
      <c r="F832" s="129"/>
      <c r="G832" s="132"/>
      <c r="H832" s="132"/>
    </row>
    <row r="833" spans="1:8">
      <c r="A833" s="127"/>
      <c r="B833" s="128"/>
      <c r="C833" s="132"/>
      <c r="D833" s="133"/>
      <c r="E833" s="132"/>
      <c r="F833" s="129"/>
      <c r="G833" s="132"/>
      <c r="H833" s="132"/>
    </row>
    <row r="834" spans="1:8">
      <c r="A834" s="127"/>
      <c r="B834" s="128"/>
      <c r="C834" s="132"/>
      <c r="D834" s="133"/>
      <c r="E834" s="132"/>
      <c r="F834" s="129"/>
      <c r="G834" s="132"/>
      <c r="H834" s="132"/>
    </row>
    <row r="835" spans="1:8">
      <c r="A835" s="127"/>
      <c r="B835" s="128"/>
      <c r="C835" s="132"/>
      <c r="D835" s="133"/>
      <c r="E835" s="132"/>
      <c r="F835" s="129"/>
      <c r="G835" s="132"/>
      <c r="H835" s="132"/>
    </row>
    <row r="836" spans="1:8">
      <c r="A836" s="127"/>
      <c r="B836" s="128"/>
      <c r="C836" s="132"/>
      <c r="D836" s="133"/>
      <c r="E836" s="132"/>
      <c r="F836" s="129"/>
      <c r="G836" s="132"/>
      <c r="H836" s="132"/>
    </row>
    <row r="837" spans="1:8">
      <c r="A837" s="127"/>
      <c r="B837" s="128"/>
      <c r="C837" s="132"/>
      <c r="D837" s="133"/>
      <c r="E837" s="132"/>
      <c r="F837" s="129"/>
      <c r="G837" s="132"/>
      <c r="H837" s="132"/>
    </row>
    <row r="838" spans="1:8">
      <c r="A838" s="127"/>
      <c r="B838" s="128"/>
      <c r="C838" s="132"/>
      <c r="D838" s="133"/>
      <c r="E838" s="132"/>
      <c r="F838" s="129"/>
      <c r="G838" s="132"/>
      <c r="H838" s="132"/>
    </row>
    <row r="839" spans="1:8">
      <c r="A839" s="127"/>
      <c r="B839" s="128"/>
      <c r="C839" s="132"/>
      <c r="D839" s="133"/>
      <c r="E839" s="132"/>
      <c r="F839" s="129"/>
      <c r="G839" s="132"/>
      <c r="H839" s="132"/>
    </row>
    <row r="840" spans="1:8">
      <c r="A840" s="127"/>
      <c r="B840" s="128"/>
      <c r="C840" s="132"/>
      <c r="D840" s="133"/>
      <c r="E840" s="132"/>
      <c r="F840" s="129"/>
      <c r="G840" s="132"/>
      <c r="H840" s="132"/>
    </row>
    <row r="841" spans="1:8">
      <c r="A841" s="127"/>
      <c r="B841" s="128"/>
      <c r="C841" s="132"/>
      <c r="D841" s="133"/>
      <c r="E841" s="132"/>
      <c r="F841" s="129"/>
      <c r="G841" s="132"/>
      <c r="H841" s="132"/>
    </row>
    <row r="842" spans="1:8">
      <c r="A842" s="127"/>
      <c r="B842" s="128"/>
      <c r="C842" s="132"/>
      <c r="D842" s="133"/>
      <c r="E842" s="132"/>
      <c r="F842" s="129"/>
      <c r="G842" s="132"/>
      <c r="H842" s="132"/>
    </row>
    <row r="843" spans="1:8">
      <c r="A843" s="127"/>
      <c r="B843" s="128"/>
      <c r="C843" s="132"/>
      <c r="D843" s="133"/>
      <c r="E843" s="132"/>
      <c r="F843" s="129"/>
      <c r="G843" s="132"/>
      <c r="H843" s="132"/>
    </row>
    <row r="844" spans="1:8">
      <c r="A844" s="127"/>
      <c r="B844" s="128"/>
      <c r="C844" s="132"/>
      <c r="D844" s="133"/>
      <c r="E844" s="132"/>
      <c r="F844" s="129"/>
      <c r="G844" s="132"/>
      <c r="H844" s="132"/>
    </row>
    <row r="845" spans="1:8">
      <c r="A845" s="127"/>
      <c r="B845" s="128"/>
      <c r="C845" s="132"/>
      <c r="D845" s="133"/>
      <c r="E845" s="132"/>
      <c r="F845" s="129"/>
      <c r="G845" s="132"/>
      <c r="H845" s="132"/>
    </row>
    <row r="846" spans="1:8">
      <c r="A846" s="127"/>
      <c r="B846" s="128"/>
      <c r="C846" s="132"/>
      <c r="D846" s="133"/>
      <c r="E846" s="132"/>
      <c r="F846" s="129"/>
      <c r="G846" s="132"/>
      <c r="H846" s="132"/>
    </row>
    <row r="847" spans="1:8">
      <c r="A847" s="127"/>
      <c r="B847" s="128"/>
      <c r="C847" s="132"/>
      <c r="D847" s="133"/>
      <c r="E847" s="132"/>
      <c r="F847" s="129"/>
      <c r="G847" s="132"/>
      <c r="H847" s="132"/>
    </row>
    <row r="848" spans="1:8">
      <c r="A848" s="127"/>
      <c r="B848" s="128"/>
      <c r="C848" s="132"/>
      <c r="D848" s="133"/>
      <c r="E848" s="132"/>
      <c r="F848" s="129"/>
      <c r="G848" s="132"/>
      <c r="H848" s="132"/>
    </row>
    <row r="849" spans="1:8">
      <c r="A849" s="127"/>
      <c r="B849" s="128"/>
      <c r="C849" s="132"/>
      <c r="D849" s="133"/>
      <c r="E849" s="132"/>
      <c r="F849" s="129"/>
      <c r="G849" s="132"/>
      <c r="H849" s="132"/>
    </row>
    <row r="850" spans="1:8">
      <c r="A850" s="127"/>
      <c r="B850" s="128"/>
      <c r="C850" s="132"/>
      <c r="D850" s="133"/>
      <c r="E850" s="132"/>
      <c r="F850" s="129"/>
      <c r="G850" s="132"/>
      <c r="H850" s="132"/>
    </row>
    <row r="851" spans="1:8">
      <c r="A851" s="127"/>
      <c r="B851" s="128"/>
      <c r="C851" s="132"/>
      <c r="D851" s="133"/>
      <c r="E851" s="132"/>
      <c r="F851" s="129"/>
      <c r="G851" s="132"/>
      <c r="H851" s="132"/>
    </row>
    <row r="852" spans="1:8">
      <c r="A852" s="127"/>
      <c r="B852" s="128"/>
      <c r="C852" s="132"/>
      <c r="D852" s="133"/>
      <c r="E852" s="132"/>
      <c r="F852" s="129"/>
      <c r="G852" s="132"/>
      <c r="H852" s="132"/>
    </row>
    <row r="853" spans="1:8">
      <c r="A853" s="127"/>
      <c r="B853" s="128"/>
      <c r="C853" s="132"/>
      <c r="D853" s="133"/>
      <c r="E853" s="132"/>
      <c r="F853" s="129"/>
      <c r="G853" s="132"/>
      <c r="H853" s="132"/>
    </row>
    <row r="854" spans="1:8">
      <c r="A854" s="127"/>
      <c r="B854" s="128"/>
      <c r="C854" s="132"/>
      <c r="D854" s="133"/>
      <c r="E854" s="132"/>
      <c r="F854" s="129"/>
      <c r="G854" s="132"/>
      <c r="H854" s="132"/>
    </row>
    <row r="855" spans="1:8">
      <c r="A855" s="127"/>
      <c r="B855" s="128"/>
      <c r="C855" s="132"/>
      <c r="D855" s="133"/>
      <c r="E855" s="132"/>
      <c r="F855" s="129"/>
      <c r="G855" s="132"/>
      <c r="H855" s="132"/>
    </row>
    <row r="856" spans="1:8">
      <c r="A856" s="127"/>
      <c r="B856" s="128"/>
      <c r="C856" s="132"/>
      <c r="D856" s="133"/>
      <c r="E856" s="132"/>
      <c r="F856" s="129"/>
      <c r="G856" s="132"/>
      <c r="H856" s="132"/>
    </row>
    <row r="857" spans="1:8">
      <c r="A857" s="127"/>
      <c r="B857" s="128"/>
      <c r="C857" s="132"/>
      <c r="D857" s="133"/>
      <c r="E857" s="132"/>
      <c r="F857" s="129"/>
      <c r="G857" s="132"/>
      <c r="H857" s="132"/>
    </row>
    <row r="858" spans="1:8">
      <c r="A858" s="127"/>
      <c r="B858" s="128"/>
      <c r="C858" s="132"/>
      <c r="D858" s="133"/>
      <c r="E858" s="132"/>
      <c r="F858" s="129"/>
      <c r="G858" s="132"/>
      <c r="H858" s="132"/>
    </row>
    <row r="859" spans="1:8">
      <c r="A859" s="127"/>
      <c r="B859" s="128"/>
      <c r="C859" s="132"/>
      <c r="D859" s="133"/>
      <c r="E859" s="132"/>
      <c r="F859" s="129"/>
      <c r="G859" s="132"/>
      <c r="H859" s="132"/>
    </row>
    <row r="860" spans="1:8">
      <c r="A860" s="127"/>
      <c r="B860" s="128"/>
      <c r="C860" s="132"/>
      <c r="D860" s="133"/>
      <c r="E860" s="132"/>
      <c r="F860" s="129"/>
      <c r="G860" s="132"/>
      <c r="H860" s="132"/>
    </row>
    <row r="861" spans="1:8">
      <c r="A861" s="127"/>
      <c r="B861" s="128"/>
      <c r="C861" s="132"/>
      <c r="D861" s="133"/>
      <c r="E861" s="132"/>
      <c r="F861" s="129"/>
      <c r="G861" s="132"/>
      <c r="H861" s="132"/>
    </row>
    <row r="862" spans="1:8">
      <c r="A862" s="127"/>
      <c r="B862" s="128"/>
      <c r="C862" s="132"/>
      <c r="D862" s="133"/>
      <c r="E862" s="132"/>
      <c r="F862" s="129"/>
      <c r="G862" s="132"/>
      <c r="H862" s="132"/>
    </row>
    <row r="863" spans="1:8">
      <c r="A863" s="127"/>
      <c r="B863" s="128"/>
      <c r="C863" s="132"/>
      <c r="D863" s="133"/>
      <c r="E863" s="132"/>
      <c r="F863" s="129"/>
      <c r="G863" s="132"/>
      <c r="H863" s="132"/>
    </row>
    <row r="864" spans="1:8">
      <c r="A864" s="127"/>
      <c r="B864" s="128"/>
      <c r="C864" s="132"/>
      <c r="D864" s="133"/>
      <c r="E864" s="132"/>
      <c r="F864" s="129"/>
      <c r="G864" s="132"/>
      <c r="H864" s="132"/>
    </row>
    <row r="865" spans="1:8">
      <c r="A865" s="127"/>
      <c r="B865" s="128"/>
      <c r="C865" s="132"/>
      <c r="D865" s="133"/>
      <c r="E865" s="132"/>
      <c r="F865" s="129"/>
      <c r="G865" s="132"/>
      <c r="H865" s="132"/>
    </row>
    <row r="866" spans="1:8">
      <c r="A866" s="127"/>
      <c r="B866" s="128"/>
      <c r="C866" s="132"/>
      <c r="D866" s="133"/>
      <c r="E866" s="132"/>
      <c r="F866" s="129"/>
      <c r="G866" s="132"/>
      <c r="H866" s="132"/>
    </row>
    <row r="867" spans="1:8">
      <c r="A867" s="127"/>
      <c r="B867" s="128"/>
      <c r="C867" s="132"/>
      <c r="D867" s="133"/>
      <c r="E867" s="132"/>
      <c r="F867" s="129"/>
      <c r="G867" s="132"/>
      <c r="H867" s="132"/>
    </row>
    <row r="868" spans="1:8">
      <c r="A868" s="127"/>
      <c r="B868" s="128"/>
      <c r="C868" s="132"/>
      <c r="D868" s="133"/>
      <c r="E868" s="132"/>
      <c r="F868" s="129"/>
      <c r="G868" s="132"/>
      <c r="H868" s="132"/>
    </row>
    <row r="869" spans="1:8">
      <c r="A869" s="127"/>
      <c r="B869" s="128"/>
      <c r="C869" s="132"/>
      <c r="D869" s="133"/>
      <c r="E869" s="132"/>
      <c r="F869" s="129"/>
      <c r="G869" s="132"/>
      <c r="H869" s="132"/>
    </row>
    <row r="870" spans="1:8">
      <c r="A870" s="127"/>
      <c r="B870" s="128"/>
      <c r="C870" s="132"/>
      <c r="D870" s="133"/>
      <c r="E870" s="132"/>
      <c r="F870" s="129"/>
      <c r="G870" s="132"/>
      <c r="H870" s="132"/>
    </row>
    <row r="871" spans="1:8">
      <c r="A871" s="127"/>
      <c r="B871" s="128"/>
      <c r="C871" s="132"/>
      <c r="D871" s="133"/>
      <c r="E871" s="132"/>
      <c r="F871" s="129"/>
      <c r="G871" s="132"/>
      <c r="H871" s="132"/>
    </row>
    <row r="872" spans="1:8">
      <c r="A872" s="127"/>
      <c r="B872" s="128"/>
      <c r="C872" s="132"/>
      <c r="D872" s="133"/>
      <c r="E872" s="132"/>
      <c r="F872" s="129"/>
      <c r="G872" s="132"/>
      <c r="H872" s="132"/>
    </row>
    <row r="873" spans="1:8">
      <c r="A873" s="127"/>
      <c r="B873" s="128"/>
      <c r="C873" s="132"/>
      <c r="D873" s="133"/>
      <c r="E873" s="132"/>
      <c r="F873" s="129"/>
      <c r="G873" s="132"/>
      <c r="H873" s="132"/>
    </row>
    <row r="874" spans="1:8">
      <c r="A874" s="127"/>
      <c r="B874" s="128"/>
      <c r="C874" s="132"/>
      <c r="D874" s="133"/>
      <c r="E874" s="132"/>
      <c r="F874" s="129"/>
      <c r="G874" s="132"/>
      <c r="H874" s="132"/>
    </row>
    <row r="875" spans="1:8">
      <c r="A875" s="127"/>
      <c r="B875" s="128"/>
      <c r="C875" s="132"/>
      <c r="D875" s="133"/>
      <c r="E875" s="132"/>
      <c r="F875" s="129"/>
      <c r="G875" s="132"/>
      <c r="H875" s="132"/>
    </row>
    <row r="876" spans="1:8">
      <c r="A876" s="127"/>
      <c r="B876" s="128"/>
      <c r="C876" s="132"/>
      <c r="D876" s="133"/>
      <c r="E876" s="132"/>
      <c r="F876" s="129"/>
      <c r="G876" s="132"/>
      <c r="H876" s="132"/>
    </row>
    <row r="877" spans="1:8">
      <c r="A877" s="127"/>
      <c r="B877" s="128"/>
      <c r="C877" s="132"/>
      <c r="D877" s="133"/>
      <c r="E877" s="132"/>
      <c r="F877" s="129"/>
      <c r="G877" s="132"/>
      <c r="H877" s="132"/>
    </row>
    <row r="878" spans="1:8">
      <c r="A878" s="127"/>
      <c r="B878" s="128"/>
      <c r="C878" s="132"/>
      <c r="D878" s="133"/>
      <c r="E878" s="132"/>
      <c r="F878" s="129"/>
      <c r="G878" s="132"/>
      <c r="H878" s="132"/>
    </row>
    <row r="879" spans="1:8">
      <c r="A879" s="127"/>
      <c r="B879" s="128"/>
      <c r="C879" s="132"/>
      <c r="D879" s="133"/>
      <c r="E879" s="132"/>
      <c r="F879" s="129"/>
      <c r="G879" s="132"/>
      <c r="H879" s="132"/>
    </row>
    <row r="880" spans="1:8">
      <c r="A880" s="127"/>
      <c r="B880" s="128"/>
      <c r="C880" s="132"/>
      <c r="D880" s="133"/>
      <c r="E880" s="132"/>
      <c r="F880" s="129"/>
      <c r="G880" s="132"/>
      <c r="H880" s="132"/>
    </row>
    <row r="881" spans="1:8">
      <c r="A881" s="127"/>
      <c r="B881" s="128"/>
      <c r="C881" s="132"/>
      <c r="D881" s="133"/>
      <c r="E881" s="132"/>
      <c r="F881" s="129"/>
      <c r="G881" s="132"/>
      <c r="H881" s="132"/>
    </row>
    <row r="882" spans="1:8">
      <c r="A882" s="127"/>
      <c r="B882" s="128"/>
      <c r="C882" s="132"/>
      <c r="D882" s="133"/>
      <c r="E882" s="132"/>
      <c r="F882" s="129"/>
      <c r="G882" s="132"/>
      <c r="H882" s="132"/>
    </row>
    <row r="883" spans="1:8">
      <c r="A883" s="127"/>
      <c r="B883" s="128"/>
      <c r="C883" s="132"/>
      <c r="D883" s="133"/>
      <c r="E883" s="132"/>
      <c r="F883" s="129"/>
      <c r="G883" s="132"/>
      <c r="H883" s="132"/>
    </row>
    <row r="884" spans="1:8">
      <c r="A884" s="127"/>
      <c r="B884" s="128"/>
      <c r="C884" s="132"/>
      <c r="D884" s="133"/>
      <c r="E884" s="132"/>
      <c r="F884" s="129"/>
      <c r="G884" s="132"/>
      <c r="H884" s="132"/>
    </row>
    <row r="885" spans="1:8">
      <c r="A885" s="127"/>
      <c r="B885" s="128"/>
      <c r="C885" s="132"/>
      <c r="D885" s="133"/>
      <c r="E885" s="132"/>
      <c r="F885" s="129"/>
      <c r="G885" s="132"/>
      <c r="H885" s="132"/>
    </row>
    <row r="886" spans="1:8">
      <c r="A886" s="127"/>
      <c r="B886" s="128"/>
      <c r="C886" s="132"/>
      <c r="D886" s="133"/>
      <c r="E886" s="132"/>
      <c r="F886" s="129"/>
      <c r="G886" s="132"/>
      <c r="H886" s="132"/>
    </row>
    <row r="887" spans="1:8">
      <c r="A887" s="127"/>
      <c r="B887" s="128"/>
      <c r="C887" s="132"/>
      <c r="D887" s="133"/>
      <c r="E887" s="132"/>
      <c r="F887" s="129"/>
      <c r="G887" s="132"/>
      <c r="H887" s="132"/>
    </row>
    <row r="888" spans="1:8">
      <c r="A888" s="127"/>
      <c r="B888" s="128"/>
      <c r="C888" s="132"/>
      <c r="D888" s="133"/>
      <c r="E888" s="132"/>
      <c r="F888" s="129"/>
      <c r="G888" s="132"/>
      <c r="H888" s="132"/>
    </row>
    <row r="889" spans="1:8">
      <c r="A889" s="127"/>
      <c r="B889" s="128"/>
      <c r="C889" s="132"/>
      <c r="D889" s="133"/>
      <c r="E889" s="132"/>
      <c r="F889" s="129"/>
      <c r="G889" s="132"/>
      <c r="H889" s="132"/>
    </row>
    <row r="890" spans="1:8">
      <c r="A890" s="127"/>
      <c r="B890" s="128"/>
      <c r="C890" s="132"/>
      <c r="D890" s="133"/>
      <c r="E890" s="132"/>
      <c r="F890" s="129"/>
      <c r="G890" s="132"/>
      <c r="H890" s="132"/>
    </row>
    <row r="891" spans="1:8">
      <c r="A891" s="127"/>
      <c r="B891" s="128"/>
      <c r="C891" s="132"/>
      <c r="D891" s="133"/>
      <c r="E891" s="132"/>
      <c r="F891" s="129"/>
      <c r="G891" s="132"/>
      <c r="H891" s="132"/>
    </row>
    <row r="892" spans="1:8">
      <c r="A892" s="127"/>
      <c r="B892" s="128"/>
      <c r="C892" s="132"/>
      <c r="D892" s="133"/>
      <c r="E892" s="132"/>
      <c r="F892" s="129"/>
      <c r="G892" s="132"/>
      <c r="H892" s="132"/>
    </row>
    <row r="893" spans="1:8">
      <c r="A893" s="127"/>
      <c r="B893" s="128"/>
      <c r="C893" s="132"/>
      <c r="D893" s="133"/>
      <c r="E893" s="132"/>
      <c r="F893" s="129"/>
      <c r="G893" s="132"/>
      <c r="H893" s="132"/>
    </row>
    <row r="894" spans="1:8">
      <c r="A894" s="127"/>
      <c r="B894" s="128"/>
      <c r="C894" s="132"/>
      <c r="D894" s="133"/>
      <c r="E894" s="132"/>
      <c r="F894" s="129"/>
      <c r="G894" s="132"/>
      <c r="H894" s="132"/>
    </row>
    <row r="895" spans="1:8">
      <c r="A895" s="127"/>
      <c r="B895" s="128"/>
      <c r="C895" s="132"/>
      <c r="D895" s="133"/>
      <c r="E895" s="132"/>
      <c r="F895" s="129"/>
      <c r="G895" s="132"/>
      <c r="H895" s="132"/>
    </row>
    <row r="896" spans="1:8">
      <c r="A896" s="127"/>
      <c r="B896" s="128"/>
      <c r="C896" s="132"/>
      <c r="D896" s="133"/>
      <c r="E896" s="132"/>
      <c r="F896" s="129"/>
      <c r="G896" s="132"/>
      <c r="H896" s="132"/>
    </row>
    <row r="897" spans="1:8">
      <c r="A897" s="127"/>
      <c r="B897" s="128"/>
      <c r="C897" s="132"/>
      <c r="D897" s="133"/>
      <c r="E897" s="132"/>
      <c r="F897" s="129"/>
      <c r="G897" s="132"/>
      <c r="H897" s="132"/>
    </row>
    <row r="898" spans="1:8">
      <c r="A898" s="127"/>
      <c r="B898" s="128"/>
      <c r="C898" s="132"/>
      <c r="D898" s="133"/>
      <c r="E898" s="132"/>
      <c r="F898" s="129"/>
      <c r="G898" s="132"/>
      <c r="H898" s="132"/>
    </row>
    <row r="899" spans="1:8">
      <c r="A899" s="127"/>
      <c r="B899" s="128"/>
      <c r="C899" s="132"/>
      <c r="D899" s="133"/>
      <c r="E899" s="132"/>
      <c r="F899" s="129"/>
      <c r="G899" s="132"/>
      <c r="H899" s="132"/>
    </row>
    <row r="900" spans="1:8">
      <c r="A900" s="127"/>
      <c r="B900" s="128"/>
      <c r="C900" s="132"/>
      <c r="D900" s="133"/>
      <c r="E900" s="132"/>
      <c r="F900" s="129"/>
      <c r="G900" s="132"/>
      <c r="H900" s="132"/>
    </row>
    <row r="901" spans="1:8">
      <c r="A901" s="127"/>
      <c r="B901" s="128"/>
      <c r="C901" s="132"/>
      <c r="D901" s="133"/>
      <c r="E901" s="132"/>
      <c r="F901" s="129"/>
      <c r="G901" s="132"/>
      <c r="H901" s="132"/>
    </row>
    <row r="902" spans="1:8">
      <c r="A902" s="127"/>
      <c r="B902" s="128"/>
      <c r="C902" s="132"/>
      <c r="D902" s="133"/>
      <c r="E902" s="132"/>
      <c r="F902" s="129"/>
      <c r="G902" s="132"/>
      <c r="H902" s="132"/>
    </row>
    <row r="903" spans="1:8">
      <c r="A903" s="127"/>
      <c r="B903" s="128"/>
      <c r="C903" s="132"/>
      <c r="D903" s="133"/>
      <c r="E903" s="132"/>
      <c r="F903" s="129"/>
      <c r="G903" s="132"/>
      <c r="H903" s="132"/>
    </row>
    <row r="904" spans="1:8">
      <c r="A904" s="127"/>
      <c r="B904" s="128"/>
      <c r="C904" s="132"/>
      <c r="D904" s="133"/>
      <c r="E904" s="132"/>
      <c r="F904" s="129"/>
      <c r="G904" s="132"/>
      <c r="H904" s="132"/>
    </row>
    <row r="905" spans="1:8">
      <c r="A905" s="127"/>
      <c r="B905" s="128"/>
      <c r="C905" s="132"/>
      <c r="D905" s="133"/>
      <c r="E905" s="132"/>
      <c r="F905" s="129"/>
      <c r="G905" s="132"/>
      <c r="H905" s="132"/>
    </row>
    <row r="906" spans="1:8">
      <c r="A906" s="127"/>
      <c r="B906" s="128"/>
      <c r="C906" s="132"/>
      <c r="D906" s="133"/>
      <c r="E906" s="132"/>
      <c r="F906" s="129"/>
      <c r="G906" s="132"/>
      <c r="H906" s="132"/>
    </row>
    <row r="907" spans="1:8">
      <c r="A907" s="127"/>
      <c r="B907" s="128"/>
      <c r="C907" s="132"/>
      <c r="D907" s="133"/>
      <c r="E907" s="132"/>
      <c r="F907" s="129"/>
      <c r="G907" s="132"/>
      <c r="H907" s="132"/>
    </row>
    <row r="908" spans="1:8">
      <c r="A908" s="127"/>
      <c r="B908" s="128"/>
      <c r="C908" s="132"/>
      <c r="D908" s="133"/>
      <c r="E908" s="132"/>
      <c r="F908" s="129"/>
      <c r="G908" s="132"/>
      <c r="H908" s="132"/>
    </row>
    <row r="909" spans="1:8">
      <c r="A909" s="127"/>
      <c r="B909" s="128"/>
      <c r="C909" s="132"/>
      <c r="D909" s="133"/>
      <c r="E909" s="132"/>
      <c r="F909" s="129"/>
      <c r="G909" s="132"/>
      <c r="H909" s="132"/>
    </row>
    <row r="910" spans="1:8">
      <c r="A910" s="127"/>
      <c r="B910" s="128"/>
      <c r="C910" s="132"/>
      <c r="D910" s="133"/>
      <c r="E910" s="132"/>
      <c r="F910" s="129"/>
      <c r="G910" s="132"/>
      <c r="H910" s="132"/>
    </row>
    <row r="911" spans="1:8">
      <c r="A911" s="127"/>
      <c r="B911" s="128"/>
      <c r="C911" s="132"/>
      <c r="D911" s="133"/>
      <c r="E911" s="132"/>
      <c r="F911" s="129"/>
      <c r="G911" s="132"/>
      <c r="H911" s="132"/>
    </row>
    <row r="912" spans="1:8">
      <c r="A912" s="127"/>
      <c r="B912" s="128"/>
      <c r="C912" s="132"/>
      <c r="D912" s="133"/>
      <c r="E912" s="132"/>
      <c r="F912" s="129"/>
      <c r="G912" s="132"/>
      <c r="H912" s="132"/>
    </row>
    <row r="913" spans="1:8">
      <c r="A913" s="127"/>
      <c r="B913" s="128"/>
      <c r="C913" s="132"/>
      <c r="D913" s="133"/>
      <c r="E913" s="132"/>
      <c r="F913" s="129"/>
      <c r="G913" s="132"/>
      <c r="H913" s="132"/>
    </row>
    <row r="914" spans="1:8">
      <c r="A914" s="127"/>
      <c r="B914" s="128"/>
      <c r="C914" s="132"/>
      <c r="D914" s="133"/>
      <c r="E914" s="132"/>
      <c r="F914" s="129"/>
      <c r="G914" s="132"/>
      <c r="H914" s="132"/>
    </row>
    <row r="915" spans="1:8">
      <c r="A915" s="127"/>
      <c r="B915" s="128"/>
      <c r="C915" s="132"/>
      <c r="D915" s="133"/>
      <c r="E915" s="132"/>
      <c r="F915" s="129"/>
      <c r="G915" s="132"/>
      <c r="H915" s="132"/>
    </row>
    <row r="916" spans="1:8">
      <c r="A916" s="127"/>
      <c r="B916" s="128"/>
      <c r="C916" s="132"/>
      <c r="D916" s="133"/>
      <c r="E916" s="132"/>
      <c r="F916" s="129"/>
      <c r="G916" s="132"/>
      <c r="H916" s="132"/>
    </row>
    <row r="917" spans="1:8">
      <c r="A917" s="127"/>
      <c r="B917" s="128"/>
      <c r="C917" s="132"/>
      <c r="D917" s="133"/>
      <c r="E917" s="132"/>
      <c r="F917" s="129"/>
      <c r="G917" s="132"/>
      <c r="H917" s="132"/>
    </row>
    <row r="918" spans="1:8">
      <c r="A918" s="127"/>
      <c r="B918" s="128"/>
      <c r="C918" s="132"/>
      <c r="D918" s="133"/>
      <c r="E918" s="132"/>
      <c r="F918" s="129"/>
      <c r="G918" s="132"/>
      <c r="H918" s="132"/>
    </row>
    <row r="919" spans="1:8">
      <c r="A919" s="127"/>
      <c r="B919" s="128"/>
      <c r="C919" s="132"/>
      <c r="D919" s="133"/>
      <c r="E919" s="132"/>
      <c r="F919" s="129"/>
      <c r="G919" s="132"/>
      <c r="H919" s="132"/>
    </row>
    <row r="920" spans="1:8">
      <c r="A920" s="127"/>
      <c r="B920" s="128"/>
      <c r="C920" s="132"/>
      <c r="D920" s="133"/>
      <c r="E920" s="132"/>
      <c r="F920" s="129"/>
      <c r="G920" s="132"/>
      <c r="H920" s="132"/>
    </row>
    <row r="921" spans="1:8">
      <c r="A921" s="127"/>
      <c r="B921" s="128"/>
      <c r="C921" s="132"/>
      <c r="D921" s="133"/>
      <c r="E921" s="132"/>
      <c r="F921" s="129"/>
      <c r="G921" s="132"/>
      <c r="H921" s="132"/>
    </row>
    <row r="922" spans="1:8">
      <c r="A922" s="127"/>
      <c r="B922" s="128"/>
      <c r="C922" s="132"/>
      <c r="D922" s="133"/>
      <c r="E922" s="132"/>
      <c r="F922" s="129"/>
      <c r="G922" s="132"/>
      <c r="H922" s="132"/>
    </row>
    <row r="923" spans="1:8">
      <c r="A923" s="127"/>
      <c r="B923" s="128"/>
      <c r="C923" s="132"/>
      <c r="D923" s="133"/>
      <c r="E923" s="132"/>
      <c r="F923" s="129"/>
      <c r="G923" s="132"/>
      <c r="H923" s="132"/>
    </row>
    <row r="924" spans="1:8">
      <c r="A924" s="127"/>
      <c r="B924" s="128"/>
      <c r="C924" s="132"/>
      <c r="D924" s="133"/>
      <c r="E924" s="132"/>
      <c r="F924" s="129"/>
      <c r="G924" s="132"/>
      <c r="H924" s="132"/>
    </row>
    <row r="925" spans="1:8">
      <c r="A925" s="127"/>
      <c r="B925" s="128"/>
      <c r="C925" s="132"/>
      <c r="D925" s="133"/>
      <c r="E925" s="132"/>
      <c r="F925" s="129"/>
      <c r="G925" s="132"/>
      <c r="H925" s="132"/>
    </row>
    <row r="926" spans="1:8">
      <c r="A926" s="127"/>
      <c r="B926" s="128"/>
      <c r="C926" s="132"/>
      <c r="D926" s="133"/>
      <c r="E926" s="132"/>
      <c r="F926" s="129"/>
      <c r="G926" s="132"/>
      <c r="H926" s="132"/>
    </row>
    <row r="927" spans="1:8">
      <c r="A927" s="127"/>
      <c r="B927" s="128"/>
      <c r="C927" s="132"/>
      <c r="D927" s="133"/>
      <c r="E927" s="132"/>
      <c r="F927" s="129"/>
      <c r="G927" s="132"/>
      <c r="H927" s="132"/>
    </row>
    <row r="928" spans="1:8">
      <c r="A928" s="127"/>
      <c r="B928" s="128"/>
      <c r="C928" s="132"/>
      <c r="D928" s="133"/>
      <c r="E928" s="132"/>
      <c r="F928" s="129"/>
      <c r="G928" s="132"/>
      <c r="H928" s="132"/>
    </row>
    <row r="929" spans="1:8">
      <c r="A929" s="127"/>
      <c r="B929" s="128"/>
      <c r="C929" s="132"/>
      <c r="D929" s="133"/>
      <c r="E929" s="132"/>
      <c r="F929" s="129"/>
      <c r="G929" s="132"/>
      <c r="H929" s="132"/>
    </row>
    <row r="930" spans="1:8">
      <c r="A930" s="127"/>
      <c r="B930" s="128"/>
      <c r="C930" s="132"/>
      <c r="D930" s="133"/>
      <c r="E930" s="132"/>
      <c r="F930" s="129"/>
      <c r="G930" s="132"/>
      <c r="H930" s="132"/>
    </row>
    <row r="931" spans="1:8">
      <c r="A931" s="127"/>
      <c r="B931" s="128"/>
      <c r="C931" s="132"/>
      <c r="D931" s="133"/>
      <c r="E931" s="132"/>
      <c r="F931" s="129"/>
      <c r="G931" s="132"/>
      <c r="H931" s="132"/>
    </row>
    <row r="932" spans="1:8">
      <c r="A932" s="127"/>
      <c r="B932" s="128"/>
      <c r="C932" s="132"/>
      <c r="D932" s="133"/>
      <c r="E932" s="132"/>
      <c r="F932" s="129"/>
      <c r="G932" s="132"/>
      <c r="H932" s="132"/>
    </row>
    <row r="933" spans="1:8">
      <c r="A933" s="127"/>
      <c r="B933" s="128"/>
      <c r="C933" s="132"/>
      <c r="D933" s="133"/>
      <c r="E933" s="132"/>
      <c r="F933" s="129"/>
      <c r="G933" s="132"/>
      <c r="H933" s="132"/>
    </row>
  </sheetData>
  <conditionalFormatting sqref="D2:D51">
    <cfRule type="expression" dxfId="5" priority="1">
      <formula>AND($D2&lt;&gt;"",$F2&lt;&gt;"",$D2&lt;$F2)</formula>
    </cfRule>
    <cfRule type="expression" dxfId="4" priority="2">
      <formula>AND($D2&lt;&gt;"",$K2&lt;&gt;"",$D2&lt;=$K2)</formula>
    </cfRule>
    <cfRule type="expression" dxfId="3" priority="3">
      <formula>AND($D2&lt;&gt;"",$K2&lt;&gt;"",$D2&gt;$K2)</formula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68650C43-BDCF-4117-89C2-8FF32582A1C3}">
          <x14:formula1>
            <xm:f>' CARGOS Y ESTADOS'!$B$5:$B$42</xm:f>
          </x14:formula1>
          <xm:sqref>B2:B1048576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BD17-ECCB-4DA8-AEA8-806029037A8B}">
  <dimension ref="A1:Q884"/>
  <sheetViews>
    <sheetView workbookViewId="0">
      <selection activeCell="J13" sqref="J13"/>
    </sheetView>
  </sheetViews>
  <sheetFormatPr baseColWidth="10" defaultColWidth="11.42578125" defaultRowHeight="12.75"/>
  <cols>
    <col min="1" max="1" width="37" style="119" bestFit="1" customWidth="1"/>
    <col min="2" max="2" width="22.5703125" bestFit="1" customWidth="1"/>
    <col min="3" max="3" width="13.5703125" style="8" bestFit="1" customWidth="1"/>
    <col min="4" max="4" width="21.85546875" style="99" customWidth="1"/>
    <col min="5" max="5" width="11.85546875" style="8" customWidth="1"/>
    <col min="6" max="6" width="23.42578125" style="10" customWidth="1"/>
    <col min="7" max="7" width="18.42578125" style="8" bestFit="1" customWidth="1"/>
    <col min="8" max="8" width="39.140625" style="8" bestFit="1" customWidth="1"/>
    <col min="9" max="9" width="23.140625" customWidth="1"/>
    <col min="10" max="10" width="12.28515625" customWidth="1"/>
    <col min="11" max="11" width="17.42578125" style="10" customWidth="1"/>
    <col min="12" max="12" width="21.7109375" style="76" bestFit="1" customWidth="1"/>
    <col min="13" max="13" width="22.85546875" style="10" bestFit="1" customWidth="1"/>
    <col min="14" max="14" width="12.85546875" bestFit="1" customWidth="1"/>
    <col min="15" max="15" width="25.7109375" style="76" bestFit="1" customWidth="1"/>
    <col min="16" max="16" width="25.28515625" bestFit="1" customWidth="1"/>
    <col min="17" max="17" width="12.7109375" bestFit="1" customWidth="1"/>
    <col min="18" max="18" width="10.140625" bestFit="1" customWidth="1"/>
    <col min="19" max="19" width="12.7109375" bestFit="1" customWidth="1"/>
  </cols>
  <sheetData>
    <row r="1" spans="1:17">
      <c r="A1" s="109" t="s">
        <v>24</v>
      </c>
      <c r="B1" s="110" t="s">
        <v>25</v>
      </c>
      <c r="C1" s="111" t="s">
        <v>26</v>
      </c>
      <c r="D1" s="112" t="s">
        <v>27</v>
      </c>
      <c r="E1" s="109" t="s">
        <v>28</v>
      </c>
      <c r="F1" s="113" t="s">
        <v>29</v>
      </c>
      <c r="G1" s="114" t="s">
        <v>30</v>
      </c>
      <c r="H1" s="109" t="s">
        <v>31</v>
      </c>
      <c r="I1" s="136" t="s">
        <v>32</v>
      </c>
      <c r="J1" s="136" t="s">
        <v>33</v>
      </c>
      <c r="K1" s="137" t="s">
        <v>34</v>
      </c>
      <c r="L1" s="138" t="s">
        <v>35</v>
      </c>
      <c r="M1" s="139" t="s">
        <v>36</v>
      </c>
    </row>
    <row r="2" spans="1:17" ht="15">
      <c r="A2" s="86"/>
      <c r="B2" s="50"/>
      <c r="C2" s="85"/>
      <c r="D2" s="89"/>
      <c r="E2" s="50"/>
      <c r="F2" s="83"/>
      <c r="G2" s="84"/>
      <c r="H2" s="84"/>
      <c r="I2" s="50"/>
      <c r="J2" s="135"/>
      <c r="K2" s="70" t="str" cm="1">
        <f t="array" ref="K2">IF(OR($B2="",$F2=""),"",WORKDAY.INTL(IF(ISNUMBER($F2),$F2,FECHA.VALOR($F2)),IF(UPPER(TRIM($B2))="AUXILIAR DE COCINA",10,15),1,FESTIVOS!$A$3:$A$1000))</f>
        <v/>
      </c>
      <c r="L2" s="76" t="str">
        <f t="shared" ref="L2" si="0">IF($F2="","",DATE(YEAR(EDATE($F2,IF(DAY($F2)&gt;=17,1,0))),MONTH(EDATE($F2,IF(DAY($F2)&gt;=17,1,0))),1))</f>
        <v/>
      </c>
      <c r="M2" s="89" t="str">
        <f>IF($K2="","",IF(OR($D2="",$D2&lt;$F2),"PENDIENTE",IF($D2&lt;=$K2,"A TIEMPO","FUERA DE TIEMPO")))</f>
        <v/>
      </c>
      <c r="N2" s="13"/>
      <c r="O2" s="78" t="s">
        <v>43</v>
      </c>
      <c r="P2" s="75" t="s">
        <v>36</v>
      </c>
    </row>
    <row r="3" spans="1:17">
      <c r="A3" s="120"/>
      <c r="B3" s="2"/>
      <c r="C3" s="2"/>
      <c r="D3" s="121"/>
      <c r="E3" s="2"/>
      <c r="F3" s="122"/>
      <c r="G3" s="123"/>
      <c r="H3" s="2"/>
      <c r="N3" s="13"/>
      <c r="O3" s="78" t="s">
        <v>35</v>
      </c>
      <c r="Q3" t="s">
        <v>51</v>
      </c>
    </row>
    <row r="4" spans="1:17">
      <c r="A4" s="120"/>
      <c r="B4" s="2"/>
      <c r="C4" s="2"/>
      <c r="D4" s="121"/>
      <c r="E4" s="2"/>
      <c r="F4" s="122"/>
      <c r="G4" s="123"/>
      <c r="H4" s="2"/>
      <c r="N4" s="13"/>
      <c r="P4">
        <v>1</v>
      </c>
      <c r="Q4">
        <v>1</v>
      </c>
    </row>
    <row r="5" spans="1:17">
      <c r="A5" s="120"/>
      <c r="B5" s="2"/>
      <c r="C5" s="2"/>
      <c r="D5" s="121"/>
      <c r="E5" s="2"/>
      <c r="F5" s="122"/>
      <c r="G5" s="123"/>
      <c r="H5" s="2"/>
      <c r="N5" s="13"/>
      <c r="O5" s="76" t="s">
        <v>51</v>
      </c>
      <c r="P5">
        <v>1</v>
      </c>
      <c r="Q5">
        <v>1</v>
      </c>
    </row>
    <row r="6" spans="1:17">
      <c r="A6" s="120"/>
      <c r="B6" s="2"/>
      <c r="C6" s="2"/>
      <c r="D6" s="121"/>
      <c r="E6" s="2"/>
      <c r="F6" s="122"/>
      <c r="G6" s="123"/>
      <c r="H6" s="2"/>
      <c r="N6" s="13"/>
      <c r="O6"/>
    </row>
    <row r="7" spans="1:17">
      <c r="A7" s="120"/>
      <c r="B7" s="2"/>
      <c r="C7" s="2"/>
      <c r="D7" s="121"/>
      <c r="E7" s="2"/>
      <c r="F7" s="122"/>
      <c r="G7" s="123"/>
      <c r="H7" s="2"/>
      <c r="N7" s="13"/>
      <c r="O7"/>
    </row>
    <row r="8" spans="1:17">
      <c r="A8" s="120"/>
      <c r="B8" s="2"/>
      <c r="C8" s="2"/>
      <c r="D8" s="121"/>
      <c r="E8" s="2"/>
      <c r="F8" s="122"/>
      <c r="G8" s="123"/>
      <c r="H8" s="2"/>
      <c r="N8" s="13"/>
    </row>
    <row r="9" spans="1:17">
      <c r="A9" s="120"/>
      <c r="B9" s="2"/>
      <c r="C9" s="2"/>
      <c r="D9" s="121"/>
      <c r="E9" s="2"/>
      <c r="F9" s="122"/>
      <c r="G9" s="123"/>
      <c r="H9" s="2"/>
      <c r="N9" s="13"/>
    </row>
    <row r="10" spans="1:17">
      <c r="A10" s="120"/>
      <c r="B10" s="2"/>
      <c r="C10" s="2"/>
      <c r="D10" s="121"/>
      <c r="E10" s="2"/>
      <c r="F10" s="122"/>
      <c r="G10" s="123"/>
      <c r="H10" s="2"/>
      <c r="N10" s="13"/>
    </row>
    <row r="11" spans="1:17">
      <c r="A11" s="124"/>
      <c r="B11" s="125"/>
      <c r="C11" s="2"/>
      <c r="D11" s="121"/>
      <c r="E11" s="2"/>
      <c r="F11" s="126"/>
      <c r="G11" s="123"/>
      <c r="H11" s="2"/>
    </row>
    <row r="12" spans="1:17">
      <c r="A12" s="124"/>
      <c r="B12" s="125"/>
      <c r="C12" s="2"/>
      <c r="D12" s="121"/>
      <c r="E12" s="2"/>
      <c r="F12" s="126"/>
      <c r="G12" s="123"/>
      <c r="H12" s="2"/>
    </row>
    <row r="13" spans="1:17">
      <c r="A13" s="124"/>
      <c r="B13" s="125"/>
      <c r="C13" s="2"/>
      <c r="D13" s="121"/>
      <c r="E13" s="2"/>
      <c r="F13" s="126"/>
      <c r="G13" s="123"/>
      <c r="H13" s="2"/>
    </row>
    <row r="14" spans="1:17">
      <c r="A14" s="124"/>
      <c r="B14" s="125"/>
      <c r="C14" s="2"/>
      <c r="D14" s="121"/>
      <c r="E14" s="2"/>
      <c r="F14" s="126"/>
      <c r="G14" s="123"/>
      <c r="H14" s="2"/>
    </row>
    <row r="15" spans="1:17">
      <c r="A15" s="124"/>
      <c r="B15" s="125"/>
      <c r="C15" s="2"/>
      <c r="D15" s="121"/>
      <c r="E15" s="2"/>
      <c r="F15" s="126"/>
      <c r="G15" s="123"/>
      <c r="H15" s="2"/>
    </row>
    <row r="16" spans="1:17">
      <c r="A16" s="124"/>
      <c r="B16" s="125"/>
      <c r="C16" s="2"/>
      <c r="D16" s="121"/>
      <c r="E16" s="2"/>
      <c r="F16" s="126"/>
      <c r="G16" s="123"/>
      <c r="H16" s="2"/>
    </row>
    <row r="17" spans="1:8">
      <c r="A17" s="124"/>
      <c r="B17" s="125"/>
      <c r="C17" s="2"/>
      <c r="D17" s="121"/>
      <c r="E17" s="2"/>
      <c r="F17" s="126"/>
      <c r="G17" s="123"/>
      <c r="H17" s="2"/>
    </row>
    <row r="18" spans="1:8">
      <c r="A18" s="124"/>
      <c r="B18" s="125"/>
      <c r="C18" s="2"/>
      <c r="D18" s="121"/>
      <c r="E18" s="2"/>
      <c r="F18" s="126"/>
      <c r="G18" s="123"/>
      <c r="H18" s="2"/>
    </row>
    <row r="19" spans="1:8">
      <c r="A19" s="124"/>
      <c r="B19" s="125"/>
      <c r="C19" s="2"/>
      <c r="D19" s="121"/>
      <c r="E19" s="2"/>
      <c r="F19" s="126"/>
      <c r="G19" s="123"/>
      <c r="H19" s="2"/>
    </row>
    <row r="20" spans="1:8">
      <c r="A20" s="124"/>
      <c r="B20" s="125"/>
      <c r="C20" s="2"/>
      <c r="D20" s="121"/>
      <c r="E20" s="2"/>
      <c r="F20" s="126"/>
      <c r="G20" s="123"/>
      <c r="H20" s="2"/>
    </row>
    <row r="21" spans="1:8">
      <c r="A21" s="124"/>
      <c r="B21" s="125"/>
      <c r="C21" s="2"/>
      <c r="D21" s="121"/>
      <c r="E21" s="2"/>
      <c r="F21" s="126"/>
      <c r="G21" s="123"/>
      <c r="H21" s="2"/>
    </row>
    <row r="22" spans="1:8">
      <c r="A22" s="124"/>
      <c r="B22" s="125"/>
      <c r="C22" s="2"/>
      <c r="D22" s="121"/>
      <c r="E22" s="2"/>
      <c r="F22" s="126"/>
      <c r="G22" s="123"/>
      <c r="H22" s="2"/>
    </row>
    <row r="23" spans="1:8">
      <c r="A23" s="124"/>
      <c r="B23" s="125"/>
      <c r="C23" s="2"/>
      <c r="D23" s="121"/>
      <c r="E23" s="2"/>
      <c r="F23" s="126"/>
      <c r="G23" s="123"/>
      <c r="H23" s="2"/>
    </row>
    <row r="24" spans="1:8">
      <c r="A24" s="124"/>
      <c r="B24" s="125"/>
      <c r="C24" s="2"/>
      <c r="D24" s="121"/>
      <c r="E24" s="2"/>
      <c r="F24" s="126"/>
      <c r="G24" s="123"/>
      <c r="H24" s="2"/>
    </row>
    <row r="25" spans="1:8">
      <c r="A25" s="124"/>
      <c r="B25" s="125"/>
      <c r="C25" s="2"/>
      <c r="D25" s="121"/>
      <c r="E25" s="2"/>
      <c r="F25" s="126"/>
      <c r="G25" s="123"/>
      <c r="H25" s="2"/>
    </row>
    <row r="26" spans="1:8">
      <c r="A26" s="124"/>
      <c r="B26" s="125"/>
      <c r="C26" s="2"/>
      <c r="D26" s="121"/>
      <c r="E26" s="2"/>
      <c r="F26" s="126"/>
      <c r="G26" s="123"/>
      <c r="H26" s="2"/>
    </row>
    <row r="27" spans="1:8">
      <c r="A27" s="124"/>
      <c r="B27" s="125"/>
      <c r="C27" s="2"/>
      <c r="D27" s="121"/>
      <c r="E27" s="2"/>
      <c r="F27" s="126"/>
      <c r="G27" s="123"/>
      <c r="H27" s="2"/>
    </row>
    <row r="28" spans="1:8">
      <c r="A28" s="124"/>
      <c r="B28" s="125"/>
      <c r="C28" s="2"/>
      <c r="D28" s="121"/>
      <c r="E28" s="2"/>
      <c r="F28" s="126"/>
      <c r="G28" s="123"/>
      <c r="H28" s="2"/>
    </row>
    <row r="29" spans="1:8">
      <c r="A29" s="124"/>
      <c r="B29" s="125"/>
      <c r="C29" s="2"/>
      <c r="D29" s="121"/>
      <c r="E29" s="2"/>
      <c r="F29" s="126"/>
      <c r="G29" s="123"/>
      <c r="H29" s="2"/>
    </row>
    <row r="30" spans="1:8">
      <c r="A30" s="124"/>
      <c r="B30" s="125"/>
      <c r="C30" s="2"/>
      <c r="D30" s="121"/>
      <c r="E30" s="2"/>
      <c r="F30" s="126"/>
      <c r="G30" s="123"/>
      <c r="H30" s="2"/>
    </row>
    <row r="31" spans="1:8">
      <c r="A31" s="124"/>
      <c r="B31" s="125"/>
      <c r="C31" s="2"/>
      <c r="D31" s="121"/>
      <c r="E31" s="2"/>
      <c r="F31" s="126"/>
      <c r="G31" s="123"/>
      <c r="H31" s="2"/>
    </row>
    <row r="32" spans="1:8">
      <c r="A32" s="124"/>
      <c r="B32" s="125"/>
      <c r="C32" s="2"/>
      <c r="D32" s="121"/>
      <c r="E32" s="2"/>
      <c r="F32" s="126"/>
      <c r="G32" s="123"/>
      <c r="H32" s="2"/>
    </row>
    <row r="33" spans="1:8">
      <c r="A33" s="124"/>
      <c r="B33" s="125"/>
      <c r="C33" s="2"/>
      <c r="D33" s="121"/>
      <c r="E33" s="2"/>
      <c r="F33" s="126"/>
      <c r="G33" s="123"/>
      <c r="H33" s="2"/>
    </row>
    <row r="34" spans="1:8">
      <c r="A34" s="124"/>
      <c r="B34" s="125"/>
      <c r="C34" s="2"/>
      <c r="D34" s="121"/>
      <c r="E34" s="2"/>
      <c r="F34" s="126"/>
      <c r="G34" s="123"/>
      <c r="H34" s="2"/>
    </row>
    <row r="35" spans="1:8">
      <c r="A35" s="124"/>
      <c r="B35" s="125"/>
      <c r="C35" s="2"/>
      <c r="D35" s="121"/>
      <c r="E35" s="2"/>
      <c r="F35" s="126"/>
      <c r="G35" s="123"/>
      <c r="H35" s="2"/>
    </row>
    <row r="36" spans="1:8">
      <c r="A36" s="124"/>
      <c r="B36" s="125"/>
      <c r="C36" s="2"/>
      <c r="D36" s="121"/>
      <c r="E36" s="2"/>
      <c r="F36" s="126"/>
      <c r="G36" s="123"/>
      <c r="H36" s="2"/>
    </row>
    <row r="37" spans="1:8">
      <c r="A37" s="124"/>
      <c r="B37" s="125"/>
      <c r="C37" s="2"/>
      <c r="D37" s="121"/>
      <c r="E37" s="2"/>
      <c r="F37" s="126"/>
      <c r="G37" s="123"/>
      <c r="H37" s="2"/>
    </row>
    <row r="38" spans="1:8">
      <c r="A38" s="124"/>
      <c r="B38" s="125"/>
      <c r="C38" s="2"/>
      <c r="D38" s="121"/>
      <c r="E38" s="2"/>
      <c r="F38" s="126"/>
      <c r="G38" s="123"/>
      <c r="H38" s="2"/>
    </row>
    <row r="39" spans="1:8">
      <c r="A39" s="124"/>
      <c r="B39" s="125"/>
      <c r="C39" s="2"/>
      <c r="D39" s="121"/>
      <c r="E39" s="2"/>
      <c r="F39" s="126"/>
      <c r="G39" s="123"/>
      <c r="H39" s="2"/>
    </row>
    <row r="40" spans="1:8">
      <c r="A40" s="127"/>
      <c r="B40" s="128"/>
      <c r="C40" s="2"/>
      <c r="D40" s="121"/>
      <c r="E40" s="2"/>
      <c r="F40" s="129"/>
      <c r="G40" s="123"/>
      <c r="H40" s="2"/>
    </row>
    <row r="41" spans="1:8">
      <c r="A41" s="127"/>
      <c r="B41" s="128"/>
      <c r="C41" s="2"/>
      <c r="D41" s="121"/>
      <c r="E41" s="2"/>
      <c r="F41" s="129"/>
      <c r="G41" s="123"/>
      <c r="H41" s="2"/>
    </row>
    <row r="42" spans="1:8">
      <c r="A42" s="127"/>
      <c r="B42" s="128"/>
      <c r="C42" s="2"/>
      <c r="D42" s="121"/>
      <c r="E42" s="2"/>
      <c r="F42" s="129"/>
      <c r="G42" s="123"/>
      <c r="H42" s="2"/>
    </row>
    <row r="43" spans="1:8">
      <c r="A43" s="127"/>
      <c r="B43" s="128"/>
      <c r="C43" s="2"/>
      <c r="D43" s="121"/>
      <c r="E43" s="2"/>
      <c r="F43" s="129"/>
      <c r="G43" s="123"/>
      <c r="H43" s="2"/>
    </row>
    <row r="44" spans="1:8">
      <c r="A44" s="127"/>
      <c r="B44" s="128"/>
      <c r="C44" s="2"/>
      <c r="D44" s="121"/>
      <c r="E44" s="2"/>
      <c r="F44" s="129"/>
      <c r="G44" s="123"/>
      <c r="H44" s="2"/>
    </row>
    <row r="45" spans="1:8">
      <c r="A45" s="127"/>
      <c r="B45" s="128"/>
      <c r="C45" s="2"/>
      <c r="D45" s="121"/>
      <c r="E45" s="2"/>
      <c r="F45" s="129"/>
      <c r="G45" s="123"/>
      <c r="H45" s="2"/>
    </row>
    <row r="46" spans="1:8">
      <c r="A46" s="127"/>
      <c r="B46" s="128"/>
      <c r="C46" s="2"/>
      <c r="D46" s="121"/>
      <c r="E46" s="2"/>
      <c r="F46" s="129"/>
      <c r="G46" s="123"/>
      <c r="H46" s="2"/>
    </row>
    <row r="47" spans="1:8">
      <c r="A47" s="127"/>
      <c r="B47" s="128"/>
      <c r="C47" s="2"/>
      <c r="D47" s="121"/>
      <c r="E47" s="2"/>
      <c r="F47" s="129"/>
      <c r="G47" s="123"/>
      <c r="H47" s="2"/>
    </row>
    <row r="48" spans="1:8">
      <c r="A48" s="127"/>
      <c r="B48" s="128"/>
      <c r="C48" s="2"/>
      <c r="D48" s="121"/>
      <c r="E48" s="2"/>
      <c r="F48" s="129"/>
      <c r="G48" s="123"/>
      <c r="H48" s="2"/>
    </row>
    <row r="49" spans="1:8" ht="15">
      <c r="A49" s="130"/>
      <c r="B49" s="2"/>
      <c r="C49" s="131"/>
      <c r="D49" s="121"/>
      <c r="E49" s="2"/>
      <c r="F49" s="122"/>
      <c r="G49" s="123"/>
      <c r="H49" s="131"/>
    </row>
    <row r="50" spans="1:8">
      <c r="A50" s="127"/>
      <c r="B50" s="128"/>
      <c r="C50" s="2"/>
      <c r="D50" s="121"/>
      <c r="E50" s="2"/>
      <c r="F50" s="129"/>
      <c r="G50" s="123"/>
      <c r="H50" s="2"/>
    </row>
    <row r="51" spans="1:8">
      <c r="A51" s="127"/>
      <c r="B51" s="128"/>
      <c r="C51" s="2"/>
      <c r="D51" s="121"/>
      <c r="E51" s="2"/>
      <c r="F51" s="129"/>
      <c r="G51" s="123"/>
      <c r="H51" s="2"/>
    </row>
    <row r="52" spans="1:8">
      <c r="A52" s="127"/>
      <c r="B52" s="128"/>
      <c r="C52" s="2"/>
      <c r="D52" s="121"/>
      <c r="E52" s="2"/>
      <c r="F52" s="129"/>
      <c r="G52" s="123"/>
      <c r="H52" s="2"/>
    </row>
    <row r="53" spans="1:8">
      <c r="A53" s="127"/>
      <c r="B53" s="128"/>
      <c r="C53" s="2"/>
      <c r="D53" s="121"/>
      <c r="E53" s="2"/>
      <c r="F53" s="129"/>
      <c r="G53" s="123"/>
      <c r="H53" s="2"/>
    </row>
    <row r="54" spans="1:8">
      <c r="A54" s="127"/>
      <c r="B54" s="128"/>
      <c r="C54" s="2"/>
      <c r="D54" s="121"/>
      <c r="E54" s="2"/>
      <c r="F54" s="129"/>
      <c r="G54" s="123"/>
      <c r="H54" s="2"/>
    </row>
    <row r="55" spans="1:8">
      <c r="A55" s="127"/>
      <c r="B55" s="128"/>
      <c r="C55" s="2"/>
      <c r="D55" s="121"/>
      <c r="E55" s="2"/>
      <c r="F55" s="129"/>
      <c r="G55" s="123"/>
      <c r="H55" s="2"/>
    </row>
    <row r="56" spans="1:8">
      <c r="A56" s="127"/>
      <c r="B56" s="128"/>
      <c r="C56" s="2"/>
      <c r="D56" s="121"/>
      <c r="E56" s="2"/>
      <c r="F56" s="129"/>
      <c r="G56" s="123"/>
      <c r="H56" s="2"/>
    </row>
    <row r="57" spans="1:8">
      <c r="A57" s="127"/>
      <c r="B57" s="128"/>
      <c r="C57" s="2"/>
      <c r="D57" s="121"/>
      <c r="E57" s="2"/>
      <c r="F57" s="129"/>
      <c r="G57" s="123"/>
      <c r="H57" s="2"/>
    </row>
    <row r="58" spans="1:8">
      <c r="A58" s="127"/>
      <c r="B58" s="128"/>
      <c r="C58" s="2"/>
      <c r="D58" s="121"/>
      <c r="E58" s="2"/>
      <c r="F58" s="129"/>
      <c r="G58" s="123"/>
      <c r="H58" s="2"/>
    </row>
    <row r="59" spans="1:8">
      <c r="A59" s="127"/>
      <c r="B59" s="128"/>
      <c r="C59" s="2"/>
      <c r="D59" s="121"/>
      <c r="E59" s="2"/>
      <c r="F59" s="129"/>
      <c r="G59" s="123"/>
      <c r="H59" s="2"/>
    </row>
    <row r="60" spans="1:8">
      <c r="A60" s="127"/>
      <c r="B60" s="128"/>
      <c r="C60" s="2"/>
      <c r="D60" s="121"/>
      <c r="E60" s="2"/>
      <c r="F60" s="129"/>
      <c r="G60" s="123"/>
      <c r="H60" s="2"/>
    </row>
    <row r="61" spans="1:8">
      <c r="A61" s="127"/>
      <c r="B61" s="128"/>
      <c r="C61" s="2"/>
      <c r="D61" s="121"/>
      <c r="E61" s="2"/>
      <c r="F61" s="129"/>
      <c r="G61" s="123"/>
      <c r="H61" s="2"/>
    </row>
    <row r="62" spans="1:8">
      <c r="A62" s="127"/>
      <c r="B62" s="128"/>
      <c r="C62" s="2"/>
      <c r="D62" s="121"/>
      <c r="E62" s="2"/>
      <c r="F62" s="129"/>
      <c r="G62" s="123"/>
      <c r="H62" s="2"/>
    </row>
    <row r="63" spans="1:8">
      <c r="A63" s="127"/>
      <c r="B63" s="128"/>
      <c r="C63" s="2"/>
      <c r="D63" s="121"/>
      <c r="E63" s="2"/>
      <c r="F63" s="129"/>
      <c r="G63" s="123"/>
      <c r="H63" s="2"/>
    </row>
    <row r="64" spans="1:8">
      <c r="A64" s="127"/>
      <c r="B64" s="128"/>
      <c r="C64" s="2"/>
      <c r="D64" s="121"/>
      <c r="E64" s="2"/>
      <c r="F64" s="129"/>
      <c r="G64" s="123"/>
      <c r="H64" s="2"/>
    </row>
    <row r="65" spans="1:8">
      <c r="A65" s="127"/>
      <c r="B65" s="128"/>
      <c r="C65" s="2"/>
      <c r="D65" s="121"/>
      <c r="E65" s="2"/>
      <c r="F65" s="129"/>
      <c r="G65" s="123"/>
      <c r="H65" s="2"/>
    </row>
    <row r="66" spans="1:8">
      <c r="A66" s="127"/>
      <c r="B66" s="128"/>
      <c r="C66" s="2"/>
      <c r="D66" s="121"/>
      <c r="E66" s="2"/>
      <c r="F66" s="129"/>
      <c r="G66" s="123"/>
      <c r="H66" s="2"/>
    </row>
    <row r="67" spans="1:8">
      <c r="A67" s="127"/>
      <c r="B67" s="128"/>
      <c r="C67" s="2"/>
      <c r="D67" s="121"/>
      <c r="E67" s="2"/>
      <c r="F67" s="129"/>
      <c r="G67" s="123"/>
      <c r="H67" s="2"/>
    </row>
    <row r="68" spans="1:8">
      <c r="A68" s="127"/>
      <c r="B68" s="128"/>
      <c r="C68" s="2"/>
      <c r="D68" s="121"/>
      <c r="E68" s="2"/>
      <c r="F68" s="129"/>
      <c r="G68" s="123"/>
      <c r="H68" s="2"/>
    </row>
    <row r="69" spans="1:8">
      <c r="A69" s="127"/>
      <c r="B69" s="128"/>
      <c r="C69" s="2"/>
      <c r="D69" s="121"/>
      <c r="E69" s="2"/>
      <c r="F69" s="129"/>
      <c r="G69" s="123"/>
      <c r="H69" s="2"/>
    </row>
    <row r="70" spans="1:8">
      <c r="A70" s="127"/>
      <c r="B70" s="128"/>
      <c r="C70" s="2"/>
      <c r="D70" s="121"/>
      <c r="E70" s="2"/>
      <c r="F70" s="129"/>
      <c r="G70" s="123"/>
      <c r="H70" s="2"/>
    </row>
    <row r="71" spans="1:8">
      <c r="A71" s="127"/>
      <c r="B71" s="128"/>
      <c r="C71" s="2"/>
      <c r="D71" s="121"/>
      <c r="E71" s="2"/>
      <c r="F71" s="129"/>
      <c r="G71" s="123"/>
      <c r="H71" s="2"/>
    </row>
    <row r="72" spans="1:8">
      <c r="A72" s="127"/>
      <c r="B72" s="128"/>
      <c r="C72" s="2"/>
      <c r="D72" s="121"/>
      <c r="E72" s="2"/>
      <c r="F72" s="129"/>
      <c r="G72" s="123"/>
      <c r="H72" s="2"/>
    </row>
    <row r="73" spans="1:8">
      <c r="A73" s="127"/>
      <c r="B73" s="128"/>
      <c r="C73" s="2"/>
      <c r="D73" s="121"/>
      <c r="E73" s="2"/>
      <c r="F73" s="129"/>
      <c r="G73" s="123"/>
      <c r="H73" s="2"/>
    </row>
    <row r="74" spans="1:8">
      <c r="A74" s="127"/>
      <c r="B74" s="128"/>
      <c r="C74" s="2"/>
      <c r="D74" s="121"/>
      <c r="E74" s="2"/>
      <c r="F74" s="129"/>
      <c r="G74" s="123"/>
      <c r="H74" s="2"/>
    </row>
    <row r="75" spans="1:8">
      <c r="A75" s="127"/>
      <c r="B75" s="128"/>
      <c r="C75" s="2"/>
      <c r="D75" s="121"/>
      <c r="E75" s="2"/>
      <c r="F75" s="129"/>
      <c r="G75" s="123"/>
      <c r="H75" s="2"/>
    </row>
    <row r="76" spans="1:8">
      <c r="A76" s="127"/>
      <c r="B76" s="128"/>
      <c r="C76" s="2"/>
      <c r="D76" s="121"/>
      <c r="E76" s="2"/>
      <c r="F76" s="129"/>
      <c r="G76" s="123"/>
      <c r="H76" s="2"/>
    </row>
    <row r="77" spans="1:8">
      <c r="A77" s="127"/>
      <c r="B77" s="128"/>
      <c r="C77" s="2"/>
      <c r="D77" s="121"/>
      <c r="E77" s="2"/>
      <c r="F77" s="129"/>
      <c r="G77" s="123"/>
      <c r="H77" s="2"/>
    </row>
    <row r="78" spans="1:8">
      <c r="A78" s="127"/>
      <c r="B78" s="128"/>
      <c r="C78" s="2"/>
      <c r="D78" s="121"/>
      <c r="E78" s="2"/>
      <c r="F78" s="129"/>
      <c r="G78" s="123"/>
      <c r="H78" s="2"/>
    </row>
    <row r="79" spans="1:8">
      <c r="A79" s="127"/>
      <c r="B79" s="128"/>
      <c r="C79" s="2"/>
      <c r="D79" s="121"/>
      <c r="E79" s="2"/>
      <c r="F79" s="129"/>
      <c r="G79" s="123"/>
      <c r="H79" s="2"/>
    </row>
    <row r="80" spans="1:8">
      <c r="A80" s="127"/>
      <c r="B80" s="128"/>
      <c r="C80" s="2"/>
      <c r="D80" s="121"/>
      <c r="E80" s="2"/>
      <c r="F80" s="129"/>
      <c r="G80" s="123"/>
      <c r="H80" s="2"/>
    </row>
    <row r="81" spans="1:8">
      <c r="A81" s="127"/>
      <c r="B81" s="128"/>
      <c r="C81" s="2"/>
      <c r="D81" s="121"/>
      <c r="E81" s="2"/>
      <c r="F81" s="129"/>
      <c r="G81" s="123"/>
      <c r="H81" s="2"/>
    </row>
    <row r="82" spans="1:8">
      <c r="A82" s="127"/>
      <c r="B82" s="128"/>
      <c r="C82" s="2"/>
      <c r="D82" s="121"/>
      <c r="E82" s="2"/>
      <c r="F82" s="129"/>
      <c r="G82" s="123"/>
      <c r="H82" s="2"/>
    </row>
    <row r="83" spans="1:8">
      <c r="A83" s="127"/>
      <c r="B83" s="128"/>
      <c r="C83" s="2"/>
      <c r="D83" s="121"/>
      <c r="E83" s="2"/>
      <c r="F83" s="129"/>
      <c r="G83" s="123"/>
      <c r="H83" s="2"/>
    </row>
    <row r="84" spans="1:8">
      <c r="A84" s="127"/>
      <c r="B84" s="128"/>
      <c r="C84" s="2"/>
      <c r="D84" s="121"/>
      <c r="E84" s="2"/>
      <c r="F84" s="129"/>
      <c r="G84" s="123"/>
      <c r="H84" s="2"/>
    </row>
    <row r="85" spans="1:8">
      <c r="A85" s="127"/>
      <c r="B85" s="128"/>
      <c r="C85" s="2"/>
      <c r="D85" s="121"/>
      <c r="E85" s="2"/>
      <c r="F85" s="129"/>
      <c r="G85" s="123"/>
      <c r="H85" s="2"/>
    </row>
    <row r="86" spans="1:8">
      <c r="A86" s="127"/>
      <c r="B86" s="128"/>
      <c r="C86" s="2"/>
      <c r="D86" s="121"/>
      <c r="E86" s="2"/>
      <c r="F86" s="129"/>
      <c r="G86" s="123"/>
      <c r="H86" s="2"/>
    </row>
    <row r="87" spans="1:8">
      <c r="A87" s="127"/>
      <c r="B87" s="128"/>
      <c r="C87" s="2"/>
      <c r="D87" s="121"/>
      <c r="E87" s="2"/>
      <c r="F87" s="129"/>
      <c r="G87" s="123"/>
      <c r="H87" s="2"/>
    </row>
    <row r="88" spans="1:8">
      <c r="A88" s="127"/>
      <c r="B88" s="128"/>
      <c r="C88" s="2"/>
      <c r="D88" s="121"/>
      <c r="E88" s="2"/>
      <c r="F88" s="129"/>
      <c r="G88" s="123"/>
      <c r="H88" s="2"/>
    </row>
    <row r="89" spans="1:8">
      <c r="A89" s="127"/>
      <c r="B89" s="128"/>
      <c r="C89" s="2"/>
      <c r="D89" s="121"/>
      <c r="E89" s="2"/>
      <c r="F89" s="129"/>
      <c r="G89" s="123"/>
      <c r="H89" s="2"/>
    </row>
    <row r="90" spans="1:8">
      <c r="A90" s="127"/>
      <c r="B90" s="128"/>
      <c r="C90" s="2"/>
      <c r="D90" s="121"/>
      <c r="E90" s="2"/>
      <c r="F90" s="129"/>
      <c r="G90" s="123"/>
      <c r="H90" s="2"/>
    </row>
    <row r="91" spans="1:8">
      <c r="A91" s="127"/>
      <c r="B91" s="128"/>
      <c r="C91" s="2"/>
      <c r="D91" s="121"/>
      <c r="E91" s="2"/>
      <c r="F91" s="129"/>
      <c r="G91" s="123"/>
      <c r="H91" s="2"/>
    </row>
    <row r="92" spans="1:8">
      <c r="A92" s="127"/>
      <c r="B92" s="128"/>
      <c r="C92" s="2"/>
      <c r="D92" s="121"/>
      <c r="E92" s="2"/>
      <c r="F92" s="129"/>
      <c r="G92" s="123"/>
      <c r="H92" s="2"/>
    </row>
    <row r="93" spans="1:8">
      <c r="A93" s="127"/>
      <c r="B93" s="128"/>
      <c r="C93" s="2"/>
      <c r="D93" s="121"/>
      <c r="E93" s="2"/>
      <c r="F93" s="129"/>
      <c r="G93" s="123"/>
      <c r="H93" s="2"/>
    </row>
    <row r="94" spans="1:8">
      <c r="A94" s="127"/>
      <c r="B94" s="128"/>
      <c r="C94" s="2"/>
      <c r="D94" s="121"/>
      <c r="E94" s="2"/>
      <c r="F94" s="129"/>
      <c r="G94" s="123"/>
      <c r="H94" s="2"/>
    </row>
    <row r="95" spans="1:8">
      <c r="A95" s="127"/>
      <c r="B95" s="128"/>
      <c r="C95" s="2"/>
      <c r="D95" s="121"/>
      <c r="E95" s="2"/>
      <c r="F95" s="129"/>
      <c r="G95" s="123"/>
      <c r="H95" s="2"/>
    </row>
    <row r="96" spans="1:8">
      <c r="A96" s="127"/>
      <c r="B96" s="128"/>
      <c r="C96" s="2"/>
      <c r="D96" s="121"/>
      <c r="E96" s="2"/>
      <c r="F96" s="129"/>
      <c r="G96" s="123"/>
      <c r="H96" s="2"/>
    </row>
    <row r="97" spans="1:8">
      <c r="A97" s="127"/>
      <c r="B97" s="128"/>
      <c r="C97" s="2"/>
      <c r="D97" s="121"/>
      <c r="E97" s="2"/>
      <c r="F97" s="129"/>
      <c r="G97" s="123"/>
      <c r="H97" s="2"/>
    </row>
    <row r="98" spans="1:8">
      <c r="A98" s="127"/>
      <c r="B98" s="128"/>
      <c r="C98" s="2"/>
      <c r="D98" s="121"/>
      <c r="E98" s="2"/>
      <c r="F98" s="129"/>
      <c r="G98" s="123"/>
      <c r="H98" s="2"/>
    </row>
    <row r="99" spans="1:8">
      <c r="A99" s="127"/>
      <c r="B99" s="128"/>
      <c r="C99" s="2"/>
      <c r="D99" s="121"/>
      <c r="E99" s="2"/>
      <c r="F99" s="129"/>
      <c r="G99" s="123"/>
      <c r="H99" s="2"/>
    </row>
    <row r="100" spans="1:8">
      <c r="A100" s="127"/>
      <c r="B100" s="128"/>
      <c r="C100" s="2"/>
      <c r="D100" s="121"/>
      <c r="E100" s="2"/>
      <c r="F100" s="129"/>
      <c r="G100" s="123"/>
      <c r="H100" s="2"/>
    </row>
    <row r="101" spans="1:8">
      <c r="A101" s="127"/>
      <c r="B101" s="128"/>
      <c r="C101" s="2"/>
      <c r="D101" s="121"/>
      <c r="E101" s="2"/>
      <c r="F101" s="129"/>
      <c r="G101" s="123"/>
      <c r="H101" s="2"/>
    </row>
    <row r="102" spans="1:8">
      <c r="A102" s="127"/>
      <c r="B102" s="128"/>
      <c r="C102" s="2"/>
      <c r="D102" s="121"/>
      <c r="E102" s="2"/>
      <c r="F102" s="129"/>
      <c r="G102" s="123"/>
      <c r="H102" s="2"/>
    </row>
    <row r="103" spans="1:8">
      <c r="A103" s="127"/>
      <c r="B103" s="128"/>
      <c r="C103" s="2"/>
      <c r="D103" s="121"/>
      <c r="E103" s="2"/>
      <c r="F103" s="129"/>
      <c r="G103" s="123"/>
      <c r="H103" s="2"/>
    </row>
    <row r="104" spans="1:8">
      <c r="A104" s="127"/>
      <c r="B104" s="128"/>
      <c r="C104" s="2"/>
      <c r="D104" s="121"/>
      <c r="E104" s="2"/>
      <c r="F104" s="129"/>
      <c r="G104" s="123"/>
      <c r="H104" s="2"/>
    </row>
    <row r="105" spans="1:8">
      <c r="A105" s="127"/>
      <c r="B105" s="128"/>
      <c r="C105" s="2"/>
      <c r="D105" s="121"/>
      <c r="E105" s="2"/>
      <c r="F105" s="129"/>
      <c r="G105" s="123"/>
      <c r="H105" s="2"/>
    </row>
    <row r="106" spans="1:8">
      <c r="A106" s="127"/>
      <c r="B106" s="128"/>
      <c r="C106" s="2"/>
      <c r="D106" s="121"/>
      <c r="E106" s="2"/>
      <c r="F106" s="129"/>
      <c r="G106" s="123"/>
      <c r="H106" s="2"/>
    </row>
    <row r="107" spans="1:8">
      <c r="A107" s="127"/>
      <c r="B107" s="128"/>
      <c r="C107" s="2"/>
      <c r="D107" s="121"/>
      <c r="E107" s="2"/>
      <c r="F107" s="129"/>
      <c r="G107" s="123"/>
      <c r="H107" s="2"/>
    </row>
    <row r="108" spans="1:8">
      <c r="A108" s="127"/>
      <c r="B108" s="128"/>
      <c r="C108" s="2"/>
      <c r="D108" s="121"/>
      <c r="E108" s="2"/>
      <c r="F108" s="129"/>
      <c r="G108" s="123"/>
      <c r="H108" s="2"/>
    </row>
    <row r="109" spans="1:8">
      <c r="A109" s="127"/>
      <c r="B109" s="128"/>
      <c r="C109" s="2"/>
      <c r="D109" s="121"/>
      <c r="E109" s="2"/>
      <c r="F109" s="129"/>
      <c r="G109" s="123"/>
      <c r="H109" s="2"/>
    </row>
    <row r="110" spans="1:8">
      <c r="A110" s="127"/>
      <c r="B110" s="128"/>
      <c r="C110" s="2"/>
      <c r="D110" s="121"/>
      <c r="E110" s="2"/>
      <c r="F110" s="129"/>
      <c r="G110" s="123"/>
      <c r="H110" s="2"/>
    </row>
    <row r="111" spans="1:8">
      <c r="A111" s="127"/>
      <c r="B111" s="128"/>
      <c r="C111" s="132"/>
      <c r="D111" s="133"/>
      <c r="E111" s="132"/>
      <c r="F111" s="129"/>
      <c r="G111" s="132"/>
      <c r="H111" s="132"/>
    </row>
    <row r="112" spans="1:8">
      <c r="A112" s="127"/>
      <c r="B112" s="128"/>
      <c r="C112" s="132"/>
      <c r="D112" s="133"/>
      <c r="E112" s="132"/>
      <c r="F112" s="129"/>
      <c r="G112" s="132"/>
      <c r="H112" s="132"/>
    </row>
    <row r="113" spans="1:8">
      <c r="A113" s="127"/>
      <c r="B113" s="128"/>
      <c r="C113" s="132"/>
      <c r="D113" s="133"/>
      <c r="E113" s="132"/>
      <c r="F113" s="129"/>
      <c r="G113" s="132"/>
      <c r="H113" s="132"/>
    </row>
    <row r="114" spans="1:8">
      <c r="A114" s="127"/>
      <c r="B114" s="128"/>
      <c r="C114" s="132"/>
      <c r="D114" s="133"/>
      <c r="E114" s="132"/>
      <c r="F114" s="129"/>
      <c r="G114" s="132"/>
      <c r="H114" s="132"/>
    </row>
    <row r="115" spans="1:8">
      <c r="A115" s="127"/>
      <c r="B115" s="128"/>
      <c r="C115" s="132"/>
      <c r="D115" s="133"/>
      <c r="E115" s="132"/>
      <c r="F115" s="129"/>
      <c r="G115" s="132"/>
      <c r="H115" s="132"/>
    </row>
    <row r="116" spans="1:8">
      <c r="A116" s="127"/>
      <c r="B116" s="128"/>
      <c r="C116" s="132"/>
      <c r="D116" s="133"/>
      <c r="E116" s="132"/>
      <c r="F116" s="129"/>
      <c r="G116" s="132"/>
      <c r="H116" s="132"/>
    </row>
    <row r="117" spans="1:8">
      <c r="A117" s="127"/>
      <c r="B117" s="128"/>
      <c r="C117" s="132"/>
      <c r="D117" s="133"/>
      <c r="E117" s="132"/>
      <c r="F117" s="129"/>
      <c r="G117" s="132"/>
      <c r="H117" s="132"/>
    </row>
    <row r="118" spans="1:8">
      <c r="A118" s="127"/>
      <c r="B118" s="128"/>
      <c r="C118" s="132"/>
      <c r="D118" s="133"/>
      <c r="E118" s="132"/>
      <c r="F118" s="129"/>
      <c r="G118" s="132"/>
      <c r="H118" s="132"/>
    </row>
    <row r="119" spans="1:8">
      <c r="A119" s="127"/>
      <c r="B119" s="128"/>
      <c r="C119" s="132"/>
      <c r="D119" s="133"/>
      <c r="E119" s="132"/>
      <c r="F119" s="129"/>
      <c r="G119" s="132"/>
      <c r="H119" s="132"/>
    </row>
    <row r="120" spans="1:8">
      <c r="A120" s="127"/>
      <c r="B120" s="128"/>
      <c r="C120" s="132"/>
      <c r="D120" s="133"/>
      <c r="E120" s="132"/>
      <c r="F120" s="129"/>
      <c r="G120" s="132"/>
      <c r="H120" s="132"/>
    </row>
    <row r="121" spans="1:8">
      <c r="A121" s="127"/>
      <c r="B121" s="128"/>
      <c r="C121" s="132"/>
      <c r="D121" s="133"/>
      <c r="E121" s="132"/>
      <c r="F121" s="129"/>
      <c r="G121" s="132"/>
      <c r="H121" s="132"/>
    </row>
    <row r="122" spans="1:8">
      <c r="A122" s="127"/>
      <c r="B122" s="128"/>
      <c r="C122" s="132"/>
      <c r="D122" s="133"/>
      <c r="E122" s="132"/>
      <c r="F122" s="129"/>
      <c r="G122" s="132"/>
      <c r="H122" s="132"/>
    </row>
    <row r="123" spans="1:8">
      <c r="A123" s="127"/>
      <c r="B123" s="128"/>
      <c r="C123" s="132"/>
      <c r="D123" s="133"/>
      <c r="E123" s="132"/>
      <c r="F123" s="129"/>
      <c r="G123" s="132"/>
      <c r="H123" s="132"/>
    </row>
    <row r="124" spans="1:8">
      <c r="A124" s="127"/>
      <c r="B124" s="128"/>
      <c r="C124" s="132"/>
      <c r="D124" s="133"/>
      <c r="E124" s="132"/>
      <c r="F124" s="129"/>
      <c r="G124" s="132"/>
      <c r="H124" s="132"/>
    </row>
    <row r="125" spans="1:8">
      <c r="A125" s="127"/>
      <c r="B125" s="128"/>
      <c r="C125" s="132"/>
      <c r="D125" s="133"/>
      <c r="E125" s="132"/>
      <c r="F125" s="129"/>
      <c r="G125" s="132"/>
      <c r="H125" s="132"/>
    </row>
    <row r="126" spans="1:8">
      <c r="A126" s="127"/>
      <c r="B126" s="128"/>
      <c r="C126" s="132"/>
      <c r="D126" s="133"/>
      <c r="E126" s="132"/>
      <c r="F126" s="129"/>
      <c r="G126" s="132"/>
      <c r="H126" s="132"/>
    </row>
    <row r="127" spans="1:8">
      <c r="A127" s="127"/>
      <c r="B127" s="128"/>
      <c r="C127" s="132"/>
      <c r="D127" s="133"/>
      <c r="E127" s="132"/>
      <c r="F127" s="129"/>
      <c r="G127" s="132"/>
      <c r="H127" s="132"/>
    </row>
    <row r="128" spans="1:8">
      <c r="A128" s="127"/>
      <c r="B128" s="128"/>
      <c r="C128" s="132"/>
      <c r="D128" s="133"/>
      <c r="E128" s="132"/>
      <c r="F128" s="129"/>
      <c r="G128" s="132"/>
      <c r="H128" s="132"/>
    </row>
    <row r="129" spans="1:8">
      <c r="A129" s="127"/>
      <c r="B129" s="128"/>
      <c r="C129" s="132"/>
      <c r="D129" s="133"/>
      <c r="E129" s="132"/>
      <c r="F129" s="129"/>
      <c r="G129" s="132"/>
      <c r="H129" s="132"/>
    </row>
    <row r="130" spans="1:8">
      <c r="A130" s="127"/>
      <c r="B130" s="128"/>
      <c r="C130" s="132"/>
      <c r="D130" s="133"/>
      <c r="E130" s="132"/>
      <c r="F130" s="129"/>
      <c r="G130" s="132"/>
      <c r="H130" s="132"/>
    </row>
    <row r="131" spans="1:8">
      <c r="A131" s="127"/>
      <c r="B131" s="128"/>
      <c r="C131" s="132"/>
      <c r="D131" s="133"/>
      <c r="E131" s="132"/>
      <c r="F131" s="129"/>
      <c r="G131" s="132"/>
      <c r="H131" s="132"/>
    </row>
    <row r="132" spans="1:8">
      <c r="A132" s="127"/>
      <c r="B132" s="128"/>
      <c r="C132" s="132"/>
      <c r="D132" s="133"/>
      <c r="E132" s="132"/>
      <c r="F132" s="129"/>
      <c r="G132" s="132"/>
      <c r="H132" s="132"/>
    </row>
    <row r="133" spans="1:8">
      <c r="A133" s="127"/>
      <c r="B133" s="128"/>
      <c r="C133" s="132"/>
      <c r="D133" s="133"/>
      <c r="E133" s="132"/>
      <c r="F133" s="129"/>
      <c r="G133" s="132"/>
      <c r="H133" s="132"/>
    </row>
    <row r="134" spans="1:8">
      <c r="A134" s="127"/>
      <c r="B134" s="128"/>
      <c r="C134" s="132"/>
      <c r="D134" s="133"/>
      <c r="E134" s="132"/>
      <c r="F134" s="129"/>
      <c r="G134" s="132"/>
      <c r="H134" s="132"/>
    </row>
    <row r="135" spans="1:8">
      <c r="A135" s="127"/>
      <c r="B135" s="128"/>
      <c r="C135" s="132"/>
      <c r="D135" s="133"/>
      <c r="E135" s="132"/>
      <c r="F135" s="129"/>
      <c r="G135" s="132"/>
      <c r="H135" s="132"/>
    </row>
    <row r="136" spans="1:8">
      <c r="A136" s="127"/>
      <c r="B136" s="128"/>
      <c r="C136" s="132"/>
      <c r="D136" s="133"/>
      <c r="E136" s="132"/>
      <c r="F136" s="129"/>
      <c r="G136" s="132"/>
      <c r="H136" s="132"/>
    </row>
    <row r="137" spans="1:8">
      <c r="A137" s="127"/>
      <c r="B137" s="128"/>
      <c r="C137" s="132"/>
      <c r="D137" s="133"/>
      <c r="E137" s="132"/>
      <c r="F137" s="129"/>
      <c r="G137" s="132"/>
      <c r="H137" s="132"/>
    </row>
    <row r="138" spans="1:8">
      <c r="A138" s="127"/>
      <c r="B138" s="128"/>
      <c r="C138" s="132"/>
      <c r="D138" s="133"/>
      <c r="E138" s="132"/>
      <c r="F138" s="129"/>
      <c r="G138" s="132"/>
      <c r="H138" s="132"/>
    </row>
    <row r="139" spans="1:8">
      <c r="A139" s="127"/>
      <c r="B139" s="128"/>
      <c r="C139" s="132"/>
      <c r="D139" s="133"/>
      <c r="E139" s="132"/>
      <c r="F139" s="129"/>
      <c r="G139" s="132"/>
      <c r="H139" s="132"/>
    </row>
    <row r="140" spans="1:8">
      <c r="A140" s="127"/>
      <c r="B140" s="128"/>
      <c r="C140" s="132"/>
      <c r="D140" s="133"/>
      <c r="E140" s="132"/>
      <c r="F140" s="129"/>
      <c r="G140" s="132"/>
      <c r="H140" s="132"/>
    </row>
    <row r="141" spans="1:8">
      <c r="A141" s="127"/>
      <c r="B141" s="128"/>
      <c r="C141" s="132"/>
      <c r="D141" s="133"/>
      <c r="E141" s="132"/>
      <c r="F141" s="129"/>
      <c r="G141" s="132"/>
      <c r="H141" s="132"/>
    </row>
    <row r="142" spans="1:8">
      <c r="A142" s="127"/>
      <c r="B142" s="128"/>
      <c r="C142" s="132"/>
      <c r="D142" s="133"/>
      <c r="E142" s="132"/>
      <c r="F142" s="129"/>
      <c r="G142" s="132"/>
      <c r="H142" s="132"/>
    </row>
    <row r="143" spans="1:8">
      <c r="A143" s="127"/>
      <c r="B143" s="128"/>
      <c r="C143" s="132"/>
      <c r="D143" s="133"/>
      <c r="E143" s="132"/>
      <c r="F143" s="129"/>
      <c r="G143" s="132"/>
      <c r="H143" s="132"/>
    </row>
    <row r="144" spans="1:8">
      <c r="A144" s="127"/>
      <c r="B144" s="128"/>
      <c r="C144" s="132"/>
      <c r="D144" s="133"/>
      <c r="E144" s="132"/>
      <c r="F144" s="129"/>
      <c r="G144" s="132"/>
      <c r="H144" s="132"/>
    </row>
    <row r="145" spans="1:8">
      <c r="A145" s="127"/>
      <c r="B145" s="128"/>
      <c r="C145" s="132"/>
      <c r="D145" s="133"/>
      <c r="E145" s="132"/>
      <c r="F145" s="129"/>
      <c r="G145" s="132"/>
      <c r="H145" s="132"/>
    </row>
    <row r="146" spans="1:8">
      <c r="A146" s="127"/>
      <c r="B146" s="128"/>
      <c r="C146" s="132"/>
      <c r="D146" s="133"/>
      <c r="E146" s="132"/>
      <c r="F146" s="129"/>
      <c r="G146" s="132"/>
      <c r="H146" s="132"/>
    </row>
    <row r="147" spans="1:8">
      <c r="A147" s="127"/>
      <c r="B147" s="128"/>
      <c r="C147" s="132"/>
      <c r="D147" s="133"/>
      <c r="E147" s="132"/>
      <c r="F147" s="129"/>
      <c r="G147" s="132"/>
      <c r="H147" s="132"/>
    </row>
    <row r="148" spans="1:8">
      <c r="A148" s="127"/>
      <c r="B148" s="128"/>
      <c r="C148" s="132"/>
      <c r="D148" s="133"/>
      <c r="E148" s="132"/>
      <c r="F148" s="129"/>
      <c r="G148" s="132"/>
      <c r="H148" s="132"/>
    </row>
    <row r="149" spans="1:8">
      <c r="A149" s="127"/>
      <c r="B149" s="128"/>
      <c r="C149" s="132"/>
      <c r="D149" s="133"/>
      <c r="E149" s="132"/>
      <c r="F149" s="129"/>
      <c r="G149" s="132"/>
      <c r="H149" s="132"/>
    </row>
    <row r="150" spans="1:8">
      <c r="A150" s="127"/>
      <c r="B150" s="128"/>
      <c r="C150" s="132"/>
      <c r="D150" s="133"/>
      <c r="E150" s="132"/>
      <c r="F150" s="129"/>
      <c r="G150" s="132"/>
      <c r="H150" s="132"/>
    </row>
    <row r="151" spans="1:8">
      <c r="A151" s="127"/>
      <c r="B151" s="128"/>
      <c r="C151" s="132"/>
      <c r="D151" s="133"/>
      <c r="E151" s="132"/>
      <c r="F151" s="129"/>
      <c r="G151" s="132"/>
      <c r="H151" s="132"/>
    </row>
    <row r="152" spans="1:8">
      <c r="A152" s="127"/>
      <c r="B152" s="128"/>
      <c r="C152" s="132"/>
      <c r="D152" s="133"/>
      <c r="E152" s="132"/>
      <c r="F152" s="129"/>
      <c r="G152" s="132"/>
      <c r="H152" s="132"/>
    </row>
    <row r="153" spans="1:8">
      <c r="A153" s="127"/>
      <c r="B153" s="128"/>
      <c r="C153" s="132"/>
      <c r="D153" s="133"/>
      <c r="E153" s="132"/>
      <c r="F153" s="129"/>
      <c r="G153" s="132"/>
      <c r="H153" s="132"/>
    </row>
    <row r="154" spans="1:8">
      <c r="A154" s="127"/>
      <c r="B154" s="128"/>
      <c r="C154" s="132"/>
      <c r="D154" s="133"/>
      <c r="E154" s="132"/>
      <c r="F154" s="129"/>
      <c r="G154" s="132"/>
      <c r="H154" s="132"/>
    </row>
    <row r="155" spans="1:8">
      <c r="A155" s="127"/>
      <c r="B155" s="128"/>
      <c r="C155" s="132"/>
      <c r="D155" s="133"/>
      <c r="E155" s="132"/>
      <c r="F155" s="129"/>
      <c r="G155" s="132"/>
      <c r="H155" s="132"/>
    </row>
    <row r="156" spans="1:8">
      <c r="A156" s="127"/>
      <c r="B156" s="128"/>
      <c r="C156" s="132"/>
      <c r="D156" s="133"/>
      <c r="E156" s="132"/>
      <c r="F156" s="129"/>
      <c r="G156" s="132"/>
      <c r="H156" s="132"/>
    </row>
    <row r="157" spans="1:8">
      <c r="A157" s="127"/>
      <c r="B157" s="128"/>
      <c r="C157" s="132"/>
      <c r="D157" s="133"/>
      <c r="E157" s="132"/>
      <c r="F157" s="129"/>
      <c r="G157" s="132"/>
      <c r="H157" s="132"/>
    </row>
    <row r="158" spans="1:8">
      <c r="A158" s="127"/>
      <c r="B158" s="128"/>
      <c r="C158" s="132"/>
      <c r="D158" s="133"/>
      <c r="E158" s="132"/>
      <c r="F158" s="129"/>
      <c r="G158" s="132"/>
      <c r="H158" s="132"/>
    </row>
    <row r="159" spans="1:8">
      <c r="A159" s="127"/>
      <c r="B159" s="128"/>
      <c r="C159" s="132"/>
      <c r="D159" s="133"/>
      <c r="E159" s="132"/>
      <c r="F159" s="129"/>
      <c r="G159" s="132"/>
      <c r="H159" s="132"/>
    </row>
    <row r="160" spans="1:8">
      <c r="A160" s="127"/>
      <c r="B160" s="128"/>
      <c r="C160" s="132"/>
      <c r="D160" s="133"/>
      <c r="E160" s="132"/>
      <c r="F160" s="129"/>
      <c r="G160" s="132"/>
      <c r="H160" s="132"/>
    </row>
    <row r="161" spans="1:8">
      <c r="A161" s="127"/>
      <c r="B161" s="128"/>
      <c r="C161" s="132"/>
      <c r="D161" s="133"/>
      <c r="E161" s="132"/>
      <c r="F161" s="129"/>
      <c r="G161" s="132"/>
      <c r="H161" s="132"/>
    </row>
    <row r="162" spans="1:8">
      <c r="A162" s="127"/>
      <c r="B162" s="128"/>
      <c r="C162" s="132"/>
      <c r="D162" s="133"/>
      <c r="E162" s="132"/>
      <c r="F162" s="129"/>
      <c r="G162" s="132"/>
      <c r="H162" s="132"/>
    </row>
    <row r="163" spans="1:8">
      <c r="A163" s="127"/>
      <c r="B163" s="128"/>
      <c r="C163" s="132"/>
      <c r="D163" s="133"/>
      <c r="E163" s="132"/>
      <c r="F163" s="129"/>
      <c r="G163" s="132"/>
      <c r="H163" s="132"/>
    </row>
    <row r="164" spans="1:8">
      <c r="A164" s="127"/>
      <c r="B164" s="128"/>
      <c r="C164" s="132"/>
      <c r="D164" s="133"/>
      <c r="E164" s="132"/>
      <c r="F164" s="129"/>
      <c r="G164" s="132"/>
      <c r="H164" s="132"/>
    </row>
    <row r="165" spans="1:8">
      <c r="A165" s="127"/>
      <c r="B165" s="128"/>
      <c r="C165" s="132"/>
      <c r="D165" s="133"/>
      <c r="E165" s="132"/>
      <c r="F165" s="129"/>
      <c r="G165" s="132"/>
      <c r="H165" s="132"/>
    </row>
    <row r="166" spans="1:8">
      <c r="A166" s="127"/>
      <c r="B166" s="128"/>
      <c r="C166" s="132"/>
      <c r="D166" s="133"/>
      <c r="E166" s="132"/>
      <c r="F166" s="129"/>
      <c r="G166" s="132"/>
      <c r="H166" s="132"/>
    </row>
    <row r="167" spans="1:8">
      <c r="A167" s="127"/>
      <c r="B167" s="128"/>
      <c r="C167" s="132"/>
      <c r="D167" s="133"/>
      <c r="E167" s="132"/>
      <c r="F167" s="129"/>
      <c r="G167" s="132"/>
      <c r="H167" s="132"/>
    </row>
    <row r="168" spans="1:8">
      <c r="A168" s="127"/>
      <c r="B168" s="128"/>
      <c r="C168" s="132"/>
      <c r="D168" s="133"/>
      <c r="E168" s="132"/>
      <c r="F168" s="129"/>
      <c r="G168" s="132"/>
      <c r="H168" s="132"/>
    </row>
    <row r="169" spans="1:8">
      <c r="A169" s="127"/>
      <c r="B169" s="128"/>
      <c r="C169" s="132"/>
      <c r="D169" s="133"/>
      <c r="E169" s="132"/>
      <c r="F169" s="129"/>
      <c r="G169" s="132"/>
      <c r="H169" s="132"/>
    </row>
    <row r="170" spans="1:8">
      <c r="A170" s="127"/>
      <c r="B170" s="128"/>
      <c r="C170" s="132"/>
      <c r="D170" s="133"/>
      <c r="E170" s="132"/>
      <c r="F170" s="129"/>
      <c r="G170" s="132"/>
      <c r="H170" s="132"/>
    </row>
    <row r="171" spans="1:8">
      <c r="A171" s="127"/>
      <c r="B171" s="128"/>
      <c r="C171" s="132"/>
      <c r="D171" s="133"/>
      <c r="E171" s="132"/>
      <c r="F171" s="129"/>
      <c r="G171" s="132"/>
      <c r="H171" s="132"/>
    </row>
    <row r="172" spans="1:8">
      <c r="A172" s="127"/>
      <c r="B172" s="128"/>
      <c r="C172" s="132"/>
      <c r="D172" s="133"/>
      <c r="E172" s="132"/>
      <c r="F172" s="129"/>
      <c r="G172" s="132"/>
      <c r="H172" s="132"/>
    </row>
    <row r="173" spans="1:8">
      <c r="A173" s="127"/>
      <c r="B173" s="128"/>
      <c r="C173" s="132"/>
      <c r="D173" s="133"/>
      <c r="E173" s="132"/>
      <c r="F173" s="129"/>
      <c r="G173" s="132"/>
      <c r="H173" s="132"/>
    </row>
    <row r="174" spans="1:8">
      <c r="A174" s="127"/>
      <c r="B174" s="128"/>
      <c r="C174" s="132"/>
      <c r="D174" s="133"/>
      <c r="E174" s="132"/>
      <c r="F174" s="129"/>
      <c r="G174" s="132"/>
      <c r="H174" s="132"/>
    </row>
    <row r="175" spans="1:8">
      <c r="A175" s="127"/>
      <c r="B175" s="128"/>
      <c r="C175" s="132"/>
      <c r="D175" s="133"/>
      <c r="E175" s="132"/>
      <c r="F175" s="129"/>
      <c r="G175" s="132"/>
      <c r="H175" s="132"/>
    </row>
    <row r="176" spans="1:8">
      <c r="A176" s="127"/>
      <c r="B176" s="128"/>
      <c r="C176" s="132"/>
      <c r="D176" s="133"/>
      <c r="E176" s="132"/>
      <c r="F176" s="129"/>
      <c r="G176" s="132"/>
      <c r="H176" s="132"/>
    </row>
    <row r="177" spans="1:8">
      <c r="A177" s="127"/>
      <c r="B177" s="128"/>
      <c r="C177" s="132"/>
      <c r="D177" s="133"/>
      <c r="E177" s="132"/>
      <c r="F177" s="129"/>
      <c r="G177" s="132"/>
      <c r="H177" s="132"/>
    </row>
    <row r="178" spans="1:8">
      <c r="A178" s="127"/>
      <c r="B178" s="128"/>
      <c r="C178" s="132"/>
      <c r="D178" s="133"/>
      <c r="E178" s="132"/>
      <c r="F178" s="129"/>
      <c r="G178" s="132"/>
      <c r="H178" s="132"/>
    </row>
    <row r="179" spans="1:8">
      <c r="A179" s="127"/>
      <c r="B179" s="128"/>
      <c r="C179" s="132"/>
      <c r="D179" s="133"/>
      <c r="E179" s="132"/>
      <c r="F179" s="129"/>
      <c r="G179" s="132"/>
      <c r="H179" s="132"/>
    </row>
    <row r="180" spans="1:8">
      <c r="A180" s="127"/>
      <c r="B180" s="128"/>
      <c r="C180" s="132"/>
      <c r="D180" s="133"/>
      <c r="E180" s="132"/>
      <c r="F180" s="129"/>
      <c r="G180" s="132"/>
      <c r="H180" s="132"/>
    </row>
    <row r="181" spans="1:8">
      <c r="A181" s="127"/>
      <c r="B181" s="128"/>
      <c r="C181" s="132"/>
      <c r="D181" s="133"/>
      <c r="E181" s="132"/>
      <c r="F181" s="129"/>
      <c r="G181" s="132"/>
      <c r="H181" s="132"/>
    </row>
    <row r="182" spans="1:8">
      <c r="A182" s="127"/>
      <c r="B182" s="128"/>
      <c r="C182" s="132"/>
      <c r="D182" s="133"/>
      <c r="E182" s="132"/>
      <c r="F182" s="129"/>
      <c r="G182" s="132"/>
      <c r="H182" s="132"/>
    </row>
    <row r="183" spans="1:8">
      <c r="A183" s="127"/>
      <c r="B183" s="128"/>
      <c r="C183" s="132"/>
      <c r="D183" s="133"/>
      <c r="E183" s="132"/>
      <c r="F183" s="129"/>
      <c r="G183" s="132"/>
      <c r="H183" s="132"/>
    </row>
    <row r="184" spans="1:8">
      <c r="A184" s="127"/>
      <c r="B184" s="128"/>
      <c r="C184" s="132"/>
      <c r="D184" s="133"/>
      <c r="E184" s="132"/>
      <c r="F184" s="129"/>
      <c r="G184" s="132"/>
      <c r="H184" s="132"/>
    </row>
    <row r="185" spans="1:8">
      <c r="A185" s="127"/>
      <c r="B185" s="128"/>
      <c r="C185" s="132"/>
      <c r="D185" s="133"/>
      <c r="E185" s="132"/>
      <c r="F185" s="129"/>
      <c r="G185" s="132"/>
      <c r="H185" s="132"/>
    </row>
    <row r="186" spans="1:8">
      <c r="A186" s="127"/>
      <c r="B186" s="128"/>
      <c r="C186" s="132"/>
      <c r="D186" s="133"/>
      <c r="E186" s="132"/>
      <c r="F186" s="129"/>
      <c r="G186" s="132"/>
      <c r="H186" s="132"/>
    </row>
    <row r="187" spans="1:8">
      <c r="A187" s="127"/>
      <c r="B187" s="128"/>
      <c r="C187" s="132"/>
      <c r="D187" s="133"/>
      <c r="E187" s="132"/>
      <c r="F187" s="129"/>
      <c r="G187" s="132"/>
      <c r="H187" s="132"/>
    </row>
    <row r="188" spans="1:8">
      <c r="A188" s="127"/>
      <c r="B188" s="128"/>
      <c r="C188" s="132"/>
      <c r="D188" s="133"/>
      <c r="E188" s="132"/>
      <c r="F188" s="129"/>
      <c r="G188" s="132"/>
      <c r="H188" s="132"/>
    </row>
    <row r="189" spans="1:8">
      <c r="A189" s="127"/>
      <c r="B189" s="128"/>
      <c r="C189" s="132"/>
      <c r="D189" s="133"/>
      <c r="E189" s="132"/>
      <c r="F189" s="129"/>
      <c r="G189" s="132"/>
      <c r="H189" s="132"/>
    </row>
    <row r="190" spans="1:8">
      <c r="A190" s="127"/>
      <c r="B190" s="128"/>
      <c r="C190" s="132"/>
      <c r="D190" s="133"/>
      <c r="E190" s="132"/>
      <c r="F190" s="129"/>
      <c r="G190" s="132"/>
      <c r="H190" s="132"/>
    </row>
    <row r="191" spans="1:8">
      <c r="A191" s="127"/>
      <c r="B191" s="128"/>
      <c r="C191" s="132"/>
      <c r="D191" s="133"/>
      <c r="E191" s="132"/>
      <c r="F191" s="129"/>
      <c r="G191" s="132"/>
      <c r="H191" s="132"/>
    </row>
    <row r="192" spans="1:8">
      <c r="A192" s="127"/>
      <c r="B192" s="128"/>
      <c r="C192" s="132"/>
      <c r="D192" s="133"/>
      <c r="E192" s="132"/>
      <c r="F192" s="129"/>
      <c r="G192" s="132"/>
      <c r="H192" s="132"/>
    </row>
    <row r="193" spans="1:8">
      <c r="A193" s="127"/>
      <c r="B193" s="128"/>
      <c r="C193" s="132"/>
      <c r="D193" s="133"/>
      <c r="E193" s="132"/>
      <c r="F193" s="129"/>
      <c r="G193" s="132"/>
      <c r="H193" s="132"/>
    </row>
    <row r="194" spans="1:8">
      <c r="A194" s="127"/>
      <c r="B194" s="128"/>
      <c r="C194" s="132"/>
      <c r="D194" s="133"/>
      <c r="E194" s="132"/>
      <c r="F194" s="129"/>
      <c r="G194" s="132"/>
      <c r="H194" s="132"/>
    </row>
    <row r="195" spans="1:8">
      <c r="A195" s="127"/>
      <c r="B195" s="128"/>
      <c r="C195" s="132"/>
      <c r="D195" s="133"/>
      <c r="E195" s="132"/>
      <c r="F195" s="129"/>
      <c r="G195" s="132"/>
      <c r="H195" s="132"/>
    </row>
    <row r="196" spans="1:8">
      <c r="A196" s="127"/>
      <c r="B196" s="128"/>
      <c r="C196" s="132"/>
      <c r="D196" s="133"/>
      <c r="E196" s="132"/>
      <c r="F196" s="129"/>
      <c r="G196" s="132"/>
      <c r="H196" s="132"/>
    </row>
    <row r="197" spans="1:8">
      <c r="A197" s="127"/>
      <c r="B197" s="128"/>
      <c r="C197" s="132"/>
      <c r="D197" s="133"/>
      <c r="E197" s="132"/>
      <c r="F197" s="129"/>
      <c r="G197" s="132"/>
      <c r="H197" s="132"/>
    </row>
    <row r="198" spans="1:8">
      <c r="A198" s="127"/>
      <c r="B198" s="128"/>
      <c r="C198" s="132"/>
      <c r="D198" s="133"/>
      <c r="E198" s="132"/>
      <c r="F198" s="129"/>
      <c r="G198" s="132"/>
      <c r="H198" s="132"/>
    </row>
    <row r="199" spans="1:8">
      <c r="A199" s="127"/>
      <c r="B199" s="128"/>
      <c r="C199" s="132"/>
      <c r="D199" s="133"/>
      <c r="E199" s="132"/>
      <c r="F199" s="129"/>
      <c r="G199" s="132"/>
      <c r="H199" s="132"/>
    </row>
    <row r="200" spans="1:8">
      <c r="A200" s="127"/>
      <c r="B200" s="128"/>
      <c r="C200" s="132"/>
      <c r="D200" s="133"/>
      <c r="E200" s="132"/>
      <c r="F200" s="129"/>
      <c r="G200" s="132"/>
      <c r="H200" s="132"/>
    </row>
    <row r="201" spans="1:8">
      <c r="A201" s="127"/>
      <c r="B201" s="128"/>
      <c r="C201" s="132"/>
      <c r="D201" s="133"/>
      <c r="E201" s="132"/>
      <c r="F201" s="129"/>
      <c r="G201" s="132"/>
      <c r="H201" s="132"/>
    </row>
    <row r="202" spans="1:8">
      <c r="A202" s="127"/>
      <c r="B202" s="128"/>
      <c r="C202" s="132"/>
      <c r="D202" s="133"/>
      <c r="E202" s="132"/>
      <c r="F202" s="129"/>
      <c r="G202" s="132"/>
      <c r="H202" s="132"/>
    </row>
    <row r="203" spans="1:8">
      <c r="A203" s="127"/>
      <c r="B203" s="128"/>
      <c r="C203" s="132"/>
      <c r="D203" s="133"/>
      <c r="E203" s="132"/>
      <c r="F203" s="129"/>
      <c r="G203" s="132"/>
      <c r="H203" s="132"/>
    </row>
    <row r="204" spans="1:8">
      <c r="A204" s="127"/>
      <c r="B204" s="128"/>
      <c r="C204" s="132"/>
      <c r="D204" s="133"/>
      <c r="E204" s="132"/>
      <c r="F204" s="129"/>
      <c r="G204" s="132"/>
      <c r="H204" s="132"/>
    </row>
    <row r="205" spans="1:8">
      <c r="A205" s="127"/>
      <c r="B205" s="128"/>
      <c r="C205" s="132"/>
      <c r="D205" s="133"/>
      <c r="E205" s="132"/>
      <c r="F205" s="129"/>
      <c r="G205" s="132"/>
      <c r="H205" s="132"/>
    </row>
    <row r="206" spans="1:8">
      <c r="A206" s="127"/>
      <c r="B206" s="128"/>
      <c r="C206" s="132"/>
      <c r="D206" s="133"/>
      <c r="E206" s="132"/>
      <c r="F206" s="129"/>
      <c r="G206" s="132"/>
      <c r="H206" s="132"/>
    </row>
    <row r="207" spans="1:8">
      <c r="A207" s="127"/>
      <c r="B207" s="128"/>
      <c r="C207" s="132"/>
      <c r="D207" s="133"/>
      <c r="E207" s="132"/>
      <c r="F207" s="129"/>
      <c r="G207" s="132"/>
      <c r="H207" s="132"/>
    </row>
    <row r="208" spans="1:8">
      <c r="A208" s="127"/>
      <c r="B208" s="128"/>
      <c r="C208" s="132"/>
      <c r="D208" s="133"/>
      <c r="E208" s="132"/>
      <c r="F208" s="129"/>
      <c r="G208" s="132"/>
      <c r="H208" s="132"/>
    </row>
    <row r="209" spans="1:8">
      <c r="A209" s="127"/>
      <c r="B209" s="128"/>
      <c r="C209" s="132"/>
      <c r="D209" s="133"/>
      <c r="E209" s="132"/>
      <c r="F209" s="129"/>
      <c r="G209" s="132"/>
      <c r="H209" s="132"/>
    </row>
    <row r="210" spans="1:8">
      <c r="A210" s="127"/>
      <c r="B210" s="128"/>
      <c r="C210" s="132"/>
      <c r="D210" s="133"/>
      <c r="E210" s="132"/>
      <c r="F210" s="129"/>
      <c r="G210" s="132"/>
      <c r="H210" s="132"/>
    </row>
    <row r="211" spans="1:8">
      <c r="A211" s="127"/>
      <c r="B211" s="128"/>
      <c r="C211" s="132"/>
      <c r="D211" s="133"/>
      <c r="E211" s="132"/>
      <c r="F211" s="129"/>
      <c r="G211" s="132"/>
      <c r="H211" s="132"/>
    </row>
    <row r="212" spans="1:8">
      <c r="A212" s="127"/>
      <c r="B212" s="128"/>
      <c r="C212" s="132"/>
      <c r="D212" s="133"/>
      <c r="E212" s="132"/>
      <c r="F212" s="129"/>
      <c r="G212" s="132"/>
      <c r="H212" s="132"/>
    </row>
    <row r="213" spans="1:8">
      <c r="A213" s="127"/>
      <c r="B213" s="128"/>
      <c r="C213" s="132"/>
      <c r="D213" s="133"/>
      <c r="E213" s="132"/>
      <c r="F213" s="129"/>
      <c r="G213" s="132"/>
      <c r="H213" s="132"/>
    </row>
    <row r="214" spans="1:8">
      <c r="A214" s="127"/>
      <c r="B214" s="128"/>
      <c r="C214" s="132"/>
      <c r="D214" s="133"/>
      <c r="E214" s="132"/>
      <c r="F214" s="129"/>
      <c r="G214" s="132"/>
      <c r="H214" s="132"/>
    </row>
    <row r="215" spans="1:8">
      <c r="A215" s="127"/>
      <c r="B215" s="128"/>
      <c r="C215" s="132"/>
      <c r="D215" s="133"/>
      <c r="E215" s="132"/>
      <c r="F215" s="129"/>
      <c r="G215" s="132"/>
      <c r="H215" s="132"/>
    </row>
    <row r="216" spans="1:8">
      <c r="A216" s="127"/>
      <c r="B216" s="128"/>
      <c r="C216" s="132"/>
      <c r="D216" s="133"/>
      <c r="E216" s="132"/>
      <c r="F216" s="129"/>
      <c r="G216" s="132"/>
      <c r="H216" s="132"/>
    </row>
    <row r="217" spans="1:8">
      <c r="A217" s="127"/>
      <c r="B217" s="128"/>
      <c r="C217" s="132"/>
      <c r="D217" s="133"/>
      <c r="E217" s="132"/>
      <c r="F217" s="129"/>
      <c r="G217" s="132"/>
      <c r="H217" s="132"/>
    </row>
    <row r="218" spans="1:8">
      <c r="A218" s="127"/>
      <c r="B218" s="128"/>
      <c r="C218" s="132"/>
      <c r="D218" s="133"/>
      <c r="E218" s="132"/>
      <c r="F218" s="129"/>
      <c r="G218" s="132"/>
      <c r="H218" s="132"/>
    </row>
    <row r="219" spans="1:8">
      <c r="A219" s="127"/>
      <c r="B219" s="128"/>
      <c r="C219" s="132"/>
      <c r="D219" s="133"/>
      <c r="E219" s="132"/>
      <c r="F219" s="129"/>
      <c r="G219" s="132"/>
      <c r="H219" s="132"/>
    </row>
    <row r="220" spans="1:8">
      <c r="A220" s="127"/>
      <c r="B220" s="128"/>
      <c r="C220" s="132"/>
      <c r="D220" s="133"/>
      <c r="E220" s="132"/>
      <c r="F220" s="129"/>
      <c r="G220" s="132"/>
      <c r="H220" s="132"/>
    </row>
    <row r="221" spans="1:8">
      <c r="A221" s="127"/>
      <c r="B221" s="128"/>
      <c r="C221" s="132"/>
      <c r="D221" s="133"/>
      <c r="E221" s="132"/>
      <c r="F221" s="129"/>
      <c r="G221" s="132"/>
      <c r="H221" s="132"/>
    </row>
    <row r="222" spans="1:8">
      <c r="A222" s="127"/>
      <c r="B222" s="128"/>
      <c r="C222" s="132"/>
      <c r="D222" s="133"/>
      <c r="E222" s="132"/>
      <c r="F222" s="129"/>
      <c r="G222" s="132"/>
      <c r="H222" s="132"/>
    </row>
    <row r="223" spans="1:8">
      <c r="A223" s="127"/>
      <c r="B223" s="128"/>
      <c r="C223" s="132"/>
      <c r="D223" s="133"/>
      <c r="E223" s="132"/>
      <c r="F223" s="129"/>
      <c r="G223" s="132"/>
      <c r="H223" s="132"/>
    </row>
    <row r="224" spans="1:8">
      <c r="A224" s="127"/>
      <c r="B224" s="128"/>
      <c r="C224" s="132"/>
      <c r="D224" s="133"/>
      <c r="E224" s="132"/>
      <c r="F224" s="129"/>
      <c r="G224" s="132"/>
      <c r="H224" s="132"/>
    </row>
    <row r="225" spans="1:8">
      <c r="A225" s="127"/>
      <c r="B225" s="128"/>
      <c r="C225" s="132"/>
      <c r="D225" s="133"/>
      <c r="E225" s="132"/>
      <c r="F225" s="129"/>
      <c r="G225" s="132"/>
      <c r="H225" s="132"/>
    </row>
    <row r="226" spans="1:8">
      <c r="A226" s="127"/>
      <c r="B226" s="128"/>
      <c r="C226" s="132"/>
      <c r="D226" s="133"/>
      <c r="E226" s="132"/>
      <c r="F226" s="129"/>
      <c r="G226" s="132"/>
      <c r="H226" s="132"/>
    </row>
    <row r="227" spans="1:8">
      <c r="A227" s="127"/>
      <c r="B227" s="128"/>
      <c r="C227" s="132"/>
      <c r="D227" s="133"/>
      <c r="E227" s="132"/>
      <c r="F227" s="129"/>
      <c r="G227" s="132"/>
      <c r="H227" s="132"/>
    </row>
    <row r="228" spans="1:8">
      <c r="A228" s="127"/>
      <c r="B228" s="128"/>
      <c r="C228" s="132"/>
      <c r="D228" s="133"/>
      <c r="E228" s="132"/>
      <c r="F228" s="129"/>
      <c r="G228" s="132"/>
      <c r="H228" s="132"/>
    </row>
    <row r="229" spans="1:8">
      <c r="A229" s="127"/>
      <c r="B229" s="128"/>
      <c r="C229" s="132"/>
      <c r="D229" s="133"/>
      <c r="E229" s="132"/>
      <c r="F229" s="129"/>
      <c r="G229" s="132"/>
      <c r="H229" s="132"/>
    </row>
    <row r="230" spans="1:8">
      <c r="A230" s="127"/>
      <c r="B230" s="128"/>
      <c r="C230" s="132"/>
      <c r="D230" s="133"/>
      <c r="E230" s="132"/>
      <c r="F230" s="129"/>
      <c r="G230" s="132"/>
      <c r="H230" s="132"/>
    </row>
    <row r="231" spans="1:8">
      <c r="A231" s="127"/>
      <c r="B231" s="128"/>
      <c r="C231" s="132"/>
      <c r="D231" s="133"/>
      <c r="E231" s="132"/>
      <c r="F231" s="129"/>
      <c r="G231" s="132"/>
      <c r="H231" s="132"/>
    </row>
    <row r="232" spans="1:8">
      <c r="A232" s="127"/>
      <c r="B232" s="128"/>
      <c r="C232" s="132"/>
      <c r="D232" s="133"/>
      <c r="E232" s="132"/>
      <c r="F232" s="129"/>
      <c r="G232" s="132"/>
      <c r="H232" s="132"/>
    </row>
    <row r="233" spans="1:8">
      <c r="A233" s="127"/>
      <c r="B233" s="128"/>
      <c r="C233" s="132"/>
      <c r="D233" s="133"/>
      <c r="E233" s="132"/>
      <c r="F233" s="129"/>
      <c r="G233" s="132"/>
      <c r="H233" s="132"/>
    </row>
    <row r="234" spans="1:8">
      <c r="A234" s="127"/>
      <c r="B234" s="128"/>
      <c r="C234" s="132"/>
      <c r="D234" s="133"/>
      <c r="E234" s="132"/>
      <c r="F234" s="129"/>
      <c r="G234" s="132"/>
      <c r="H234" s="132"/>
    </row>
    <row r="235" spans="1:8">
      <c r="A235" s="127"/>
      <c r="B235" s="128"/>
      <c r="C235" s="132"/>
      <c r="D235" s="133"/>
      <c r="E235" s="132"/>
      <c r="F235" s="129"/>
      <c r="G235" s="132"/>
      <c r="H235" s="132"/>
    </row>
    <row r="236" spans="1:8">
      <c r="A236" s="127"/>
      <c r="B236" s="128"/>
      <c r="C236" s="132"/>
      <c r="D236" s="133"/>
      <c r="E236" s="132"/>
      <c r="F236" s="129"/>
      <c r="G236" s="132"/>
      <c r="H236" s="132"/>
    </row>
    <row r="237" spans="1:8">
      <c r="A237" s="127"/>
      <c r="B237" s="128"/>
      <c r="C237" s="132"/>
      <c r="D237" s="133"/>
      <c r="E237" s="132"/>
      <c r="F237" s="129"/>
      <c r="G237" s="132"/>
      <c r="H237" s="132"/>
    </row>
    <row r="238" spans="1:8">
      <c r="A238" s="127"/>
      <c r="B238" s="128"/>
      <c r="C238" s="132"/>
      <c r="D238" s="133"/>
      <c r="E238" s="132"/>
      <c r="F238" s="129"/>
      <c r="G238" s="132"/>
      <c r="H238" s="132"/>
    </row>
    <row r="239" spans="1:8">
      <c r="A239" s="127"/>
      <c r="B239" s="128"/>
      <c r="C239" s="132"/>
      <c r="D239" s="133"/>
      <c r="E239" s="132"/>
      <c r="F239" s="129"/>
      <c r="G239" s="132"/>
      <c r="H239" s="132"/>
    </row>
    <row r="240" spans="1:8">
      <c r="A240" s="127"/>
      <c r="B240" s="128"/>
      <c r="C240" s="132"/>
      <c r="D240" s="133"/>
      <c r="E240" s="132"/>
      <c r="F240" s="129"/>
      <c r="G240" s="132"/>
      <c r="H240" s="132"/>
    </row>
    <row r="241" spans="1:8">
      <c r="A241" s="127"/>
      <c r="B241" s="128"/>
      <c r="C241" s="132"/>
      <c r="D241" s="133"/>
      <c r="E241" s="132"/>
      <c r="F241" s="129"/>
      <c r="G241" s="132"/>
      <c r="H241" s="132"/>
    </row>
    <row r="242" spans="1:8">
      <c r="A242" s="127"/>
      <c r="B242" s="128"/>
      <c r="C242" s="132"/>
      <c r="D242" s="133"/>
      <c r="E242" s="132"/>
      <c r="F242" s="129"/>
      <c r="G242" s="132"/>
      <c r="H242" s="132"/>
    </row>
    <row r="243" spans="1:8">
      <c r="A243" s="127"/>
      <c r="B243" s="128"/>
      <c r="C243" s="132"/>
      <c r="D243" s="133"/>
      <c r="E243" s="132"/>
      <c r="F243" s="129"/>
      <c r="G243" s="132"/>
      <c r="H243" s="132"/>
    </row>
    <row r="244" spans="1:8">
      <c r="A244" s="127"/>
      <c r="B244" s="128"/>
      <c r="C244" s="132"/>
      <c r="D244" s="133"/>
      <c r="E244" s="132"/>
      <c r="F244" s="129"/>
      <c r="G244" s="132"/>
      <c r="H244" s="132"/>
    </row>
    <row r="245" spans="1:8">
      <c r="A245" s="127"/>
      <c r="B245" s="128"/>
      <c r="C245" s="132"/>
      <c r="D245" s="133"/>
      <c r="E245" s="132"/>
      <c r="F245" s="129"/>
      <c r="G245" s="132"/>
      <c r="H245" s="132"/>
    </row>
    <row r="246" spans="1:8">
      <c r="A246" s="127"/>
      <c r="B246" s="128"/>
      <c r="C246" s="132"/>
      <c r="D246" s="133"/>
      <c r="E246" s="132"/>
      <c r="F246" s="129"/>
      <c r="G246" s="132"/>
      <c r="H246" s="132"/>
    </row>
    <row r="247" spans="1:8">
      <c r="A247" s="127"/>
      <c r="B247" s="128"/>
      <c r="C247" s="132"/>
      <c r="D247" s="133"/>
      <c r="E247" s="132"/>
      <c r="F247" s="129"/>
      <c r="G247" s="132"/>
      <c r="H247" s="132"/>
    </row>
    <row r="248" spans="1:8">
      <c r="A248" s="127"/>
      <c r="B248" s="128"/>
      <c r="C248" s="132"/>
      <c r="D248" s="133"/>
      <c r="E248" s="132"/>
      <c r="F248" s="129"/>
      <c r="G248" s="132"/>
      <c r="H248" s="132"/>
    </row>
    <row r="249" spans="1:8">
      <c r="A249" s="127"/>
      <c r="B249" s="128"/>
      <c r="C249" s="132"/>
      <c r="D249" s="133"/>
      <c r="E249" s="132"/>
      <c r="F249" s="129"/>
      <c r="G249" s="132"/>
      <c r="H249" s="132"/>
    </row>
    <row r="250" spans="1:8">
      <c r="A250" s="127"/>
      <c r="B250" s="128"/>
      <c r="C250" s="132"/>
      <c r="D250" s="133"/>
      <c r="E250" s="132"/>
      <c r="F250" s="129"/>
      <c r="G250" s="132"/>
      <c r="H250" s="132"/>
    </row>
    <row r="251" spans="1:8">
      <c r="A251" s="127"/>
      <c r="B251" s="128"/>
      <c r="C251" s="132"/>
      <c r="D251" s="133"/>
      <c r="E251" s="132"/>
      <c r="F251" s="129"/>
      <c r="G251" s="132"/>
      <c r="H251" s="132"/>
    </row>
    <row r="252" spans="1:8">
      <c r="A252" s="127"/>
      <c r="B252" s="128"/>
      <c r="C252" s="132"/>
      <c r="D252" s="133"/>
      <c r="E252" s="132"/>
      <c r="F252" s="129"/>
      <c r="G252" s="132"/>
      <c r="H252" s="132"/>
    </row>
    <row r="253" spans="1:8">
      <c r="A253" s="127"/>
      <c r="B253" s="128"/>
      <c r="C253" s="132"/>
      <c r="D253" s="133"/>
      <c r="E253" s="132"/>
      <c r="F253" s="129"/>
      <c r="G253" s="132"/>
      <c r="H253" s="132"/>
    </row>
    <row r="254" spans="1:8">
      <c r="A254" s="127"/>
      <c r="B254" s="128"/>
      <c r="C254" s="132"/>
      <c r="D254" s="133"/>
      <c r="E254" s="132"/>
      <c r="F254" s="129"/>
      <c r="G254" s="132"/>
      <c r="H254" s="132"/>
    </row>
    <row r="255" spans="1:8">
      <c r="A255" s="127"/>
      <c r="B255" s="128"/>
      <c r="C255" s="132"/>
      <c r="D255" s="133"/>
      <c r="E255" s="132"/>
      <c r="F255" s="129"/>
      <c r="G255" s="132"/>
      <c r="H255" s="132"/>
    </row>
    <row r="256" spans="1:8">
      <c r="A256" s="127"/>
      <c r="B256" s="128"/>
      <c r="C256" s="132"/>
      <c r="D256" s="133"/>
      <c r="E256" s="132"/>
      <c r="F256" s="129"/>
      <c r="G256" s="132"/>
      <c r="H256" s="132"/>
    </row>
    <row r="257" spans="1:8">
      <c r="A257" s="127"/>
      <c r="B257" s="128"/>
      <c r="C257" s="132"/>
      <c r="D257" s="133"/>
      <c r="E257" s="132"/>
      <c r="F257" s="129"/>
      <c r="G257" s="132"/>
      <c r="H257" s="132"/>
    </row>
    <row r="258" spans="1:8">
      <c r="A258" s="127"/>
      <c r="B258" s="128"/>
      <c r="C258" s="132"/>
      <c r="D258" s="133"/>
      <c r="E258" s="132"/>
      <c r="F258" s="129"/>
      <c r="G258" s="132"/>
      <c r="H258" s="132"/>
    </row>
    <row r="259" spans="1:8">
      <c r="A259" s="127"/>
      <c r="B259" s="128"/>
      <c r="C259" s="132"/>
      <c r="D259" s="133"/>
      <c r="E259" s="132"/>
      <c r="F259" s="129"/>
      <c r="G259" s="132"/>
      <c r="H259" s="132"/>
    </row>
    <row r="260" spans="1:8">
      <c r="A260" s="127"/>
      <c r="B260" s="128"/>
      <c r="C260" s="132"/>
      <c r="D260" s="133"/>
      <c r="E260" s="132"/>
      <c r="F260" s="129"/>
      <c r="G260" s="132"/>
      <c r="H260" s="132"/>
    </row>
    <row r="261" spans="1:8">
      <c r="A261" s="127"/>
      <c r="B261" s="128"/>
      <c r="C261" s="132"/>
      <c r="D261" s="133"/>
      <c r="E261" s="132"/>
      <c r="F261" s="129"/>
      <c r="G261" s="132"/>
      <c r="H261" s="132"/>
    </row>
    <row r="262" spans="1:8">
      <c r="A262" s="127"/>
      <c r="B262" s="128"/>
      <c r="C262" s="132"/>
      <c r="D262" s="133"/>
      <c r="E262" s="132"/>
      <c r="F262" s="129"/>
      <c r="G262" s="132"/>
      <c r="H262" s="132"/>
    </row>
    <row r="263" spans="1:8">
      <c r="A263" s="127"/>
      <c r="B263" s="128"/>
      <c r="C263" s="132"/>
      <c r="D263" s="133"/>
      <c r="E263" s="132"/>
      <c r="F263" s="129"/>
      <c r="G263" s="132"/>
      <c r="H263" s="132"/>
    </row>
    <row r="264" spans="1:8">
      <c r="A264" s="127"/>
      <c r="B264" s="128"/>
      <c r="C264" s="132"/>
      <c r="D264" s="133"/>
      <c r="E264" s="132"/>
      <c r="F264" s="129"/>
      <c r="G264" s="132"/>
      <c r="H264" s="132"/>
    </row>
    <row r="265" spans="1:8">
      <c r="A265" s="127"/>
      <c r="B265" s="128"/>
      <c r="C265" s="132"/>
      <c r="D265" s="133"/>
      <c r="E265" s="132"/>
      <c r="F265" s="129"/>
      <c r="G265" s="132"/>
      <c r="H265" s="132"/>
    </row>
    <row r="266" spans="1:8">
      <c r="A266" s="127"/>
      <c r="B266" s="128"/>
      <c r="C266" s="132"/>
      <c r="D266" s="133"/>
      <c r="E266" s="132"/>
      <c r="F266" s="129"/>
      <c r="G266" s="132"/>
      <c r="H266" s="132"/>
    </row>
    <row r="267" spans="1:8">
      <c r="A267" s="127"/>
      <c r="B267" s="128"/>
      <c r="C267" s="132"/>
      <c r="D267" s="133"/>
      <c r="E267" s="132"/>
      <c r="F267" s="129"/>
      <c r="G267" s="132"/>
      <c r="H267" s="132"/>
    </row>
    <row r="268" spans="1:8">
      <c r="A268" s="127"/>
      <c r="B268" s="128"/>
      <c r="C268" s="132"/>
      <c r="D268" s="133"/>
      <c r="E268" s="132"/>
      <c r="F268" s="129"/>
      <c r="G268" s="132"/>
      <c r="H268" s="132"/>
    </row>
    <row r="269" spans="1:8">
      <c r="A269" s="127"/>
      <c r="B269" s="128"/>
      <c r="C269" s="132"/>
      <c r="D269" s="133"/>
      <c r="E269" s="132"/>
      <c r="F269" s="129"/>
      <c r="G269" s="132"/>
      <c r="H269" s="132"/>
    </row>
    <row r="270" spans="1:8">
      <c r="A270" s="127"/>
      <c r="B270" s="128"/>
      <c r="C270" s="132"/>
      <c r="D270" s="133"/>
      <c r="E270" s="132"/>
      <c r="F270" s="129"/>
      <c r="G270" s="132"/>
      <c r="H270" s="132"/>
    </row>
    <row r="271" spans="1:8">
      <c r="A271" s="127"/>
      <c r="B271" s="128"/>
      <c r="C271" s="132"/>
      <c r="D271" s="133"/>
      <c r="E271" s="132"/>
      <c r="F271" s="129"/>
      <c r="G271" s="132"/>
      <c r="H271" s="132"/>
    </row>
    <row r="272" spans="1:8">
      <c r="A272" s="127"/>
      <c r="B272" s="128"/>
      <c r="C272" s="132"/>
      <c r="D272" s="133"/>
      <c r="E272" s="132"/>
      <c r="F272" s="129"/>
      <c r="G272" s="132"/>
      <c r="H272" s="132"/>
    </row>
    <row r="273" spans="1:8">
      <c r="A273" s="127"/>
      <c r="B273" s="128"/>
      <c r="C273" s="132"/>
      <c r="D273" s="133"/>
      <c r="E273" s="132"/>
      <c r="F273" s="129"/>
      <c r="G273" s="132"/>
      <c r="H273" s="132"/>
    </row>
    <row r="274" spans="1:8">
      <c r="A274" s="127"/>
      <c r="B274" s="128"/>
      <c r="C274" s="132"/>
      <c r="D274" s="133"/>
      <c r="E274" s="132"/>
      <c r="F274" s="129"/>
      <c r="G274" s="132"/>
      <c r="H274" s="132"/>
    </row>
    <row r="275" spans="1:8">
      <c r="A275" s="127"/>
      <c r="B275" s="128"/>
      <c r="C275" s="132"/>
      <c r="D275" s="133"/>
      <c r="E275" s="132"/>
      <c r="F275" s="129"/>
      <c r="G275" s="132"/>
      <c r="H275" s="132"/>
    </row>
    <row r="276" spans="1:8">
      <c r="A276" s="127"/>
      <c r="B276" s="128"/>
      <c r="C276" s="132"/>
      <c r="D276" s="133"/>
      <c r="E276" s="132"/>
      <c r="F276" s="129"/>
      <c r="G276" s="132"/>
      <c r="H276" s="132"/>
    </row>
    <row r="277" spans="1:8">
      <c r="A277" s="127"/>
      <c r="B277" s="128"/>
      <c r="C277" s="132"/>
      <c r="D277" s="133"/>
      <c r="E277" s="132"/>
      <c r="F277" s="129"/>
      <c r="G277" s="132"/>
      <c r="H277" s="132"/>
    </row>
    <row r="278" spans="1:8">
      <c r="A278" s="127"/>
      <c r="B278" s="128"/>
      <c r="C278" s="132"/>
      <c r="D278" s="133"/>
      <c r="E278" s="132"/>
      <c r="F278" s="129"/>
      <c r="G278" s="132"/>
      <c r="H278" s="132"/>
    </row>
    <row r="279" spans="1:8">
      <c r="A279" s="127"/>
      <c r="B279" s="128"/>
      <c r="C279" s="132"/>
      <c r="D279" s="133"/>
      <c r="E279" s="132"/>
      <c r="F279" s="129"/>
      <c r="G279" s="132"/>
      <c r="H279" s="132"/>
    </row>
    <row r="280" spans="1:8">
      <c r="A280" s="127"/>
      <c r="B280" s="128"/>
      <c r="C280" s="132"/>
      <c r="D280" s="133"/>
      <c r="E280" s="132"/>
      <c r="F280" s="129"/>
      <c r="G280" s="132"/>
      <c r="H280" s="132"/>
    </row>
    <row r="281" spans="1:8">
      <c r="A281" s="127"/>
      <c r="B281" s="128"/>
      <c r="C281" s="132"/>
      <c r="D281" s="133"/>
      <c r="E281" s="132"/>
      <c r="F281" s="129"/>
      <c r="G281" s="132"/>
      <c r="H281" s="132"/>
    </row>
    <row r="282" spans="1:8">
      <c r="A282" s="127"/>
      <c r="B282" s="128"/>
      <c r="C282" s="132"/>
      <c r="D282" s="133"/>
      <c r="E282" s="132"/>
      <c r="F282" s="129"/>
      <c r="G282" s="132"/>
      <c r="H282" s="132"/>
    </row>
    <row r="283" spans="1:8">
      <c r="A283" s="127"/>
      <c r="B283" s="128"/>
      <c r="C283" s="132"/>
      <c r="D283" s="133"/>
      <c r="E283" s="132"/>
      <c r="F283" s="129"/>
      <c r="G283" s="132"/>
      <c r="H283" s="132"/>
    </row>
    <row r="284" spans="1:8">
      <c r="A284" s="127"/>
      <c r="B284" s="128"/>
      <c r="C284" s="132"/>
      <c r="D284" s="133"/>
      <c r="E284" s="132"/>
      <c r="F284" s="129"/>
      <c r="G284" s="132"/>
      <c r="H284" s="132"/>
    </row>
    <row r="285" spans="1:8">
      <c r="A285" s="127"/>
      <c r="B285" s="128"/>
      <c r="C285" s="132"/>
      <c r="D285" s="133"/>
      <c r="E285" s="132"/>
      <c r="F285" s="129"/>
      <c r="G285" s="132"/>
      <c r="H285" s="132"/>
    </row>
    <row r="286" spans="1:8">
      <c r="A286" s="127"/>
      <c r="B286" s="128"/>
      <c r="C286" s="132"/>
      <c r="D286" s="133"/>
      <c r="E286" s="132"/>
      <c r="F286" s="129"/>
      <c r="G286" s="132"/>
      <c r="H286" s="132"/>
    </row>
    <row r="287" spans="1:8">
      <c r="A287" s="127"/>
      <c r="B287" s="128"/>
      <c r="C287" s="132"/>
      <c r="D287" s="133"/>
      <c r="E287" s="132"/>
      <c r="F287" s="129"/>
      <c r="G287" s="132"/>
      <c r="H287" s="132"/>
    </row>
    <row r="288" spans="1:8">
      <c r="A288" s="127"/>
      <c r="B288" s="128"/>
      <c r="C288" s="132"/>
      <c r="D288" s="133"/>
      <c r="E288" s="132"/>
      <c r="F288" s="129"/>
      <c r="G288" s="132"/>
      <c r="H288" s="132"/>
    </row>
    <row r="289" spans="1:8">
      <c r="A289" s="127"/>
      <c r="B289" s="128"/>
      <c r="C289" s="132"/>
      <c r="D289" s="133"/>
      <c r="E289" s="132"/>
      <c r="F289" s="129"/>
      <c r="G289" s="132"/>
      <c r="H289" s="132"/>
    </row>
    <row r="290" spans="1:8">
      <c r="A290" s="127"/>
      <c r="B290" s="128"/>
      <c r="C290" s="132"/>
      <c r="D290" s="133"/>
      <c r="E290" s="132"/>
      <c r="F290" s="129"/>
      <c r="G290" s="132"/>
      <c r="H290" s="132"/>
    </row>
    <row r="291" spans="1:8">
      <c r="A291" s="127"/>
      <c r="B291" s="128"/>
      <c r="C291" s="132"/>
      <c r="D291" s="133"/>
      <c r="E291" s="132"/>
      <c r="F291" s="129"/>
      <c r="G291" s="132"/>
      <c r="H291" s="132"/>
    </row>
    <row r="292" spans="1:8">
      <c r="A292" s="127"/>
      <c r="B292" s="128"/>
      <c r="C292" s="132"/>
      <c r="D292" s="133"/>
      <c r="E292" s="132"/>
      <c r="F292" s="129"/>
      <c r="G292" s="132"/>
      <c r="H292" s="132"/>
    </row>
    <row r="293" spans="1:8">
      <c r="A293" s="127"/>
      <c r="B293" s="128"/>
      <c r="C293" s="132"/>
      <c r="D293" s="133"/>
      <c r="E293" s="132"/>
      <c r="F293" s="129"/>
      <c r="G293" s="132"/>
      <c r="H293" s="132"/>
    </row>
    <row r="294" spans="1:8">
      <c r="A294" s="127"/>
      <c r="B294" s="128"/>
      <c r="C294" s="132"/>
      <c r="D294" s="133"/>
      <c r="E294" s="132"/>
      <c r="F294" s="129"/>
      <c r="G294" s="132"/>
      <c r="H294" s="132"/>
    </row>
    <row r="295" spans="1:8">
      <c r="A295" s="127"/>
      <c r="B295" s="128"/>
      <c r="C295" s="132"/>
      <c r="D295" s="133"/>
      <c r="E295" s="132"/>
      <c r="F295" s="129"/>
      <c r="G295" s="132"/>
      <c r="H295" s="132"/>
    </row>
    <row r="296" spans="1:8">
      <c r="A296" s="127"/>
      <c r="B296" s="128"/>
      <c r="C296" s="132"/>
      <c r="D296" s="133"/>
      <c r="E296" s="132"/>
      <c r="F296" s="129"/>
      <c r="G296" s="132"/>
      <c r="H296" s="132"/>
    </row>
    <row r="297" spans="1:8">
      <c r="A297" s="127"/>
      <c r="B297" s="128"/>
      <c r="C297" s="132"/>
      <c r="D297" s="133"/>
      <c r="E297" s="132"/>
      <c r="F297" s="129"/>
      <c r="G297" s="132"/>
      <c r="H297" s="132"/>
    </row>
    <row r="298" spans="1:8">
      <c r="A298" s="127"/>
      <c r="B298" s="128"/>
      <c r="C298" s="132"/>
      <c r="D298" s="133"/>
      <c r="E298" s="132"/>
      <c r="F298" s="129"/>
      <c r="G298" s="132"/>
      <c r="H298" s="132"/>
    </row>
    <row r="299" spans="1:8">
      <c r="A299" s="127"/>
      <c r="B299" s="128"/>
      <c r="C299" s="132"/>
      <c r="D299" s="133"/>
      <c r="E299" s="132"/>
      <c r="F299" s="129"/>
      <c r="G299" s="132"/>
      <c r="H299" s="132"/>
    </row>
    <row r="300" spans="1:8">
      <c r="A300" s="127"/>
      <c r="B300" s="128"/>
      <c r="C300" s="132"/>
      <c r="D300" s="133"/>
      <c r="E300" s="132"/>
      <c r="F300" s="129"/>
      <c r="G300" s="132"/>
      <c r="H300" s="132"/>
    </row>
    <row r="301" spans="1:8">
      <c r="A301" s="127"/>
      <c r="B301" s="128"/>
      <c r="C301" s="132"/>
      <c r="D301" s="133"/>
      <c r="E301" s="132"/>
      <c r="F301" s="129"/>
      <c r="G301" s="132"/>
      <c r="H301" s="132"/>
    </row>
    <row r="302" spans="1:8">
      <c r="A302" s="127"/>
      <c r="B302" s="128"/>
      <c r="C302" s="132"/>
      <c r="D302" s="133"/>
      <c r="E302" s="132"/>
      <c r="F302" s="129"/>
      <c r="G302" s="132"/>
      <c r="H302" s="132"/>
    </row>
    <row r="303" spans="1:8">
      <c r="A303" s="127"/>
      <c r="B303" s="128"/>
      <c r="C303" s="132"/>
      <c r="D303" s="133"/>
      <c r="E303" s="132"/>
      <c r="F303" s="129"/>
      <c r="G303" s="132"/>
      <c r="H303" s="132"/>
    </row>
    <row r="304" spans="1:8">
      <c r="A304" s="127"/>
      <c r="B304" s="128"/>
      <c r="C304" s="132"/>
      <c r="D304" s="133"/>
      <c r="E304" s="132"/>
      <c r="F304" s="129"/>
      <c r="G304" s="132"/>
      <c r="H304" s="132"/>
    </row>
    <row r="305" spans="1:8">
      <c r="A305" s="127"/>
      <c r="B305" s="128"/>
      <c r="C305" s="132"/>
      <c r="D305" s="133"/>
      <c r="E305" s="132"/>
      <c r="F305" s="129"/>
      <c r="G305" s="132"/>
      <c r="H305" s="132"/>
    </row>
    <row r="306" spans="1:8">
      <c r="A306" s="127"/>
      <c r="B306" s="128"/>
      <c r="C306" s="132"/>
      <c r="D306" s="133"/>
      <c r="E306" s="132"/>
      <c r="F306" s="129"/>
      <c r="G306" s="132"/>
      <c r="H306" s="132"/>
    </row>
    <row r="307" spans="1:8">
      <c r="A307" s="127"/>
      <c r="B307" s="128"/>
      <c r="C307" s="132"/>
      <c r="D307" s="133"/>
      <c r="E307" s="132"/>
      <c r="F307" s="129"/>
      <c r="G307" s="132"/>
      <c r="H307" s="132"/>
    </row>
    <row r="308" spans="1:8">
      <c r="A308" s="127"/>
      <c r="B308" s="128"/>
      <c r="C308" s="132"/>
      <c r="D308" s="133"/>
      <c r="E308" s="132"/>
      <c r="F308" s="129"/>
      <c r="G308" s="132"/>
      <c r="H308" s="132"/>
    </row>
    <row r="309" spans="1:8">
      <c r="A309" s="127"/>
      <c r="B309" s="128"/>
      <c r="C309" s="132"/>
      <c r="D309" s="133"/>
      <c r="E309" s="132"/>
      <c r="F309" s="129"/>
      <c r="G309" s="132"/>
      <c r="H309" s="132"/>
    </row>
    <row r="310" spans="1:8">
      <c r="A310" s="127"/>
      <c r="B310" s="128"/>
      <c r="C310" s="132"/>
      <c r="D310" s="133"/>
      <c r="E310" s="132"/>
      <c r="F310" s="129"/>
      <c r="G310" s="132"/>
      <c r="H310" s="132"/>
    </row>
    <row r="311" spans="1:8">
      <c r="A311" s="127"/>
      <c r="B311" s="128"/>
      <c r="C311" s="132"/>
      <c r="D311" s="133"/>
      <c r="E311" s="132"/>
      <c r="F311" s="129"/>
      <c r="G311" s="132"/>
      <c r="H311" s="132"/>
    </row>
    <row r="312" spans="1:8">
      <c r="A312" s="127"/>
      <c r="B312" s="128"/>
      <c r="C312" s="132"/>
      <c r="D312" s="133"/>
      <c r="E312" s="132"/>
      <c r="F312" s="129"/>
      <c r="G312" s="132"/>
      <c r="H312" s="132"/>
    </row>
    <row r="313" spans="1:8">
      <c r="A313" s="127"/>
      <c r="B313" s="128"/>
      <c r="C313" s="132"/>
      <c r="D313" s="133"/>
      <c r="E313" s="132"/>
      <c r="F313" s="129"/>
      <c r="G313" s="132"/>
      <c r="H313" s="132"/>
    </row>
    <row r="314" spans="1:8">
      <c r="A314" s="127"/>
      <c r="B314" s="128"/>
      <c r="C314" s="132"/>
      <c r="D314" s="133"/>
      <c r="E314" s="132"/>
      <c r="F314" s="129"/>
      <c r="G314" s="132"/>
      <c r="H314" s="132"/>
    </row>
    <row r="315" spans="1:8">
      <c r="A315" s="127"/>
      <c r="B315" s="128"/>
      <c r="C315" s="132"/>
      <c r="D315" s="133"/>
      <c r="E315" s="132"/>
      <c r="F315" s="129"/>
      <c r="G315" s="132"/>
      <c r="H315" s="132"/>
    </row>
    <row r="316" spans="1:8">
      <c r="A316" s="127"/>
      <c r="B316" s="128"/>
      <c r="C316" s="132"/>
      <c r="D316" s="133"/>
      <c r="E316" s="132"/>
      <c r="F316" s="129"/>
      <c r="G316" s="132"/>
      <c r="H316" s="132"/>
    </row>
    <row r="317" spans="1:8">
      <c r="A317" s="127"/>
      <c r="B317" s="128"/>
      <c r="C317" s="132"/>
      <c r="D317" s="133"/>
      <c r="E317" s="132"/>
      <c r="F317" s="129"/>
      <c r="G317" s="132"/>
      <c r="H317" s="132"/>
    </row>
    <row r="318" spans="1:8">
      <c r="A318" s="127"/>
      <c r="B318" s="128"/>
      <c r="C318" s="132"/>
      <c r="D318" s="133"/>
      <c r="E318" s="132"/>
      <c r="F318" s="129"/>
      <c r="G318" s="132"/>
      <c r="H318" s="132"/>
    </row>
    <row r="319" spans="1:8">
      <c r="A319" s="127"/>
      <c r="B319" s="128"/>
      <c r="C319" s="132"/>
      <c r="D319" s="133"/>
      <c r="E319" s="132"/>
      <c r="F319" s="129"/>
      <c r="G319" s="132"/>
      <c r="H319" s="132"/>
    </row>
    <row r="320" spans="1:8">
      <c r="A320" s="127"/>
      <c r="B320" s="128"/>
      <c r="C320" s="132"/>
      <c r="D320" s="133"/>
      <c r="E320" s="132"/>
      <c r="F320" s="129"/>
      <c r="G320" s="132"/>
      <c r="H320" s="132"/>
    </row>
    <row r="321" spans="1:8">
      <c r="A321" s="127"/>
      <c r="B321" s="128"/>
      <c r="C321" s="132"/>
      <c r="D321" s="133"/>
      <c r="E321" s="132"/>
      <c r="F321" s="129"/>
      <c r="G321" s="132"/>
      <c r="H321" s="132"/>
    </row>
    <row r="322" spans="1:8">
      <c r="A322" s="127"/>
      <c r="B322" s="128"/>
      <c r="C322" s="132"/>
      <c r="D322" s="133"/>
      <c r="E322" s="132"/>
      <c r="F322" s="129"/>
      <c r="G322" s="132"/>
      <c r="H322" s="132"/>
    </row>
    <row r="323" spans="1:8">
      <c r="A323" s="127"/>
      <c r="B323" s="128"/>
      <c r="C323" s="132"/>
      <c r="D323" s="133"/>
      <c r="E323" s="132"/>
      <c r="F323" s="129"/>
      <c r="G323" s="132"/>
      <c r="H323" s="132"/>
    </row>
    <row r="324" spans="1:8">
      <c r="A324" s="127"/>
      <c r="B324" s="128"/>
      <c r="C324" s="132"/>
      <c r="D324" s="133"/>
      <c r="E324" s="132"/>
      <c r="F324" s="129"/>
      <c r="G324" s="132"/>
      <c r="H324" s="132"/>
    </row>
    <row r="325" spans="1:8">
      <c r="A325" s="127"/>
      <c r="B325" s="128"/>
      <c r="C325" s="132"/>
      <c r="D325" s="133"/>
      <c r="E325" s="132"/>
      <c r="F325" s="129"/>
      <c r="G325" s="132"/>
      <c r="H325" s="132"/>
    </row>
    <row r="326" spans="1:8">
      <c r="A326" s="127"/>
      <c r="B326" s="128"/>
      <c r="C326" s="132"/>
      <c r="D326" s="133"/>
      <c r="E326" s="132"/>
      <c r="F326" s="129"/>
      <c r="G326" s="132"/>
      <c r="H326" s="132"/>
    </row>
    <row r="327" spans="1:8">
      <c r="A327" s="127"/>
      <c r="B327" s="128"/>
      <c r="C327" s="132"/>
      <c r="D327" s="133"/>
      <c r="E327" s="132"/>
      <c r="F327" s="129"/>
      <c r="G327" s="132"/>
      <c r="H327" s="132"/>
    </row>
    <row r="328" spans="1:8">
      <c r="A328" s="127"/>
      <c r="B328" s="128"/>
      <c r="C328" s="132"/>
      <c r="D328" s="133"/>
      <c r="E328" s="132"/>
      <c r="F328" s="129"/>
      <c r="G328" s="132"/>
      <c r="H328" s="132"/>
    </row>
    <row r="329" spans="1:8">
      <c r="A329" s="127"/>
      <c r="B329" s="128"/>
      <c r="C329" s="132"/>
      <c r="D329" s="133"/>
      <c r="E329" s="132"/>
      <c r="F329" s="129"/>
      <c r="G329" s="132"/>
      <c r="H329" s="132"/>
    </row>
    <row r="330" spans="1:8">
      <c r="A330" s="127"/>
      <c r="B330" s="128"/>
      <c r="C330" s="132"/>
      <c r="D330" s="133"/>
      <c r="E330" s="132"/>
      <c r="F330" s="129"/>
      <c r="G330" s="132"/>
      <c r="H330" s="132"/>
    </row>
    <row r="331" spans="1:8">
      <c r="A331" s="127"/>
      <c r="B331" s="128"/>
      <c r="C331" s="132"/>
      <c r="D331" s="133"/>
      <c r="E331" s="132"/>
      <c r="F331" s="129"/>
      <c r="G331" s="132"/>
      <c r="H331" s="132"/>
    </row>
    <row r="332" spans="1:8">
      <c r="A332" s="127"/>
      <c r="B332" s="128"/>
      <c r="C332" s="132"/>
      <c r="D332" s="133"/>
      <c r="E332" s="132"/>
      <c r="F332" s="129"/>
      <c r="G332" s="132"/>
      <c r="H332" s="132"/>
    </row>
    <row r="333" spans="1:8">
      <c r="A333" s="127"/>
      <c r="B333" s="128"/>
      <c r="C333" s="132"/>
      <c r="D333" s="133"/>
      <c r="E333" s="132"/>
      <c r="F333" s="129"/>
      <c r="G333" s="132"/>
      <c r="H333" s="132"/>
    </row>
    <row r="334" spans="1:8">
      <c r="A334" s="127"/>
      <c r="B334" s="128"/>
      <c r="C334" s="132"/>
      <c r="D334" s="133"/>
      <c r="E334" s="132"/>
      <c r="F334" s="129"/>
      <c r="G334" s="132"/>
      <c r="H334" s="132"/>
    </row>
    <row r="335" spans="1:8">
      <c r="A335" s="127"/>
      <c r="B335" s="128"/>
      <c r="C335" s="132"/>
      <c r="D335" s="133"/>
      <c r="E335" s="132"/>
      <c r="F335" s="129"/>
      <c r="G335" s="132"/>
      <c r="H335" s="132"/>
    </row>
    <row r="336" spans="1:8">
      <c r="A336" s="127"/>
      <c r="B336" s="128"/>
      <c r="C336" s="132"/>
      <c r="D336" s="133"/>
      <c r="E336" s="132"/>
      <c r="F336" s="129"/>
      <c r="G336" s="132"/>
      <c r="H336" s="132"/>
    </row>
    <row r="337" spans="1:8">
      <c r="A337" s="127"/>
      <c r="B337" s="128"/>
      <c r="C337" s="132"/>
      <c r="D337" s="133"/>
      <c r="E337" s="132"/>
      <c r="F337" s="129"/>
      <c r="G337" s="132"/>
      <c r="H337" s="132"/>
    </row>
    <row r="338" spans="1:8">
      <c r="A338" s="127"/>
      <c r="B338" s="128"/>
      <c r="C338" s="132"/>
      <c r="D338" s="133"/>
      <c r="E338" s="132"/>
      <c r="F338" s="129"/>
      <c r="G338" s="132"/>
      <c r="H338" s="132"/>
    </row>
    <row r="339" spans="1:8">
      <c r="A339" s="127"/>
      <c r="B339" s="128"/>
      <c r="C339" s="132"/>
      <c r="D339" s="133"/>
      <c r="E339" s="132"/>
      <c r="F339" s="129"/>
      <c r="G339" s="132"/>
      <c r="H339" s="132"/>
    </row>
    <row r="340" spans="1:8">
      <c r="A340" s="127"/>
      <c r="B340" s="128"/>
      <c r="C340" s="132"/>
      <c r="D340" s="133"/>
      <c r="E340" s="132"/>
      <c r="F340" s="129"/>
      <c r="G340" s="132"/>
      <c r="H340" s="132"/>
    </row>
    <row r="341" spans="1:8">
      <c r="A341" s="127"/>
      <c r="B341" s="128"/>
      <c r="C341" s="132"/>
      <c r="D341" s="133"/>
      <c r="E341" s="132"/>
      <c r="F341" s="129"/>
      <c r="G341" s="132"/>
      <c r="H341" s="132"/>
    </row>
    <row r="342" spans="1:8">
      <c r="A342" s="127"/>
      <c r="B342" s="128"/>
      <c r="C342" s="132"/>
      <c r="D342" s="133"/>
      <c r="E342" s="132"/>
      <c r="F342" s="129"/>
      <c r="G342" s="132"/>
      <c r="H342" s="132"/>
    </row>
    <row r="343" spans="1:8">
      <c r="A343" s="127"/>
      <c r="B343" s="128"/>
      <c r="C343" s="132"/>
      <c r="D343" s="133"/>
      <c r="E343" s="132"/>
      <c r="F343" s="129"/>
      <c r="G343" s="132"/>
      <c r="H343" s="132"/>
    </row>
    <row r="344" spans="1:8">
      <c r="A344" s="127"/>
      <c r="B344" s="128"/>
      <c r="C344" s="132"/>
      <c r="D344" s="133"/>
      <c r="E344" s="132"/>
      <c r="F344" s="129"/>
      <c r="G344" s="132"/>
      <c r="H344" s="132"/>
    </row>
    <row r="345" spans="1:8">
      <c r="A345" s="127"/>
      <c r="B345" s="128"/>
      <c r="C345" s="132"/>
      <c r="D345" s="133"/>
      <c r="E345" s="132"/>
      <c r="F345" s="129"/>
      <c r="G345" s="132"/>
      <c r="H345" s="132"/>
    </row>
    <row r="346" spans="1:8">
      <c r="A346" s="127"/>
      <c r="B346" s="128"/>
      <c r="C346" s="132"/>
      <c r="D346" s="133"/>
      <c r="E346" s="132"/>
      <c r="F346" s="129"/>
      <c r="G346" s="132"/>
      <c r="H346" s="132"/>
    </row>
    <row r="347" spans="1:8">
      <c r="A347" s="127"/>
      <c r="B347" s="128"/>
      <c r="C347" s="132"/>
      <c r="D347" s="133"/>
      <c r="E347" s="132"/>
      <c r="F347" s="129"/>
      <c r="G347" s="132"/>
      <c r="H347" s="132"/>
    </row>
    <row r="348" spans="1:8">
      <c r="A348" s="127"/>
      <c r="B348" s="128"/>
      <c r="C348" s="132"/>
      <c r="D348" s="133"/>
      <c r="E348" s="132"/>
      <c r="F348" s="129"/>
      <c r="G348" s="132"/>
      <c r="H348" s="132"/>
    </row>
    <row r="349" spans="1:8">
      <c r="A349" s="127"/>
      <c r="B349" s="128"/>
      <c r="C349" s="132"/>
      <c r="D349" s="133"/>
      <c r="E349" s="132"/>
      <c r="F349" s="129"/>
      <c r="G349" s="132"/>
      <c r="H349" s="132"/>
    </row>
    <row r="350" spans="1:8">
      <c r="A350" s="127"/>
      <c r="B350" s="128"/>
      <c r="C350" s="132"/>
      <c r="D350" s="133"/>
      <c r="E350" s="132"/>
      <c r="F350" s="129"/>
      <c r="G350" s="132"/>
      <c r="H350" s="132"/>
    </row>
    <row r="351" spans="1:8">
      <c r="A351" s="127"/>
      <c r="B351" s="128"/>
      <c r="C351" s="132"/>
      <c r="D351" s="133"/>
      <c r="E351" s="132"/>
      <c r="F351" s="129"/>
      <c r="G351" s="132"/>
      <c r="H351" s="132"/>
    </row>
    <row r="352" spans="1:8">
      <c r="A352" s="127"/>
      <c r="B352" s="128"/>
      <c r="C352" s="132"/>
      <c r="D352" s="133"/>
      <c r="E352" s="132"/>
      <c r="F352" s="129"/>
      <c r="G352" s="132"/>
      <c r="H352" s="132"/>
    </row>
    <row r="353" spans="1:8">
      <c r="A353" s="127"/>
      <c r="B353" s="128"/>
      <c r="C353" s="132"/>
      <c r="D353" s="133"/>
      <c r="E353" s="132"/>
      <c r="F353" s="129"/>
      <c r="G353" s="132"/>
      <c r="H353" s="132"/>
    </row>
    <row r="354" spans="1:8">
      <c r="A354" s="127"/>
      <c r="B354" s="128"/>
      <c r="C354" s="132"/>
      <c r="D354" s="133"/>
      <c r="E354" s="132"/>
      <c r="F354" s="129"/>
      <c r="G354" s="132"/>
      <c r="H354" s="132"/>
    </row>
    <row r="355" spans="1:8">
      <c r="A355" s="127"/>
      <c r="B355" s="128"/>
      <c r="C355" s="132"/>
      <c r="D355" s="133"/>
      <c r="E355" s="132"/>
      <c r="F355" s="129"/>
      <c r="G355" s="132"/>
      <c r="H355" s="132"/>
    </row>
    <row r="356" spans="1:8">
      <c r="A356" s="127"/>
      <c r="B356" s="128"/>
      <c r="C356" s="132"/>
      <c r="D356" s="133"/>
      <c r="E356" s="132"/>
      <c r="F356" s="129"/>
      <c r="G356" s="132"/>
      <c r="H356" s="132"/>
    </row>
    <row r="357" spans="1:8">
      <c r="A357" s="127"/>
      <c r="B357" s="128"/>
      <c r="C357" s="132"/>
      <c r="D357" s="133"/>
      <c r="E357" s="132"/>
      <c r="F357" s="129"/>
      <c r="G357" s="132"/>
      <c r="H357" s="132"/>
    </row>
    <row r="358" spans="1:8">
      <c r="A358" s="127"/>
      <c r="B358" s="128"/>
      <c r="C358" s="132"/>
      <c r="D358" s="133"/>
      <c r="E358" s="132"/>
      <c r="F358" s="129"/>
      <c r="G358" s="132"/>
      <c r="H358" s="132"/>
    </row>
    <row r="359" spans="1:8">
      <c r="A359" s="127"/>
      <c r="B359" s="128"/>
      <c r="C359" s="132"/>
      <c r="D359" s="133"/>
      <c r="E359" s="132"/>
      <c r="F359" s="129"/>
      <c r="G359" s="132"/>
      <c r="H359" s="132"/>
    </row>
    <row r="360" spans="1:8">
      <c r="A360" s="127"/>
      <c r="B360" s="128"/>
      <c r="C360" s="132"/>
      <c r="D360" s="133"/>
      <c r="E360" s="132"/>
      <c r="F360" s="129"/>
      <c r="G360" s="132"/>
      <c r="H360" s="132"/>
    </row>
    <row r="361" spans="1:8">
      <c r="A361" s="127"/>
      <c r="B361" s="128"/>
      <c r="C361" s="132"/>
      <c r="D361" s="133"/>
      <c r="E361" s="132"/>
      <c r="F361" s="129"/>
      <c r="G361" s="132"/>
      <c r="H361" s="132"/>
    </row>
    <row r="362" spans="1:8">
      <c r="A362" s="127"/>
      <c r="B362" s="128"/>
      <c r="C362" s="132"/>
      <c r="D362" s="133"/>
      <c r="E362" s="132"/>
      <c r="F362" s="129"/>
      <c r="G362" s="132"/>
      <c r="H362" s="132"/>
    </row>
    <row r="363" spans="1:8">
      <c r="A363" s="127"/>
      <c r="B363" s="128"/>
      <c r="C363" s="132"/>
      <c r="D363" s="133"/>
      <c r="E363" s="132"/>
      <c r="F363" s="129"/>
      <c r="G363" s="132"/>
      <c r="H363" s="132"/>
    </row>
    <row r="364" spans="1:8">
      <c r="A364" s="127"/>
      <c r="B364" s="128"/>
      <c r="C364" s="132"/>
      <c r="D364" s="133"/>
      <c r="E364" s="132"/>
      <c r="F364" s="129"/>
      <c r="G364" s="132"/>
      <c r="H364" s="132"/>
    </row>
    <row r="365" spans="1:8">
      <c r="A365" s="127"/>
      <c r="B365" s="128"/>
      <c r="C365" s="132"/>
      <c r="D365" s="133"/>
      <c r="E365" s="132"/>
      <c r="F365" s="129"/>
      <c r="G365" s="132"/>
      <c r="H365" s="132"/>
    </row>
    <row r="366" spans="1:8">
      <c r="A366" s="127"/>
      <c r="B366" s="128"/>
      <c r="C366" s="132"/>
      <c r="D366" s="133"/>
      <c r="E366" s="132"/>
      <c r="F366" s="129"/>
      <c r="G366" s="132"/>
      <c r="H366" s="132"/>
    </row>
    <row r="367" spans="1:8">
      <c r="A367" s="127"/>
      <c r="B367" s="128"/>
      <c r="C367" s="132"/>
      <c r="D367" s="133"/>
      <c r="E367" s="132"/>
      <c r="F367" s="129"/>
      <c r="G367" s="132"/>
      <c r="H367" s="132"/>
    </row>
    <row r="368" spans="1:8">
      <c r="A368" s="127"/>
      <c r="B368" s="128"/>
      <c r="C368" s="132"/>
      <c r="D368" s="133"/>
      <c r="E368" s="132"/>
      <c r="F368" s="129"/>
      <c r="G368" s="132"/>
      <c r="H368" s="132"/>
    </row>
    <row r="369" spans="1:8">
      <c r="A369" s="127"/>
      <c r="B369" s="128"/>
      <c r="C369" s="132"/>
      <c r="D369" s="133"/>
      <c r="E369" s="132"/>
      <c r="F369" s="129"/>
      <c r="G369" s="132"/>
      <c r="H369" s="132"/>
    </row>
    <row r="370" spans="1:8">
      <c r="A370" s="127"/>
      <c r="B370" s="128"/>
      <c r="C370" s="132"/>
      <c r="D370" s="133"/>
      <c r="E370" s="132"/>
      <c r="F370" s="129"/>
      <c r="G370" s="132"/>
      <c r="H370" s="132"/>
    </row>
    <row r="371" spans="1:8">
      <c r="A371" s="127"/>
      <c r="B371" s="128"/>
      <c r="C371" s="132"/>
      <c r="D371" s="133"/>
      <c r="E371" s="132"/>
      <c r="F371" s="129"/>
      <c r="G371" s="132"/>
      <c r="H371" s="132"/>
    </row>
    <row r="372" spans="1:8">
      <c r="A372" s="127"/>
      <c r="B372" s="128"/>
      <c r="C372" s="132"/>
      <c r="D372" s="133"/>
      <c r="E372" s="132"/>
      <c r="F372" s="129"/>
      <c r="G372" s="132"/>
      <c r="H372" s="132"/>
    </row>
    <row r="373" spans="1:8">
      <c r="A373" s="127"/>
      <c r="B373" s="128"/>
      <c r="C373" s="132"/>
      <c r="D373" s="133"/>
      <c r="E373" s="132"/>
      <c r="F373" s="129"/>
      <c r="G373" s="132"/>
      <c r="H373" s="132"/>
    </row>
    <row r="374" spans="1:8">
      <c r="A374" s="127"/>
      <c r="B374" s="128"/>
      <c r="C374" s="132"/>
      <c r="D374" s="133"/>
      <c r="E374" s="132"/>
      <c r="F374" s="129"/>
      <c r="G374" s="132"/>
      <c r="H374" s="132"/>
    </row>
    <row r="375" spans="1:8">
      <c r="A375" s="127"/>
      <c r="B375" s="128"/>
      <c r="C375" s="132"/>
      <c r="D375" s="133"/>
      <c r="E375" s="132"/>
      <c r="F375" s="129"/>
      <c r="G375" s="132"/>
      <c r="H375" s="132"/>
    </row>
    <row r="376" spans="1:8">
      <c r="A376" s="127"/>
      <c r="B376" s="128"/>
      <c r="C376" s="132"/>
      <c r="D376" s="133"/>
      <c r="E376" s="132"/>
      <c r="F376" s="129"/>
      <c r="G376" s="132"/>
      <c r="H376" s="132"/>
    </row>
    <row r="377" spans="1:8">
      <c r="A377" s="127"/>
      <c r="B377" s="128"/>
      <c r="C377" s="132"/>
      <c r="D377" s="133"/>
      <c r="E377" s="132"/>
      <c r="F377" s="129"/>
      <c r="G377" s="132"/>
      <c r="H377" s="132"/>
    </row>
    <row r="378" spans="1:8">
      <c r="A378" s="127"/>
      <c r="B378" s="128"/>
      <c r="C378" s="132"/>
      <c r="D378" s="133"/>
      <c r="E378" s="132"/>
      <c r="F378" s="129"/>
      <c r="G378" s="132"/>
      <c r="H378" s="132"/>
    </row>
    <row r="379" spans="1:8">
      <c r="A379" s="127"/>
      <c r="B379" s="128"/>
      <c r="C379" s="132"/>
      <c r="D379" s="133"/>
      <c r="E379" s="132"/>
      <c r="F379" s="129"/>
      <c r="G379" s="132"/>
      <c r="H379" s="132"/>
    </row>
    <row r="380" spans="1:8">
      <c r="A380" s="127"/>
      <c r="B380" s="128"/>
      <c r="C380" s="132"/>
      <c r="D380" s="133"/>
      <c r="E380" s="132"/>
      <c r="F380" s="129"/>
      <c r="G380" s="132"/>
      <c r="H380" s="132"/>
    </row>
    <row r="381" spans="1:8">
      <c r="A381" s="127"/>
      <c r="B381" s="128"/>
      <c r="C381" s="132"/>
      <c r="D381" s="133"/>
      <c r="E381" s="132"/>
      <c r="F381" s="129"/>
      <c r="G381" s="132"/>
      <c r="H381" s="132"/>
    </row>
    <row r="382" spans="1:8">
      <c r="A382" s="127"/>
      <c r="B382" s="128"/>
      <c r="C382" s="132"/>
      <c r="D382" s="133"/>
      <c r="E382" s="132"/>
      <c r="F382" s="129"/>
      <c r="G382" s="132"/>
      <c r="H382" s="132"/>
    </row>
    <row r="383" spans="1:8">
      <c r="A383" s="127"/>
      <c r="B383" s="128"/>
      <c r="C383" s="132"/>
      <c r="D383" s="133"/>
      <c r="E383" s="132"/>
      <c r="F383" s="129"/>
      <c r="G383" s="132"/>
      <c r="H383" s="132"/>
    </row>
    <row r="384" spans="1:8">
      <c r="A384" s="127"/>
      <c r="B384" s="128"/>
      <c r="C384" s="132"/>
      <c r="D384" s="133"/>
      <c r="E384" s="132"/>
      <c r="F384" s="129"/>
      <c r="G384" s="132"/>
      <c r="H384" s="132"/>
    </row>
    <row r="385" spans="1:8">
      <c r="A385" s="127"/>
      <c r="B385" s="128"/>
      <c r="C385" s="132"/>
      <c r="D385" s="133"/>
      <c r="E385" s="132"/>
      <c r="F385" s="129"/>
      <c r="G385" s="132"/>
      <c r="H385" s="132"/>
    </row>
    <row r="386" spans="1:8">
      <c r="A386" s="127"/>
      <c r="B386" s="128"/>
      <c r="C386" s="132"/>
      <c r="D386" s="133"/>
      <c r="E386" s="132"/>
      <c r="F386" s="129"/>
      <c r="G386" s="132"/>
      <c r="H386" s="132"/>
    </row>
    <row r="387" spans="1:8">
      <c r="A387" s="127"/>
      <c r="B387" s="128"/>
      <c r="C387" s="132"/>
      <c r="D387" s="133"/>
      <c r="E387" s="132"/>
      <c r="F387" s="129"/>
      <c r="G387" s="132"/>
      <c r="H387" s="132"/>
    </row>
    <row r="388" spans="1:8">
      <c r="A388" s="127"/>
      <c r="B388" s="128"/>
      <c r="C388" s="132"/>
      <c r="D388" s="133"/>
      <c r="E388" s="132"/>
      <c r="F388" s="129"/>
      <c r="G388" s="132"/>
      <c r="H388" s="132"/>
    </row>
    <row r="389" spans="1:8">
      <c r="A389" s="127"/>
      <c r="B389" s="128"/>
      <c r="C389" s="132"/>
      <c r="D389" s="133"/>
      <c r="E389" s="132"/>
      <c r="F389" s="129"/>
      <c r="G389" s="132"/>
      <c r="H389" s="132"/>
    </row>
    <row r="390" spans="1:8">
      <c r="A390" s="127"/>
      <c r="B390" s="128"/>
      <c r="C390" s="132"/>
      <c r="D390" s="133"/>
      <c r="E390" s="132"/>
      <c r="F390" s="129"/>
      <c r="G390" s="132"/>
      <c r="H390" s="132"/>
    </row>
    <row r="391" spans="1:8">
      <c r="A391" s="127"/>
      <c r="B391" s="128"/>
      <c r="C391" s="132"/>
      <c r="D391" s="133"/>
      <c r="E391" s="132"/>
      <c r="F391" s="129"/>
      <c r="G391" s="132"/>
      <c r="H391" s="132"/>
    </row>
    <row r="392" spans="1:8">
      <c r="A392" s="127"/>
      <c r="B392" s="128"/>
      <c r="C392" s="132"/>
      <c r="D392" s="133"/>
      <c r="E392" s="132"/>
      <c r="F392" s="129"/>
      <c r="G392" s="132"/>
      <c r="H392" s="132"/>
    </row>
    <row r="393" spans="1:8">
      <c r="A393" s="127"/>
      <c r="B393" s="128"/>
      <c r="C393" s="132"/>
      <c r="D393" s="133"/>
      <c r="E393" s="132"/>
      <c r="F393" s="129"/>
      <c r="G393" s="132"/>
      <c r="H393" s="132"/>
    </row>
    <row r="394" spans="1:8">
      <c r="A394" s="127"/>
      <c r="B394" s="128"/>
      <c r="C394" s="132"/>
      <c r="D394" s="133"/>
      <c r="E394" s="132"/>
      <c r="F394" s="129"/>
      <c r="G394" s="132"/>
      <c r="H394" s="132"/>
    </row>
    <row r="395" spans="1:8">
      <c r="A395" s="127"/>
      <c r="B395" s="128"/>
      <c r="C395" s="132"/>
      <c r="D395" s="133"/>
      <c r="E395" s="132"/>
      <c r="F395" s="129"/>
      <c r="G395" s="132"/>
      <c r="H395" s="132"/>
    </row>
    <row r="396" spans="1:8">
      <c r="A396" s="127"/>
      <c r="B396" s="128"/>
      <c r="C396" s="132"/>
      <c r="D396" s="133"/>
      <c r="E396" s="132"/>
      <c r="F396" s="129"/>
      <c r="G396" s="132"/>
      <c r="H396" s="132"/>
    </row>
    <row r="397" spans="1:8">
      <c r="A397" s="127"/>
      <c r="B397" s="128"/>
      <c r="C397" s="132"/>
      <c r="D397" s="133"/>
      <c r="E397" s="132"/>
      <c r="F397" s="129"/>
      <c r="G397" s="132"/>
      <c r="H397" s="132"/>
    </row>
    <row r="398" spans="1:8">
      <c r="A398" s="127"/>
      <c r="B398" s="128"/>
      <c r="C398" s="132"/>
      <c r="D398" s="133"/>
      <c r="E398" s="132"/>
      <c r="F398" s="129"/>
      <c r="G398" s="132"/>
      <c r="H398" s="132"/>
    </row>
    <row r="399" spans="1:8">
      <c r="A399" s="127"/>
      <c r="B399" s="128"/>
      <c r="C399" s="132"/>
      <c r="D399" s="133"/>
      <c r="E399" s="132"/>
      <c r="F399" s="129"/>
      <c r="G399" s="132"/>
      <c r="H399" s="132"/>
    </row>
    <row r="400" spans="1:8">
      <c r="A400" s="127"/>
      <c r="B400" s="128"/>
      <c r="C400" s="132"/>
      <c r="D400" s="133"/>
      <c r="E400" s="132"/>
      <c r="F400" s="129"/>
      <c r="G400" s="132"/>
      <c r="H400" s="132"/>
    </row>
    <row r="401" spans="1:8">
      <c r="A401" s="127"/>
      <c r="B401" s="128"/>
      <c r="C401" s="132"/>
      <c r="D401" s="133"/>
      <c r="E401" s="132"/>
      <c r="F401" s="129"/>
      <c r="G401" s="132"/>
      <c r="H401" s="132"/>
    </row>
    <row r="402" spans="1:8">
      <c r="A402" s="127"/>
      <c r="B402" s="128"/>
      <c r="C402" s="132"/>
      <c r="D402" s="133"/>
      <c r="E402" s="132"/>
      <c r="F402" s="129"/>
      <c r="G402" s="132"/>
      <c r="H402" s="132"/>
    </row>
    <row r="403" spans="1:8">
      <c r="A403" s="127"/>
      <c r="B403" s="128"/>
      <c r="C403" s="132"/>
      <c r="D403" s="133"/>
      <c r="E403" s="132"/>
      <c r="F403" s="129"/>
      <c r="G403" s="132"/>
      <c r="H403" s="132"/>
    </row>
    <row r="404" spans="1:8">
      <c r="A404" s="127"/>
      <c r="B404" s="128"/>
      <c r="C404" s="132"/>
      <c r="D404" s="133"/>
      <c r="E404" s="132"/>
      <c r="F404" s="129"/>
      <c r="G404" s="132"/>
      <c r="H404" s="132"/>
    </row>
    <row r="405" spans="1:8">
      <c r="A405" s="127"/>
      <c r="B405" s="128"/>
      <c r="C405" s="132"/>
      <c r="D405" s="133"/>
      <c r="E405" s="132"/>
      <c r="F405" s="129"/>
      <c r="G405" s="132"/>
      <c r="H405" s="132"/>
    </row>
    <row r="406" spans="1:8">
      <c r="A406" s="127"/>
      <c r="B406" s="128"/>
      <c r="C406" s="132"/>
      <c r="D406" s="133"/>
      <c r="E406" s="132"/>
      <c r="F406" s="129"/>
      <c r="G406" s="132"/>
      <c r="H406" s="132"/>
    </row>
    <row r="407" spans="1:8">
      <c r="A407" s="127"/>
      <c r="B407" s="128"/>
      <c r="C407" s="132"/>
      <c r="D407" s="133"/>
      <c r="E407" s="132"/>
      <c r="F407" s="129"/>
      <c r="G407" s="132"/>
      <c r="H407" s="132"/>
    </row>
    <row r="408" spans="1:8">
      <c r="A408" s="127"/>
      <c r="B408" s="128"/>
      <c r="C408" s="132"/>
      <c r="D408" s="133"/>
      <c r="E408" s="132"/>
      <c r="F408" s="129"/>
      <c r="G408" s="132"/>
      <c r="H408" s="132"/>
    </row>
    <row r="409" spans="1:8">
      <c r="A409" s="127"/>
      <c r="B409" s="128"/>
      <c r="C409" s="132"/>
      <c r="D409" s="133"/>
      <c r="E409" s="132"/>
      <c r="F409" s="129"/>
      <c r="G409" s="132"/>
      <c r="H409" s="132"/>
    </row>
    <row r="410" spans="1:8">
      <c r="A410" s="127"/>
      <c r="B410" s="128"/>
      <c r="C410" s="132"/>
      <c r="D410" s="133"/>
      <c r="E410" s="132"/>
      <c r="F410" s="129"/>
      <c r="G410" s="132"/>
      <c r="H410" s="132"/>
    </row>
    <row r="411" spans="1:8">
      <c r="A411" s="127"/>
      <c r="B411" s="128"/>
      <c r="C411" s="132"/>
      <c r="D411" s="133"/>
      <c r="E411" s="132"/>
      <c r="F411" s="129"/>
      <c r="G411" s="132"/>
      <c r="H411" s="132"/>
    </row>
    <row r="412" spans="1:8">
      <c r="A412" s="127"/>
      <c r="B412" s="128"/>
      <c r="C412" s="132"/>
      <c r="D412" s="133"/>
      <c r="E412" s="132"/>
      <c r="F412" s="129"/>
      <c r="G412" s="132"/>
      <c r="H412" s="132"/>
    </row>
    <row r="413" spans="1:8">
      <c r="A413" s="127"/>
      <c r="B413" s="128"/>
      <c r="C413" s="132"/>
      <c r="D413" s="133"/>
      <c r="E413" s="132"/>
      <c r="F413" s="129"/>
      <c r="G413" s="132"/>
      <c r="H413" s="132"/>
    </row>
    <row r="414" spans="1:8">
      <c r="A414" s="127"/>
      <c r="B414" s="128"/>
      <c r="C414" s="132"/>
      <c r="D414" s="133"/>
      <c r="E414" s="132"/>
      <c r="F414" s="129"/>
      <c r="G414" s="132"/>
      <c r="H414" s="132"/>
    </row>
    <row r="415" spans="1:8">
      <c r="A415" s="127"/>
      <c r="B415" s="128"/>
      <c r="C415" s="132"/>
      <c r="D415" s="133"/>
      <c r="E415" s="132"/>
      <c r="F415" s="129"/>
      <c r="G415" s="132"/>
      <c r="H415" s="132"/>
    </row>
    <row r="416" spans="1:8">
      <c r="A416" s="127"/>
      <c r="B416" s="128"/>
      <c r="C416" s="132"/>
      <c r="D416" s="133"/>
      <c r="E416" s="132"/>
      <c r="F416" s="129"/>
      <c r="G416" s="132"/>
      <c r="H416" s="132"/>
    </row>
    <row r="417" spans="1:8">
      <c r="A417" s="127"/>
      <c r="B417" s="128"/>
      <c r="C417" s="132"/>
      <c r="D417" s="133"/>
      <c r="E417" s="132"/>
      <c r="F417" s="129"/>
      <c r="G417" s="132"/>
      <c r="H417" s="132"/>
    </row>
    <row r="418" spans="1:8">
      <c r="A418" s="127"/>
      <c r="B418" s="128"/>
      <c r="C418" s="132"/>
      <c r="D418" s="133"/>
      <c r="E418" s="132"/>
      <c r="F418" s="129"/>
      <c r="G418" s="132"/>
      <c r="H418" s="132"/>
    </row>
    <row r="419" spans="1:8">
      <c r="A419" s="127"/>
      <c r="B419" s="128"/>
      <c r="C419" s="132"/>
      <c r="D419" s="133"/>
      <c r="E419" s="132"/>
      <c r="F419" s="129"/>
      <c r="G419" s="132"/>
      <c r="H419" s="132"/>
    </row>
    <row r="420" spans="1:8">
      <c r="A420" s="127"/>
      <c r="B420" s="128"/>
      <c r="C420" s="132"/>
      <c r="D420" s="133"/>
      <c r="E420" s="132"/>
      <c r="F420" s="129"/>
      <c r="G420" s="132"/>
      <c r="H420" s="132"/>
    </row>
    <row r="421" spans="1:8">
      <c r="A421" s="127"/>
      <c r="B421" s="128"/>
      <c r="C421" s="132"/>
      <c r="D421" s="133"/>
      <c r="E421" s="132"/>
      <c r="F421" s="129"/>
      <c r="G421" s="132"/>
      <c r="H421" s="132"/>
    </row>
    <row r="422" spans="1:8">
      <c r="A422" s="127"/>
      <c r="B422" s="128"/>
      <c r="C422" s="132"/>
      <c r="D422" s="133"/>
      <c r="E422" s="132"/>
      <c r="F422" s="129"/>
      <c r="G422" s="132"/>
      <c r="H422" s="132"/>
    </row>
    <row r="423" spans="1:8">
      <c r="A423" s="127"/>
      <c r="B423" s="128"/>
      <c r="C423" s="132"/>
      <c r="D423" s="133"/>
      <c r="E423" s="132"/>
      <c r="F423" s="129"/>
      <c r="G423" s="132"/>
      <c r="H423" s="132"/>
    </row>
    <row r="424" spans="1:8">
      <c r="A424" s="127"/>
      <c r="B424" s="128"/>
      <c r="C424" s="132"/>
      <c r="D424" s="133"/>
      <c r="E424" s="132"/>
      <c r="F424" s="129"/>
      <c r="G424" s="132"/>
      <c r="H424" s="132"/>
    </row>
    <row r="425" spans="1:8">
      <c r="A425" s="127"/>
      <c r="B425" s="128"/>
      <c r="C425" s="132"/>
      <c r="D425" s="133"/>
      <c r="E425" s="132"/>
      <c r="F425" s="129"/>
      <c r="G425" s="132"/>
      <c r="H425" s="132"/>
    </row>
    <row r="426" spans="1:8">
      <c r="A426" s="127"/>
      <c r="B426" s="128"/>
      <c r="C426" s="132"/>
      <c r="D426" s="133"/>
      <c r="E426" s="132"/>
      <c r="F426" s="129"/>
      <c r="G426" s="132"/>
      <c r="H426" s="132"/>
    </row>
    <row r="427" spans="1:8">
      <c r="A427" s="127"/>
      <c r="B427" s="128"/>
      <c r="C427" s="132"/>
      <c r="D427" s="133"/>
      <c r="E427" s="132"/>
      <c r="F427" s="129"/>
      <c r="G427" s="132"/>
      <c r="H427" s="132"/>
    </row>
    <row r="428" spans="1:8">
      <c r="A428" s="127"/>
      <c r="B428" s="128"/>
      <c r="C428" s="132"/>
      <c r="D428" s="133"/>
      <c r="E428" s="132"/>
      <c r="F428" s="129"/>
      <c r="G428" s="132"/>
      <c r="H428" s="132"/>
    </row>
    <row r="429" spans="1:8">
      <c r="A429" s="127"/>
      <c r="B429" s="128"/>
      <c r="C429" s="132"/>
      <c r="D429" s="133"/>
      <c r="E429" s="132"/>
      <c r="F429" s="129"/>
      <c r="G429" s="132"/>
      <c r="H429" s="132"/>
    </row>
    <row r="430" spans="1:8">
      <c r="A430" s="127"/>
      <c r="B430" s="128"/>
      <c r="C430" s="132"/>
      <c r="D430" s="133"/>
      <c r="E430" s="132"/>
      <c r="F430" s="129"/>
      <c r="G430" s="132"/>
      <c r="H430" s="132"/>
    </row>
    <row r="431" spans="1:8">
      <c r="A431" s="127"/>
      <c r="B431" s="128"/>
      <c r="C431" s="132"/>
      <c r="D431" s="133"/>
      <c r="E431" s="132"/>
      <c r="F431" s="129"/>
      <c r="G431" s="132"/>
      <c r="H431" s="132"/>
    </row>
    <row r="432" spans="1:8">
      <c r="A432" s="127"/>
      <c r="B432" s="128"/>
      <c r="C432" s="132"/>
      <c r="D432" s="133"/>
      <c r="E432" s="132"/>
      <c r="F432" s="129"/>
      <c r="G432" s="132"/>
      <c r="H432" s="132"/>
    </row>
    <row r="433" spans="1:8">
      <c r="A433" s="127"/>
      <c r="B433" s="128"/>
      <c r="C433" s="132"/>
      <c r="D433" s="133"/>
      <c r="E433" s="132"/>
      <c r="F433" s="129"/>
      <c r="G433" s="132"/>
      <c r="H433" s="132"/>
    </row>
    <row r="434" spans="1:8">
      <c r="A434" s="127"/>
      <c r="B434" s="128"/>
      <c r="C434" s="132"/>
      <c r="D434" s="133"/>
      <c r="E434" s="132"/>
      <c r="F434" s="129"/>
      <c r="G434" s="132"/>
      <c r="H434" s="132"/>
    </row>
    <row r="435" spans="1:8">
      <c r="A435" s="127"/>
      <c r="B435" s="128"/>
      <c r="C435" s="132"/>
      <c r="D435" s="133"/>
      <c r="E435" s="132"/>
      <c r="F435" s="129"/>
      <c r="G435" s="132"/>
      <c r="H435" s="132"/>
    </row>
    <row r="436" spans="1:8">
      <c r="A436" s="127"/>
      <c r="B436" s="128"/>
      <c r="C436" s="132"/>
      <c r="D436" s="133"/>
      <c r="E436" s="132"/>
      <c r="F436" s="129"/>
      <c r="G436" s="132"/>
      <c r="H436" s="132"/>
    </row>
    <row r="437" spans="1:8">
      <c r="A437" s="127"/>
      <c r="B437" s="128"/>
      <c r="C437" s="132"/>
      <c r="D437" s="133"/>
      <c r="E437" s="132"/>
      <c r="F437" s="129"/>
      <c r="G437" s="132"/>
      <c r="H437" s="132"/>
    </row>
    <row r="438" spans="1:8">
      <c r="A438" s="127"/>
      <c r="B438" s="128"/>
      <c r="C438" s="132"/>
      <c r="D438" s="133"/>
      <c r="E438" s="132"/>
      <c r="F438" s="129"/>
      <c r="G438" s="132"/>
      <c r="H438" s="132"/>
    </row>
    <row r="439" spans="1:8">
      <c r="A439" s="127"/>
      <c r="B439" s="128"/>
      <c r="C439" s="132"/>
      <c r="D439" s="133"/>
      <c r="E439" s="132"/>
      <c r="F439" s="129"/>
      <c r="G439" s="132"/>
      <c r="H439" s="132"/>
    </row>
    <row r="440" spans="1:8">
      <c r="A440" s="127"/>
      <c r="B440" s="128"/>
      <c r="C440" s="132"/>
      <c r="D440" s="133"/>
      <c r="E440" s="132"/>
      <c r="F440" s="129"/>
      <c r="G440" s="132"/>
      <c r="H440" s="132"/>
    </row>
    <row r="441" spans="1:8">
      <c r="A441" s="127"/>
      <c r="B441" s="128"/>
      <c r="C441" s="132"/>
      <c r="D441" s="133"/>
      <c r="E441" s="132"/>
      <c r="F441" s="129"/>
      <c r="G441" s="132"/>
      <c r="H441" s="132"/>
    </row>
    <row r="442" spans="1:8">
      <c r="A442" s="127"/>
      <c r="B442" s="128"/>
      <c r="C442" s="132"/>
      <c r="D442" s="133"/>
      <c r="E442" s="132"/>
      <c r="F442" s="129"/>
      <c r="G442" s="132"/>
      <c r="H442" s="132"/>
    </row>
    <row r="443" spans="1:8">
      <c r="A443" s="127"/>
      <c r="B443" s="128"/>
      <c r="C443" s="132"/>
      <c r="D443" s="133"/>
      <c r="E443" s="132"/>
      <c r="F443" s="129"/>
      <c r="G443" s="132"/>
      <c r="H443" s="132"/>
    </row>
    <row r="444" spans="1:8">
      <c r="A444" s="127"/>
      <c r="B444" s="128"/>
      <c r="C444" s="132"/>
      <c r="D444" s="133"/>
      <c r="E444" s="132"/>
      <c r="F444" s="129"/>
      <c r="G444" s="132"/>
      <c r="H444" s="132"/>
    </row>
    <row r="445" spans="1:8">
      <c r="A445" s="127"/>
      <c r="B445" s="128"/>
      <c r="C445" s="132"/>
      <c r="D445" s="133"/>
      <c r="E445" s="132"/>
      <c r="F445" s="129"/>
      <c r="G445" s="132"/>
      <c r="H445" s="132"/>
    </row>
    <row r="446" spans="1:8">
      <c r="A446" s="127"/>
      <c r="B446" s="128"/>
      <c r="C446" s="132"/>
      <c r="D446" s="133"/>
      <c r="E446" s="132"/>
      <c r="F446" s="129"/>
      <c r="G446" s="132"/>
      <c r="H446" s="132"/>
    </row>
    <row r="447" spans="1:8">
      <c r="A447" s="127"/>
      <c r="B447" s="128"/>
      <c r="C447" s="132"/>
      <c r="D447" s="133"/>
      <c r="E447" s="132"/>
      <c r="F447" s="129"/>
      <c r="G447" s="132"/>
      <c r="H447" s="132"/>
    </row>
    <row r="448" spans="1:8">
      <c r="A448" s="127"/>
      <c r="B448" s="128"/>
      <c r="C448" s="132"/>
      <c r="D448" s="133"/>
      <c r="E448" s="132"/>
      <c r="F448" s="129"/>
      <c r="G448" s="132"/>
      <c r="H448" s="132"/>
    </row>
    <row r="449" spans="1:8">
      <c r="A449" s="127"/>
      <c r="B449" s="128"/>
      <c r="C449" s="132"/>
      <c r="D449" s="133"/>
      <c r="E449" s="132"/>
      <c r="F449" s="129"/>
      <c r="G449" s="132"/>
      <c r="H449" s="132"/>
    </row>
    <row r="450" spans="1:8">
      <c r="A450" s="127"/>
      <c r="B450" s="128"/>
      <c r="C450" s="132"/>
      <c r="D450" s="133"/>
      <c r="E450" s="132"/>
      <c r="F450" s="129"/>
      <c r="G450" s="132"/>
      <c r="H450" s="132"/>
    </row>
    <row r="451" spans="1:8">
      <c r="A451" s="127"/>
      <c r="B451" s="128"/>
      <c r="C451" s="132"/>
      <c r="D451" s="133"/>
      <c r="E451" s="132"/>
      <c r="F451" s="129"/>
      <c r="G451" s="132"/>
      <c r="H451" s="132"/>
    </row>
    <row r="452" spans="1:8">
      <c r="A452" s="127"/>
      <c r="B452" s="128"/>
      <c r="C452" s="132"/>
      <c r="D452" s="133"/>
      <c r="E452" s="132"/>
      <c r="F452" s="129"/>
      <c r="G452" s="132"/>
      <c r="H452" s="132"/>
    </row>
    <row r="453" spans="1:8">
      <c r="A453" s="127"/>
      <c r="B453" s="128"/>
      <c r="C453" s="132"/>
      <c r="D453" s="133"/>
      <c r="E453" s="132"/>
      <c r="F453" s="129"/>
      <c r="G453" s="132"/>
      <c r="H453" s="132"/>
    </row>
    <row r="454" spans="1:8">
      <c r="A454" s="127"/>
      <c r="B454" s="128"/>
      <c r="C454" s="132"/>
      <c r="D454" s="133"/>
      <c r="E454" s="132"/>
      <c r="F454" s="129"/>
      <c r="G454" s="132"/>
      <c r="H454" s="132"/>
    </row>
    <row r="455" spans="1:8">
      <c r="A455" s="127"/>
      <c r="B455" s="128"/>
      <c r="C455" s="132"/>
      <c r="D455" s="133"/>
      <c r="E455" s="132"/>
      <c r="F455" s="129"/>
      <c r="G455" s="132"/>
      <c r="H455" s="132"/>
    </row>
    <row r="456" spans="1:8">
      <c r="A456" s="127"/>
      <c r="B456" s="128"/>
      <c r="C456" s="132"/>
      <c r="D456" s="133"/>
      <c r="E456" s="132"/>
      <c r="F456" s="129"/>
      <c r="G456" s="132"/>
      <c r="H456" s="132"/>
    </row>
    <row r="457" spans="1:8">
      <c r="A457" s="127"/>
      <c r="B457" s="128"/>
      <c r="C457" s="132"/>
      <c r="D457" s="133"/>
      <c r="E457" s="132"/>
      <c r="F457" s="129"/>
      <c r="G457" s="132"/>
      <c r="H457" s="132"/>
    </row>
    <row r="458" spans="1:8">
      <c r="A458" s="127"/>
      <c r="B458" s="128"/>
      <c r="C458" s="132"/>
      <c r="D458" s="133"/>
      <c r="E458" s="132"/>
      <c r="F458" s="129"/>
      <c r="G458" s="132"/>
      <c r="H458" s="132"/>
    </row>
    <row r="459" spans="1:8">
      <c r="A459" s="127"/>
      <c r="B459" s="128"/>
      <c r="C459" s="132"/>
      <c r="D459" s="133"/>
      <c r="E459" s="132"/>
      <c r="F459" s="129"/>
      <c r="G459" s="132"/>
      <c r="H459" s="132"/>
    </row>
    <row r="460" spans="1:8">
      <c r="A460" s="127"/>
      <c r="B460" s="128"/>
      <c r="C460" s="132"/>
      <c r="D460" s="133"/>
      <c r="E460" s="132"/>
      <c r="F460" s="129"/>
      <c r="G460" s="132"/>
      <c r="H460" s="132"/>
    </row>
    <row r="461" spans="1:8">
      <c r="A461" s="127"/>
      <c r="B461" s="128"/>
      <c r="C461" s="132"/>
      <c r="D461" s="133"/>
      <c r="E461" s="132"/>
      <c r="F461" s="129"/>
      <c r="G461" s="132"/>
      <c r="H461" s="132"/>
    </row>
    <row r="462" spans="1:8">
      <c r="A462" s="127"/>
      <c r="B462" s="128"/>
      <c r="C462" s="132"/>
      <c r="D462" s="133"/>
      <c r="E462" s="132"/>
      <c r="F462" s="129"/>
      <c r="G462" s="132"/>
      <c r="H462" s="132"/>
    </row>
    <row r="463" spans="1:8">
      <c r="A463" s="127"/>
      <c r="B463" s="128"/>
      <c r="C463" s="132"/>
      <c r="D463" s="133"/>
      <c r="E463" s="132"/>
      <c r="F463" s="129"/>
      <c r="G463" s="132"/>
      <c r="H463" s="132"/>
    </row>
    <row r="464" spans="1:8">
      <c r="A464" s="127"/>
      <c r="B464" s="128"/>
      <c r="C464" s="132"/>
      <c r="D464" s="133"/>
      <c r="E464" s="132"/>
      <c r="F464" s="129"/>
      <c r="G464" s="132"/>
      <c r="H464" s="132"/>
    </row>
    <row r="465" spans="1:8">
      <c r="A465" s="127"/>
      <c r="B465" s="128"/>
      <c r="C465" s="132"/>
      <c r="D465" s="133"/>
      <c r="E465" s="132"/>
      <c r="F465" s="129"/>
      <c r="G465" s="132"/>
      <c r="H465" s="132"/>
    </row>
    <row r="466" spans="1:8">
      <c r="A466" s="127"/>
      <c r="B466" s="128"/>
      <c r="C466" s="132"/>
      <c r="D466" s="133"/>
      <c r="E466" s="132"/>
      <c r="F466" s="129"/>
      <c r="G466" s="132"/>
      <c r="H466" s="132"/>
    </row>
    <row r="467" spans="1:8">
      <c r="A467" s="127"/>
      <c r="B467" s="128"/>
      <c r="C467" s="132"/>
      <c r="D467" s="133"/>
      <c r="E467" s="132"/>
      <c r="F467" s="129"/>
      <c r="G467" s="132"/>
      <c r="H467" s="132"/>
    </row>
    <row r="468" spans="1:8">
      <c r="A468" s="127"/>
      <c r="B468" s="128"/>
      <c r="C468" s="132"/>
      <c r="D468" s="133"/>
      <c r="E468" s="132"/>
      <c r="F468" s="129"/>
      <c r="G468" s="132"/>
      <c r="H468" s="132"/>
    </row>
    <row r="469" spans="1:8">
      <c r="A469" s="127"/>
      <c r="B469" s="128"/>
      <c r="C469" s="132"/>
      <c r="D469" s="133"/>
      <c r="E469" s="132"/>
      <c r="F469" s="129"/>
      <c r="G469" s="132"/>
      <c r="H469" s="132"/>
    </row>
    <row r="470" spans="1:8">
      <c r="A470" s="127"/>
      <c r="B470" s="128"/>
      <c r="C470" s="132"/>
      <c r="D470" s="133"/>
      <c r="E470" s="132"/>
      <c r="F470" s="129"/>
      <c r="G470" s="132"/>
      <c r="H470" s="132"/>
    </row>
    <row r="471" spans="1:8">
      <c r="A471" s="127"/>
      <c r="B471" s="128"/>
      <c r="C471" s="132"/>
      <c r="D471" s="133"/>
      <c r="E471" s="132"/>
      <c r="F471" s="129"/>
      <c r="G471" s="132"/>
      <c r="H471" s="132"/>
    </row>
    <row r="472" spans="1:8">
      <c r="A472" s="127"/>
      <c r="B472" s="128"/>
      <c r="C472" s="132"/>
      <c r="D472" s="133"/>
      <c r="E472" s="132"/>
      <c r="F472" s="129"/>
      <c r="G472" s="132"/>
      <c r="H472" s="132"/>
    </row>
    <row r="473" spans="1:8">
      <c r="A473" s="127"/>
      <c r="B473" s="128"/>
      <c r="C473" s="132"/>
      <c r="D473" s="133"/>
      <c r="E473" s="132"/>
      <c r="F473" s="129"/>
      <c r="G473" s="132"/>
      <c r="H473" s="132"/>
    </row>
    <row r="474" spans="1:8">
      <c r="A474" s="127"/>
      <c r="B474" s="128"/>
      <c r="C474" s="132"/>
      <c r="D474" s="133"/>
      <c r="E474" s="132"/>
      <c r="F474" s="129"/>
      <c r="G474" s="132"/>
      <c r="H474" s="132"/>
    </row>
    <row r="475" spans="1:8">
      <c r="A475" s="127"/>
      <c r="B475" s="128"/>
      <c r="C475" s="132"/>
      <c r="D475" s="133"/>
      <c r="E475" s="132"/>
      <c r="F475" s="129"/>
      <c r="G475" s="132"/>
      <c r="H475" s="132"/>
    </row>
    <row r="476" spans="1:8">
      <c r="A476" s="127"/>
      <c r="B476" s="128"/>
      <c r="C476" s="132"/>
      <c r="D476" s="133"/>
      <c r="E476" s="132"/>
      <c r="F476" s="129"/>
      <c r="G476" s="132"/>
      <c r="H476" s="132"/>
    </row>
    <row r="477" spans="1:8">
      <c r="A477" s="127"/>
      <c r="B477" s="128"/>
      <c r="C477" s="132"/>
      <c r="D477" s="133"/>
      <c r="E477" s="132"/>
      <c r="F477" s="129"/>
      <c r="G477" s="132"/>
      <c r="H477" s="132"/>
    </row>
    <row r="478" spans="1:8">
      <c r="A478" s="127"/>
      <c r="B478" s="128"/>
      <c r="C478" s="132"/>
      <c r="D478" s="133"/>
      <c r="E478" s="132"/>
      <c r="F478" s="129"/>
      <c r="G478" s="132"/>
      <c r="H478" s="132"/>
    </row>
    <row r="479" spans="1:8">
      <c r="A479" s="127"/>
      <c r="B479" s="128"/>
      <c r="C479" s="132"/>
      <c r="D479" s="133"/>
      <c r="E479" s="132"/>
      <c r="F479" s="129"/>
      <c r="G479" s="132"/>
      <c r="H479" s="132"/>
    </row>
    <row r="480" spans="1:8">
      <c r="A480" s="127"/>
      <c r="B480" s="128"/>
      <c r="C480" s="132"/>
      <c r="D480" s="133"/>
      <c r="E480" s="132"/>
      <c r="F480" s="129"/>
      <c r="G480" s="132"/>
      <c r="H480" s="132"/>
    </row>
    <row r="481" spans="1:8">
      <c r="A481" s="127"/>
      <c r="B481" s="128"/>
      <c r="C481" s="132"/>
      <c r="D481" s="133"/>
      <c r="E481" s="132"/>
      <c r="F481" s="129"/>
      <c r="G481" s="132"/>
      <c r="H481" s="132"/>
    </row>
    <row r="482" spans="1:8">
      <c r="A482" s="127"/>
      <c r="B482" s="128"/>
      <c r="C482" s="132"/>
      <c r="D482" s="133"/>
      <c r="E482" s="132"/>
      <c r="F482" s="129"/>
      <c r="G482" s="132"/>
      <c r="H482" s="132"/>
    </row>
    <row r="483" spans="1:8">
      <c r="A483" s="127"/>
      <c r="B483" s="128"/>
      <c r="C483" s="132"/>
      <c r="D483" s="133"/>
      <c r="E483" s="132"/>
      <c r="F483" s="129"/>
      <c r="G483" s="132"/>
      <c r="H483" s="132"/>
    </row>
    <row r="484" spans="1:8">
      <c r="A484" s="127"/>
      <c r="B484" s="128"/>
      <c r="C484" s="132"/>
      <c r="D484" s="133"/>
      <c r="E484" s="132"/>
      <c r="F484" s="129"/>
      <c r="G484" s="132"/>
      <c r="H484" s="132"/>
    </row>
    <row r="485" spans="1:8">
      <c r="A485" s="127"/>
      <c r="B485" s="128"/>
      <c r="C485" s="132"/>
      <c r="D485" s="133"/>
      <c r="E485" s="132"/>
      <c r="F485" s="129"/>
      <c r="G485" s="132"/>
      <c r="H485" s="132"/>
    </row>
    <row r="486" spans="1:8">
      <c r="A486" s="127"/>
      <c r="B486" s="128"/>
      <c r="C486" s="132"/>
      <c r="D486" s="133"/>
      <c r="E486" s="132"/>
      <c r="F486" s="129"/>
      <c r="G486" s="132"/>
      <c r="H486" s="132"/>
    </row>
    <row r="487" spans="1:8">
      <c r="A487" s="127"/>
      <c r="B487" s="128"/>
      <c r="C487" s="132"/>
      <c r="D487" s="133"/>
      <c r="E487" s="132"/>
      <c r="F487" s="129"/>
      <c r="G487" s="132"/>
      <c r="H487" s="132"/>
    </row>
    <row r="488" spans="1:8">
      <c r="A488" s="127"/>
      <c r="B488" s="128"/>
      <c r="C488" s="132"/>
      <c r="D488" s="133"/>
      <c r="E488" s="132"/>
      <c r="F488" s="129"/>
      <c r="G488" s="132"/>
      <c r="H488" s="132"/>
    </row>
    <row r="489" spans="1:8">
      <c r="A489" s="127"/>
      <c r="B489" s="128"/>
      <c r="C489" s="132"/>
      <c r="D489" s="133"/>
      <c r="E489" s="132"/>
      <c r="F489" s="129"/>
      <c r="G489" s="132"/>
      <c r="H489" s="132"/>
    </row>
    <row r="490" spans="1:8">
      <c r="A490" s="127"/>
      <c r="B490" s="128"/>
      <c r="C490" s="132"/>
      <c r="D490" s="133"/>
      <c r="E490" s="132"/>
      <c r="F490" s="129"/>
      <c r="G490" s="132"/>
      <c r="H490" s="132"/>
    </row>
    <row r="491" spans="1:8">
      <c r="A491" s="127"/>
      <c r="B491" s="128"/>
      <c r="C491" s="132"/>
      <c r="D491" s="133"/>
      <c r="E491" s="132"/>
      <c r="F491" s="129"/>
      <c r="G491" s="132"/>
      <c r="H491" s="132"/>
    </row>
    <row r="492" spans="1:8">
      <c r="A492" s="127"/>
      <c r="B492" s="128"/>
      <c r="C492" s="132"/>
      <c r="D492" s="133"/>
      <c r="E492" s="132"/>
      <c r="F492" s="129"/>
      <c r="G492" s="132"/>
      <c r="H492" s="132"/>
    </row>
    <row r="493" spans="1:8">
      <c r="A493" s="127"/>
      <c r="B493" s="128"/>
      <c r="C493" s="132"/>
      <c r="D493" s="133"/>
      <c r="E493" s="132"/>
      <c r="F493" s="129"/>
      <c r="G493" s="132"/>
      <c r="H493" s="132"/>
    </row>
    <row r="494" spans="1:8">
      <c r="A494" s="127"/>
      <c r="B494" s="128"/>
      <c r="C494" s="132"/>
      <c r="D494" s="133"/>
      <c r="E494" s="132"/>
      <c r="F494" s="129"/>
      <c r="G494" s="132"/>
      <c r="H494" s="132"/>
    </row>
    <row r="495" spans="1:8">
      <c r="A495" s="127"/>
      <c r="B495" s="128"/>
      <c r="C495" s="132"/>
      <c r="D495" s="133"/>
      <c r="E495" s="132"/>
      <c r="F495" s="129"/>
      <c r="G495" s="132"/>
      <c r="H495" s="132"/>
    </row>
    <row r="496" spans="1:8">
      <c r="A496" s="127"/>
      <c r="B496" s="128"/>
      <c r="C496" s="132"/>
      <c r="D496" s="133"/>
      <c r="E496" s="132"/>
      <c r="F496" s="129"/>
      <c r="G496" s="132"/>
      <c r="H496" s="132"/>
    </row>
    <row r="497" spans="1:8">
      <c r="A497" s="127"/>
      <c r="B497" s="128"/>
      <c r="C497" s="132"/>
      <c r="D497" s="133"/>
      <c r="E497" s="132"/>
      <c r="F497" s="129"/>
      <c r="G497" s="132"/>
      <c r="H497" s="132"/>
    </row>
    <row r="498" spans="1:8">
      <c r="A498" s="127"/>
      <c r="B498" s="128"/>
      <c r="C498" s="132"/>
      <c r="D498" s="133"/>
      <c r="E498" s="132"/>
      <c r="F498" s="129"/>
      <c r="G498" s="132"/>
      <c r="H498" s="132"/>
    </row>
    <row r="499" spans="1:8">
      <c r="A499" s="127"/>
      <c r="B499" s="128"/>
      <c r="C499" s="132"/>
      <c r="D499" s="133"/>
      <c r="E499" s="132"/>
      <c r="F499" s="129"/>
      <c r="G499" s="132"/>
      <c r="H499" s="132"/>
    </row>
    <row r="500" spans="1:8">
      <c r="A500" s="127"/>
      <c r="B500" s="128"/>
      <c r="C500" s="132"/>
      <c r="D500" s="133"/>
      <c r="E500" s="132"/>
      <c r="F500" s="129"/>
      <c r="G500" s="132"/>
      <c r="H500" s="132"/>
    </row>
    <row r="501" spans="1:8">
      <c r="A501" s="127"/>
      <c r="B501" s="128"/>
      <c r="C501" s="132"/>
      <c r="D501" s="133"/>
      <c r="E501" s="132"/>
      <c r="F501" s="129"/>
      <c r="G501" s="132"/>
      <c r="H501" s="132"/>
    </row>
    <row r="502" spans="1:8">
      <c r="A502" s="127"/>
      <c r="B502" s="128"/>
      <c r="C502" s="132"/>
      <c r="D502" s="133"/>
      <c r="E502" s="132"/>
      <c r="F502" s="129"/>
      <c r="G502" s="132"/>
      <c r="H502" s="132"/>
    </row>
    <row r="503" spans="1:8">
      <c r="A503" s="127"/>
      <c r="B503" s="128"/>
      <c r="C503" s="132"/>
      <c r="D503" s="133"/>
      <c r="E503" s="132"/>
      <c r="F503" s="129"/>
      <c r="G503" s="132"/>
      <c r="H503" s="132"/>
    </row>
    <row r="504" spans="1:8">
      <c r="A504" s="127"/>
      <c r="B504" s="128"/>
      <c r="C504" s="132"/>
      <c r="D504" s="133"/>
      <c r="E504" s="132"/>
      <c r="F504" s="129"/>
      <c r="G504" s="132"/>
      <c r="H504" s="132"/>
    </row>
    <row r="505" spans="1:8">
      <c r="A505" s="127"/>
      <c r="B505" s="128"/>
      <c r="C505" s="132"/>
      <c r="D505" s="133"/>
      <c r="E505" s="132"/>
      <c r="F505" s="129"/>
      <c r="G505" s="132"/>
      <c r="H505" s="132"/>
    </row>
    <row r="506" spans="1:8">
      <c r="A506" s="127"/>
      <c r="B506" s="128"/>
      <c r="C506" s="132"/>
      <c r="D506" s="133"/>
      <c r="E506" s="132"/>
      <c r="F506" s="129"/>
      <c r="G506" s="132"/>
      <c r="H506" s="132"/>
    </row>
    <row r="507" spans="1:8">
      <c r="A507" s="127"/>
      <c r="B507" s="128"/>
      <c r="C507" s="132"/>
      <c r="D507" s="133"/>
      <c r="E507" s="132"/>
      <c r="F507" s="129"/>
      <c r="G507" s="132"/>
      <c r="H507" s="132"/>
    </row>
    <row r="508" spans="1:8">
      <c r="A508" s="127"/>
      <c r="B508" s="128"/>
      <c r="C508" s="132"/>
      <c r="D508" s="133"/>
      <c r="E508" s="132"/>
      <c r="F508" s="129"/>
      <c r="G508" s="132"/>
      <c r="H508" s="132"/>
    </row>
    <row r="509" spans="1:8">
      <c r="A509" s="127"/>
      <c r="B509" s="128"/>
      <c r="C509" s="132"/>
      <c r="D509" s="133"/>
      <c r="E509" s="132"/>
      <c r="F509" s="129"/>
      <c r="G509" s="132"/>
      <c r="H509" s="132"/>
    </row>
    <row r="510" spans="1:8">
      <c r="A510" s="127"/>
      <c r="B510" s="128"/>
      <c r="C510" s="132"/>
      <c r="D510" s="133"/>
      <c r="E510" s="132"/>
      <c r="F510" s="129"/>
      <c r="G510" s="132"/>
      <c r="H510" s="132"/>
    </row>
    <row r="511" spans="1:8">
      <c r="A511" s="127"/>
      <c r="B511" s="128"/>
      <c r="C511" s="132"/>
      <c r="D511" s="133"/>
      <c r="E511" s="132"/>
      <c r="F511" s="129"/>
      <c r="G511" s="132"/>
      <c r="H511" s="132"/>
    </row>
    <row r="512" spans="1:8">
      <c r="A512" s="127"/>
      <c r="B512" s="128"/>
      <c r="C512" s="132"/>
      <c r="D512" s="133"/>
      <c r="E512" s="132"/>
      <c r="F512" s="129"/>
      <c r="G512" s="132"/>
      <c r="H512" s="132"/>
    </row>
    <row r="513" spans="1:8">
      <c r="A513" s="127"/>
      <c r="B513" s="128"/>
      <c r="C513" s="132"/>
      <c r="D513" s="133"/>
      <c r="E513" s="132"/>
      <c r="F513" s="129"/>
      <c r="G513" s="132"/>
      <c r="H513" s="132"/>
    </row>
    <row r="514" spans="1:8">
      <c r="A514" s="127"/>
      <c r="B514" s="128"/>
      <c r="C514" s="132"/>
      <c r="D514" s="133"/>
      <c r="E514" s="132"/>
      <c r="F514" s="129"/>
      <c r="G514" s="132"/>
      <c r="H514" s="132"/>
    </row>
    <row r="515" spans="1:8">
      <c r="A515" s="127"/>
      <c r="B515" s="128"/>
      <c r="C515" s="132"/>
      <c r="D515" s="133"/>
      <c r="E515" s="132"/>
      <c r="F515" s="129"/>
      <c r="G515" s="132"/>
      <c r="H515" s="132"/>
    </row>
    <row r="516" spans="1:8">
      <c r="A516" s="127"/>
      <c r="B516" s="128"/>
      <c r="C516" s="132"/>
      <c r="D516" s="133"/>
      <c r="E516" s="132"/>
      <c r="F516" s="129"/>
      <c r="G516" s="132"/>
      <c r="H516" s="132"/>
    </row>
    <row r="517" spans="1:8">
      <c r="A517" s="127"/>
      <c r="B517" s="128"/>
      <c r="C517" s="132"/>
      <c r="D517" s="133"/>
      <c r="E517" s="132"/>
      <c r="F517" s="129"/>
      <c r="G517" s="132"/>
      <c r="H517" s="132"/>
    </row>
    <row r="518" spans="1:8">
      <c r="A518" s="127"/>
      <c r="B518" s="128"/>
      <c r="C518" s="132"/>
      <c r="D518" s="133"/>
      <c r="E518" s="132"/>
      <c r="F518" s="129"/>
      <c r="G518" s="132"/>
      <c r="H518" s="132"/>
    </row>
    <row r="519" spans="1:8">
      <c r="A519" s="127"/>
      <c r="B519" s="128"/>
      <c r="C519" s="132"/>
      <c r="D519" s="133"/>
      <c r="E519" s="132"/>
      <c r="F519" s="129"/>
      <c r="G519" s="132"/>
      <c r="H519" s="132"/>
    </row>
    <row r="520" spans="1:8">
      <c r="A520" s="127"/>
      <c r="B520" s="128"/>
      <c r="C520" s="132"/>
      <c r="D520" s="133"/>
      <c r="E520" s="132"/>
      <c r="F520" s="129"/>
      <c r="G520" s="132"/>
      <c r="H520" s="132"/>
    </row>
    <row r="521" spans="1:8">
      <c r="A521" s="127"/>
      <c r="B521" s="128"/>
      <c r="C521" s="132"/>
      <c r="D521" s="133"/>
      <c r="E521" s="132"/>
      <c r="F521" s="129"/>
      <c r="G521" s="132"/>
      <c r="H521" s="132"/>
    </row>
    <row r="522" spans="1:8">
      <c r="A522" s="127"/>
      <c r="B522" s="128"/>
      <c r="C522" s="132"/>
      <c r="D522" s="133"/>
      <c r="E522" s="132"/>
      <c r="F522" s="129"/>
      <c r="G522" s="132"/>
      <c r="H522" s="132"/>
    </row>
    <row r="523" spans="1:8">
      <c r="A523" s="127"/>
      <c r="B523" s="128"/>
      <c r="C523" s="132"/>
      <c r="D523" s="133"/>
      <c r="E523" s="132"/>
      <c r="F523" s="129"/>
      <c r="G523" s="132"/>
      <c r="H523" s="132"/>
    </row>
    <row r="524" spans="1:8">
      <c r="A524" s="127"/>
      <c r="B524" s="128"/>
      <c r="C524" s="132"/>
      <c r="D524" s="133"/>
      <c r="E524" s="132"/>
      <c r="F524" s="129"/>
      <c r="G524" s="132"/>
      <c r="H524" s="132"/>
    </row>
    <row r="525" spans="1:8">
      <c r="A525" s="127"/>
      <c r="B525" s="128"/>
      <c r="C525" s="132"/>
      <c r="D525" s="133"/>
      <c r="E525" s="132"/>
      <c r="F525" s="129"/>
      <c r="G525" s="132"/>
      <c r="H525" s="132"/>
    </row>
    <row r="526" spans="1:8">
      <c r="A526" s="127"/>
      <c r="B526" s="128"/>
      <c r="C526" s="132"/>
      <c r="D526" s="133"/>
      <c r="E526" s="132"/>
      <c r="F526" s="129"/>
      <c r="G526" s="132"/>
      <c r="H526" s="132"/>
    </row>
    <row r="527" spans="1:8">
      <c r="A527" s="127"/>
      <c r="B527" s="128"/>
      <c r="C527" s="132"/>
      <c r="D527" s="133"/>
      <c r="E527" s="132"/>
      <c r="F527" s="129"/>
      <c r="G527" s="132"/>
      <c r="H527" s="132"/>
    </row>
    <row r="528" spans="1:8">
      <c r="A528" s="127"/>
      <c r="B528" s="128"/>
      <c r="C528" s="132"/>
      <c r="D528" s="133"/>
      <c r="E528" s="132"/>
      <c r="F528" s="129"/>
      <c r="G528" s="132"/>
      <c r="H528" s="132"/>
    </row>
    <row r="529" spans="1:8">
      <c r="A529" s="127"/>
      <c r="B529" s="128"/>
      <c r="C529" s="132"/>
      <c r="D529" s="133"/>
      <c r="E529" s="132"/>
      <c r="F529" s="129"/>
      <c r="G529" s="132"/>
      <c r="H529" s="132"/>
    </row>
    <row r="530" spans="1:8">
      <c r="A530" s="127"/>
      <c r="B530" s="128"/>
      <c r="C530" s="132"/>
      <c r="D530" s="133"/>
      <c r="E530" s="132"/>
      <c r="F530" s="129"/>
      <c r="G530" s="132"/>
      <c r="H530" s="132"/>
    </row>
    <row r="531" spans="1:8">
      <c r="A531" s="127"/>
      <c r="B531" s="128"/>
      <c r="C531" s="132"/>
      <c r="D531" s="133"/>
      <c r="E531" s="132"/>
      <c r="F531" s="129"/>
      <c r="G531" s="132"/>
      <c r="H531" s="132"/>
    </row>
    <row r="532" spans="1:8">
      <c r="A532" s="127"/>
      <c r="B532" s="128"/>
      <c r="C532" s="132"/>
      <c r="D532" s="133"/>
      <c r="E532" s="132"/>
      <c r="F532" s="129"/>
      <c r="G532" s="132"/>
      <c r="H532" s="132"/>
    </row>
    <row r="533" spans="1:8">
      <c r="A533" s="127"/>
      <c r="B533" s="128"/>
      <c r="C533" s="132"/>
      <c r="D533" s="133"/>
      <c r="E533" s="132"/>
      <c r="F533" s="129"/>
      <c r="G533" s="132"/>
      <c r="H533" s="132"/>
    </row>
    <row r="534" spans="1:8">
      <c r="A534" s="127"/>
      <c r="B534" s="128"/>
      <c r="C534" s="132"/>
      <c r="D534" s="133"/>
      <c r="E534" s="132"/>
      <c r="F534" s="129"/>
      <c r="G534" s="132"/>
      <c r="H534" s="132"/>
    </row>
    <row r="535" spans="1:8">
      <c r="A535" s="127"/>
      <c r="B535" s="128"/>
      <c r="C535" s="132"/>
      <c r="D535" s="133"/>
      <c r="E535" s="132"/>
      <c r="F535" s="129"/>
      <c r="G535" s="132"/>
      <c r="H535" s="132"/>
    </row>
    <row r="536" spans="1:8">
      <c r="A536" s="127"/>
      <c r="B536" s="128"/>
      <c r="C536" s="132"/>
      <c r="D536" s="133"/>
      <c r="E536" s="132"/>
      <c r="F536" s="129"/>
      <c r="G536" s="132"/>
      <c r="H536" s="132"/>
    </row>
    <row r="537" spans="1:8">
      <c r="A537" s="127"/>
      <c r="B537" s="128"/>
      <c r="C537" s="132"/>
      <c r="D537" s="133"/>
      <c r="E537" s="132"/>
      <c r="F537" s="129"/>
      <c r="G537" s="132"/>
      <c r="H537" s="132"/>
    </row>
    <row r="538" spans="1:8">
      <c r="A538" s="127"/>
      <c r="B538" s="128"/>
      <c r="C538" s="132"/>
      <c r="D538" s="133"/>
      <c r="E538" s="132"/>
      <c r="F538" s="129"/>
      <c r="G538" s="132"/>
      <c r="H538" s="132"/>
    </row>
    <row r="539" spans="1:8">
      <c r="A539" s="127"/>
      <c r="B539" s="128"/>
      <c r="C539" s="132"/>
      <c r="D539" s="133"/>
      <c r="E539" s="132"/>
      <c r="F539" s="129"/>
      <c r="G539" s="132"/>
      <c r="H539" s="132"/>
    </row>
    <row r="540" spans="1:8">
      <c r="A540" s="127"/>
      <c r="B540" s="128"/>
      <c r="C540" s="132"/>
      <c r="D540" s="133"/>
      <c r="E540" s="132"/>
      <c r="F540" s="129"/>
      <c r="G540" s="132"/>
      <c r="H540" s="132"/>
    </row>
    <row r="541" spans="1:8">
      <c r="A541" s="127"/>
      <c r="B541" s="128"/>
      <c r="C541" s="132"/>
      <c r="D541" s="133"/>
      <c r="E541" s="132"/>
      <c r="F541" s="129"/>
      <c r="G541" s="132"/>
      <c r="H541" s="132"/>
    </row>
    <row r="542" spans="1:8">
      <c r="A542" s="127"/>
      <c r="B542" s="128"/>
      <c r="C542" s="132"/>
      <c r="D542" s="133"/>
      <c r="E542" s="132"/>
      <c r="F542" s="129"/>
      <c r="G542" s="132"/>
      <c r="H542" s="132"/>
    </row>
    <row r="543" spans="1:8">
      <c r="A543" s="127"/>
      <c r="B543" s="128"/>
      <c r="C543" s="132"/>
      <c r="D543" s="133"/>
      <c r="E543" s="132"/>
      <c r="F543" s="129"/>
      <c r="G543" s="132"/>
      <c r="H543" s="132"/>
    </row>
    <row r="544" spans="1:8">
      <c r="A544" s="127"/>
      <c r="B544" s="128"/>
      <c r="C544" s="132"/>
      <c r="D544" s="133"/>
      <c r="E544" s="132"/>
      <c r="F544" s="129"/>
      <c r="G544" s="132"/>
      <c r="H544" s="132"/>
    </row>
    <row r="545" spans="1:8">
      <c r="A545" s="127"/>
      <c r="B545" s="128"/>
      <c r="C545" s="132"/>
      <c r="D545" s="133"/>
      <c r="E545" s="132"/>
      <c r="F545" s="129"/>
      <c r="G545" s="132"/>
      <c r="H545" s="132"/>
    </row>
    <row r="546" spans="1:8">
      <c r="A546" s="127"/>
      <c r="B546" s="128"/>
      <c r="C546" s="132"/>
      <c r="D546" s="133"/>
      <c r="E546" s="132"/>
      <c r="F546" s="129"/>
      <c r="G546" s="132"/>
      <c r="H546" s="132"/>
    </row>
    <row r="547" spans="1:8">
      <c r="A547" s="127"/>
      <c r="B547" s="128"/>
      <c r="C547" s="132"/>
      <c r="D547" s="133"/>
      <c r="E547" s="132"/>
      <c r="F547" s="129"/>
      <c r="G547" s="132"/>
      <c r="H547" s="132"/>
    </row>
    <row r="548" spans="1:8">
      <c r="A548" s="127"/>
      <c r="B548" s="128"/>
      <c r="C548" s="132"/>
      <c r="D548" s="133"/>
      <c r="E548" s="132"/>
      <c r="F548" s="129"/>
      <c r="G548" s="132"/>
      <c r="H548" s="132"/>
    </row>
    <row r="549" spans="1:8">
      <c r="A549" s="127"/>
      <c r="B549" s="128"/>
      <c r="C549" s="132"/>
      <c r="D549" s="133"/>
      <c r="E549" s="132"/>
      <c r="F549" s="129"/>
      <c r="G549" s="132"/>
      <c r="H549" s="132"/>
    </row>
    <row r="550" spans="1:8">
      <c r="A550" s="127"/>
      <c r="B550" s="128"/>
      <c r="C550" s="132"/>
      <c r="D550" s="133"/>
      <c r="E550" s="132"/>
      <c r="F550" s="129"/>
      <c r="G550" s="132"/>
      <c r="H550" s="132"/>
    </row>
    <row r="551" spans="1:8">
      <c r="A551" s="127"/>
      <c r="B551" s="128"/>
      <c r="C551" s="132"/>
      <c r="D551" s="133"/>
      <c r="E551" s="132"/>
      <c r="F551" s="129"/>
      <c r="G551" s="132"/>
      <c r="H551" s="132"/>
    </row>
    <row r="552" spans="1:8">
      <c r="A552" s="127"/>
      <c r="B552" s="128"/>
      <c r="C552" s="132"/>
      <c r="D552" s="133"/>
      <c r="E552" s="132"/>
      <c r="F552" s="129"/>
      <c r="G552" s="132"/>
      <c r="H552" s="132"/>
    </row>
    <row r="553" spans="1:8">
      <c r="A553" s="127"/>
      <c r="B553" s="128"/>
      <c r="C553" s="132"/>
      <c r="D553" s="133"/>
      <c r="E553" s="132"/>
      <c r="F553" s="129"/>
      <c r="G553" s="132"/>
      <c r="H553" s="132"/>
    </row>
    <row r="554" spans="1:8">
      <c r="A554" s="127"/>
      <c r="B554" s="128"/>
      <c r="C554" s="132"/>
      <c r="D554" s="133"/>
      <c r="E554" s="132"/>
      <c r="F554" s="129"/>
      <c r="G554" s="132"/>
      <c r="H554" s="132"/>
    </row>
    <row r="555" spans="1:8">
      <c r="A555" s="127"/>
      <c r="B555" s="128"/>
      <c r="C555" s="132"/>
      <c r="D555" s="133"/>
      <c r="E555" s="132"/>
      <c r="F555" s="129"/>
      <c r="G555" s="132"/>
      <c r="H555" s="132"/>
    </row>
    <row r="556" spans="1:8">
      <c r="A556" s="127"/>
      <c r="B556" s="128"/>
      <c r="C556" s="132"/>
      <c r="D556" s="133"/>
      <c r="E556" s="132"/>
      <c r="F556" s="129"/>
      <c r="G556" s="132"/>
      <c r="H556" s="132"/>
    </row>
    <row r="557" spans="1:8">
      <c r="A557" s="127"/>
      <c r="B557" s="128"/>
      <c r="C557" s="132"/>
      <c r="D557" s="133"/>
      <c r="E557" s="132"/>
      <c r="F557" s="129"/>
      <c r="G557" s="132"/>
      <c r="H557" s="132"/>
    </row>
    <row r="558" spans="1:8">
      <c r="A558" s="127"/>
      <c r="B558" s="128"/>
      <c r="C558" s="132"/>
      <c r="D558" s="133"/>
      <c r="E558" s="132"/>
      <c r="F558" s="129"/>
      <c r="G558" s="132"/>
      <c r="H558" s="132"/>
    </row>
    <row r="559" spans="1:8">
      <c r="A559" s="127"/>
      <c r="B559" s="128"/>
      <c r="C559" s="132"/>
      <c r="D559" s="133"/>
      <c r="E559" s="132"/>
      <c r="F559" s="129"/>
      <c r="G559" s="132"/>
      <c r="H559" s="132"/>
    </row>
    <row r="560" spans="1:8">
      <c r="A560" s="127"/>
      <c r="B560" s="128"/>
      <c r="C560" s="132"/>
      <c r="D560" s="133"/>
      <c r="E560" s="132"/>
      <c r="F560" s="129"/>
      <c r="G560" s="132"/>
      <c r="H560" s="132"/>
    </row>
    <row r="561" spans="1:8">
      <c r="A561" s="127"/>
      <c r="B561" s="128"/>
      <c r="C561" s="132"/>
      <c r="D561" s="133"/>
      <c r="E561" s="132"/>
      <c r="F561" s="129"/>
      <c r="G561" s="132"/>
      <c r="H561" s="132"/>
    </row>
    <row r="562" spans="1:8">
      <c r="A562" s="127"/>
      <c r="B562" s="128"/>
      <c r="C562" s="132"/>
      <c r="D562" s="133"/>
      <c r="E562" s="132"/>
      <c r="F562" s="129"/>
      <c r="G562" s="132"/>
      <c r="H562" s="132"/>
    </row>
    <row r="563" spans="1:8">
      <c r="A563" s="127"/>
      <c r="B563" s="128"/>
      <c r="C563" s="132"/>
      <c r="D563" s="133"/>
      <c r="E563" s="132"/>
      <c r="F563" s="129"/>
      <c r="G563" s="132"/>
      <c r="H563" s="132"/>
    </row>
    <row r="564" spans="1:8">
      <c r="A564" s="127"/>
      <c r="B564" s="128"/>
      <c r="C564" s="132"/>
      <c r="D564" s="133"/>
      <c r="E564" s="132"/>
      <c r="F564" s="129"/>
      <c r="G564" s="132"/>
      <c r="H564" s="132"/>
    </row>
    <row r="565" spans="1:8">
      <c r="A565" s="127"/>
      <c r="B565" s="128"/>
      <c r="C565" s="132"/>
      <c r="D565" s="133"/>
      <c r="E565" s="132"/>
      <c r="F565" s="129"/>
      <c r="G565" s="132"/>
      <c r="H565" s="132"/>
    </row>
    <row r="566" spans="1:8">
      <c r="A566" s="127"/>
      <c r="B566" s="128"/>
      <c r="C566" s="132"/>
      <c r="D566" s="133"/>
      <c r="E566" s="132"/>
      <c r="F566" s="129"/>
      <c r="G566" s="132"/>
      <c r="H566" s="132"/>
    </row>
    <row r="567" spans="1:8">
      <c r="A567" s="127"/>
      <c r="B567" s="128"/>
      <c r="C567" s="132"/>
      <c r="D567" s="133"/>
      <c r="E567" s="132"/>
      <c r="F567" s="129"/>
      <c r="G567" s="132"/>
      <c r="H567" s="132"/>
    </row>
    <row r="568" spans="1:8">
      <c r="A568" s="127"/>
      <c r="B568" s="128"/>
      <c r="C568" s="132"/>
      <c r="D568" s="133"/>
      <c r="E568" s="132"/>
      <c r="F568" s="129"/>
      <c r="G568" s="132"/>
      <c r="H568" s="132"/>
    </row>
    <row r="569" spans="1:8">
      <c r="A569" s="127"/>
      <c r="B569" s="128"/>
      <c r="C569" s="132"/>
      <c r="D569" s="133"/>
      <c r="E569" s="132"/>
      <c r="F569" s="129"/>
      <c r="G569" s="132"/>
      <c r="H569" s="132"/>
    </row>
    <row r="570" spans="1:8">
      <c r="A570" s="127"/>
      <c r="B570" s="128"/>
      <c r="C570" s="132"/>
      <c r="D570" s="133"/>
      <c r="E570" s="132"/>
      <c r="F570" s="129"/>
      <c r="G570" s="132"/>
      <c r="H570" s="132"/>
    </row>
    <row r="571" spans="1:8">
      <c r="A571" s="127"/>
      <c r="B571" s="128"/>
      <c r="C571" s="132"/>
      <c r="D571" s="133"/>
      <c r="E571" s="132"/>
      <c r="F571" s="129"/>
      <c r="G571" s="132"/>
      <c r="H571" s="132"/>
    </row>
    <row r="572" spans="1:8">
      <c r="A572" s="127"/>
      <c r="B572" s="128"/>
      <c r="C572" s="132"/>
      <c r="D572" s="133"/>
      <c r="E572" s="132"/>
      <c r="F572" s="129"/>
      <c r="G572" s="132"/>
      <c r="H572" s="132"/>
    </row>
    <row r="573" spans="1:8">
      <c r="A573" s="127"/>
      <c r="B573" s="128"/>
      <c r="C573" s="132"/>
      <c r="D573" s="133"/>
      <c r="E573" s="132"/>
      <c r="F573" s="129"/>
      <c r="G573" s="132"/>
      <c r="H573" s="132"/>
    </row>
    <row r="574" spans="1:8">
      <c r="A574" s="127"/>
      <c r="B574" s="128"/>
      <c r="C574" s="132"/>
      <c r="D574" s="133"/>
      <c r="E574" s="132"/>
      <c r="F574" s="129"/>
      <c r="G574" s="132"/>
      <c r="H574" s="132"/>
    </row>
    <row r="575" spans="1:8">
      <c r="A575" s="127"/>
      <c r="B575" s="128"/>
      <c r="C575" s="132"/>
      <c r="D575" s="133"/>
      <c r="E575" s="132"/>
      <c r="F575" s="129"/>
      <c r="G575" s="132"/>
      <c r="H575" s="132"/>
    </row>
    <row r="576" spans="1:8">
      <c r="A576" s="127"/>
      <c r="B576" s="128"/>
      <c r="C576" s="132"/>
      <c r="D576" s="133"/>
      <c r="E576" s="132"/>
      <c r="F576" s="129"/>
      <c r="G576" s="132"/>
      <c r="H576" s="132"/>
    </row>
    <row r="577" spans="1:8">
      <c r="A577" s="127"/>
      <c r="B577" s="128"/>
      <c r="C577" s="132"/>
      <c r="D577" s="133"/>
      <c r="E577" s="132"/>
      <c r="F577" s="129"/>
      <c r="G577" s="132"/>
      <c r="H577" s="132"/>
    </row>
    <row r="578" spans="1:8">
      <c r="A578" s="127"/>
      <c r="B578" s="128"/>
      <c r="C578" s="132"/>
      <c r="D578" s="133"/>
      <c r="E578" s="132"/>
      <c r="F578" s="129"/>
      <c r="G578" s="132"/>
      <c r="H578" s="132"/>
    </row>
    <row r="579" spans="1:8">
      <c r="A579" s="127"/>
      <c r="B579" s="128"/>
      <c r="C579" s="132"/>
      <c r="D579" s="133"/>
      <c r="E579" s="132"/>
      <c r="F579" s="129"/>
      <c r="G579" s="132"/>
      <c r="H579" s="132"/>
    </row>
    <row r="580" spans="1:8">
      <c r="A580" s="127"/>
      <c r="B580" s="128"/>
      <c r="C580" s="132"/>
      <c r="D580" s="133"/>
      <c r="E580" s="132"/>
      <c r="F580" s="129"/>
      <c r="G580" s="132"/>
      <c r="H580" s="132"/>
    </row>
    <row r="581" spans="1:8">
      <c r="A581" s="127"/>
      <c r="B581" s="128"/>
      <c r="C581" s="132"/>
      <c r="D581" s="133"/>
      <c r="E581" s="132"/>
      <c r="F581" s="129"/>
      <c r="G581" s="132"/>
      <c r="H581" s="132"/>
    </row>
    <row r="582" spans="1:8">
      <c r="A582" s="127"/>
      <c r="B582" s="128"/>
      <c r="C582" s="132"/>
      <c r="D582" s="133"/>
      <c r="E582" s="132"/>
      <c r="F582" s="129"/>
      <c r="G582" s="132"/>
      <c r="H582" s="132"/>
    </row>
    <row r="583" spans="1:8">
      <c r="A583" s="127"/>
      <c r="B583" s="128"/>
      <c r="C583" s="132"/>
      <c r="D583" s="133"/>
      <c r="E583" s="132"/>
      <c r="F583" s="129"/>
      <c r="G583" s="132"/>
      <c r="H583" s="132"/>
    </row>
    <row r="584" spans="1:8">
      <c r="A584" s="127"/>
      <c r="B584" s="128"/>
      <c r="C584" s="132"/>
      <c r="D584" s="133"/>
      <c r="E584" s="132"/>
      <c r="F584" s="129"/>
      <c r="G584" s="132"/>
      <c r="H584" s="132"/>
    </row>
    <row r="585" spans="1:8">
      <c r="A585" s="127"/>
      <c r="B585" s="128"/>
      <c r="C585" s="132"/>
      <c r="D585" s="133"/>
      <c r="E585" s="132"/>
      <c r="F585" s="129"/>
      <c r="G585" s="132"/>
      <c r="H585" s="132"/>
    </row>
    <row r="586" spans="1:8">
      <c r="A586" s="127"/>
      <c r="B586" s="128"/>
      <c r="C586" s="132"/>
      <c r="D586" s="133"/>
      <c r="E586" s="132"/>
      <c r="F586" s="129"/>
      <c r="G586" s="132"/>
      <c r="H586" s="132"/>
    </row>
    <row r="587" spans="1:8">
      <c r="A587" s="127"/>
      <c r="B587" s="128"/>
      <c r="C587" s="132"/>
      <c r="D587" s="133"/>
      <c r="E587" s="132"/>
      <c r="F587" s="129"/>
      <c r="G587" s="132"/>
      <c r="H587" s="132"/>
    </row>
    <row r="588" spans="1:8">
      <c r="A588" s="127"/>
      <c r="B588" s="128"/>
      <c r="C588" s="132"/>
      <c r="D588" s="133"/>
      <c r="E588" s="132"/>
      <c r="F588" s="129"/>
      <c r="G588" s="132"/>
      <c r="H588" s="132"/>
    </row>
    <row r="589" spans="1:8">
      <c r="A589" s="127"/>
      <c r="B589" s="128"/>
      <c r="C589" s="132"/>
      <c r="D589" s="133"/>
      <c r="E589" s="132"/>
      <c r="F589" s="129"/>
      <c r="G589" s="132"/>
      <c r="H589" s="132"/>
    </row>
    <row r="590" spans="1:8">
      <c r="A590" s="127"/>
      <c r="B590" s="128"/>
      <c r="C590" s="132"/>
      <c r="D590" s="133"/>
      <c r="E590" s="132"/>
      <c r="F590" s="129"/>
      <c r="G590" s="132"/>
      <c r="H590" s="132"/>
    </row>
    <row r="591" spans="1:8">
      <c r="A591" s="127"/>
      <c r="B591" s="128"/>
      <c r="C591" s="132"/>
      <c r="D591" s="133"/>
      <c r="E591" s="132"/>
      <c r="F591" s="129"/>
      <c r="G591" s="132"/>
      <c r="H591" s="132"/>
    </row>
    <row r="592" spans="1:8">
      <c r="A592" s="127"/>
      <c r="B592" s="128"/>
      <c r="C592" s="132"/>
      <c r="D592" s="133"/>
      <c r="E592" s="132"/>
      <c r="F592" s="129"/>
      <c r="G592" s="132"/>
      <c r="H592" s="132"/>
    </row>
    <row r="593" spans="1:8">
      <c r="A593" s="127"/>
      <c r="B593" s="128"/>
      <c r="C593" s="132"/>
      <c r="D593" s="133"/>
      <c r="E593" s="132"/>
      <c r="F593" s="129"/>
      <c r="G593" s="132"/>
      <c r="H593" s="132"/>
    </row>
    <row r="594" spans="1:8">
      <c r="A594" s="127"/>
      <c r="B594" s="128"/>
      <c r="C594" s="132"/>
      <c r="D594" s="133"/>
      <c r="E594" s="132"/>
      <c r="F594" s="129"/>
      <c r="G594" s="132"/>
      <c r="H594" s="132"/>
    </row>
    <row r="595" spans="1:8">
      <c r="A595" s="127"/>
      <c r="B595" s="128"/>
      <c r="C595" s="132"/>
      <c r="D595" s="133"/>
      <c r="E595" s="132"/>
      <c r="F595" s="129"/>
      <c r="G595" s="132"/>
      <c r="H595" s="132"/>
    </row>
    <row r="596" spans="1:8">
      <c r="A596" s="127"/>
      <c r="B596" s="128"/>
      <c r="C596" s="132"/>
      <c r="D596" s="133"/>
      <c r="E596" s="132"/>
      <c r="F596" s="129"/>
      <c r="G596" s="132"/>
      <c r="H596" s="132"/>
    </row>
    <row r="597" spans="1:8">
      <c r="A597" s="127"/>
      <c r="B597" s="128"/>
      <c r="C597" s="132"/>
      <c r="D597" s="133"/>
      <c r="E597" s="132"/>
      <c r="F597" s="129"/>
      <c r="G597" s="132"/>
      <c r="H597" s="132"/>
    </row>
    <row r="598" spans="1:8">
      <c r="A598" s="127"/>
      <c r="B598" s="128"/>
      <c r="C598" s="132"/>
      <c r="D598" s="133"/>
      <c r="E598" s="132"/>
      <c r="F598" s="129"/>
      <c r="G598" s="132"/>
      <c r="H598" s="132"/>
    </row>
    <row r="599" spans="1:8">
      <c r="A599" s="127"/>
      <c r="B599" s="128"/>
      <c r="C599" s="132"/>
      <c r="D599" s="133"/>
      <c r="E599" s="132"/>
      <c r="F599" s="129"/>
      <c r="G599" s="132"/>
      <c r="H599" s="132"/>
    </row>
    <row r="600" spans="1:8">
      <c r="A600" s="127"/>
      <c r="B600" s="128"/>
      <c r="C600" s="132"/>
      <c r="D600" s="133"/>
      <c r="E600" s="132"/>
      <c r="F600" s="129"/>
      <c r="G600" s="132"/>
      <c r="H600" s="132"/>
    </row>
    <row r="601" spans="1:8">
      <c r="A601" s="127"/>
      <c r="B601" s="128"/>
      <c r="C601" s="132"/>
      <c r="D601" s="133"/>
      <c r="E601" s="132"/>
      <c r="F601" s="129"/>
      <c r="G601" s="132"/>
      <c r="H601" s="132"/>
    </row>
    <row r="602" spans="1:8">
      <c r="A602" s="127"/>
      <c r="B602" s="128"/>
      <c r="C602" s="132"/>
      <c r="D602" s="133"/>
      <c r="E602" s="132"/>
      <c r="F602" s="129"/>
      <c r="G602" s="132"/>
      <c r="H602" s="132"/>
    </row>
    <row r="603" spans="1:8">
      <c r="A603" s="127"/>
      <c r="B603" s="128"/>
      <c r="C603" s="132"/>
      <c r="D603" s="133"/>
      <c r="E603" s="132"/>
      <c r="F603" s="129"/>
      <c r="G603" s="132"/>
      <c r="H603" s="132"/>
    </row>
    <row r="604" spans="1:8">
      <c r="A604" s="127"/>
      <c r="B604" s="128"/>
      <c r="C604" s="132"/>
      <c r="D604" s="133"/>
      <c r="E604" s="132"/>
      <c r="F604" s="129"/>
      <c r="G604" s="132"/>
      <c r="H604" s="132"/>
    </row>
    <row r="605" spans="1:8">
      <c r="A605" s="127"/>
      <c r="B605" s="128"/>
      <c r="C605" s="132"/>
      <c r="D605" s="133"/>
      <c r="E605" s="132"/>
      <c r="F605" s="129"/>
      <c r="G605" s="132"/>
      <c r="H605" s="132"/>
    </row>
    <row r="606" spans="1:8">
      <c r="A606" s="127"/>
      <c r="B606" s="128"/>
      <c r="C606" s="132"/>
      <c r="D606" s="133"/>
      <c r="E606" s="132"/>
      <c r="F606" s="129"/>
      <c r="G606" s="132"/>
      <c r="H606" s="132"/>
    </row>
    <row r="607" spans="1:8">
      <c r="A607" s="127"/>
      <c r="B607" s="128"/>
      <c r="C607" s="132"/>
      <c r="D607" s="133"/>
      <c r="E607" s="132"/>
      <c r="F607" s="129"/>
      <c r="G607" s="132"/>
      <c r="H607" s="132"/>
    </row>
    <row r="608" spans="1:8">
      <c r="A608" s="127"/>
      <c r="B608" s="128"/>
      <c r="C608" s="132"/>
      <c r="D608" s="133"/>
      <c r="E608" s="132"/>
      <c r="F608" s="129"/>
      <c r="G608" s="132"/>
      <c r="H608" s="132"/>
    </row>
    <row r="609" spans="1:8">
      <c r="A609" s="127"/>
      <c r="B609" s="128"/>
      <c r="C609" s="132"/>
      <c r="D609" s="133"/>
      <c r="E609" s="132"/>
      <c r="F609" s="129"/>
      <c r="G609" s="132"/>
      <c r="H609" s="132"/>
    </row>
    <row r="610" spans="1:8">
      <c r="A610" s="127"/>
      <c r="B610" s="128"/>
      <c r="C610" s="132"/>
      <c r="D610" s="133"/>
      <c r="E610" s="132"/>
      <c r="F610" s="129"/>
      <c r="G610" s="132"/>
      <c r="H610" s="132"/>
    </row>
    <row r="611" spans="1:8">
      <c r="A611" s="127"/>
      <c r="B611" s="128"/>
      <c r="C611" s="132"/>
      <c r="D611" s="133"/>
      <c r="E611" s="132"/>
      <c r="F611" s="129"/>
      <c r="G611" s="132"/>
      <c r="H611" s="132"/>
    </row>
    <row r="612" spans="1:8">
      <c r="A612" s="127"/>
      <c r="B612" s="128"/>
      <c r="C612" s="132"/>
      <c r="D612" s="133"/>
      <c r="E612" s="132"/>
      <c r="F612" s="129"/>
      <c r="G612" s="132"/>
      <c r="H612" s="132"/>
    </row>
    <row r="613" spans="1:8">
      <c r="A613" s="127"/>
      <c r="B613" s="128"/>
      <c r="C613" s="132"/>
      <c r="D613" s="133"/>
      <c r="E613" s="132"/>
      <c r="F613" s="129"/>
      <c r="G613" s="132"/>
      <c r="H613" s="132"/>
    </row>
    <row r="614" spans="1:8">
      <c r="A614" s="127"/>
      <c r="B614" s="128"/>
      <c r="C614" s="132"/>
      <c r="D614" s="133"/>
      <c r="E614" s="132"/>
      <c r="F614" s="129"/>
      <c r="G614" s="132"/>
      <c r="H614" s="132"/>
    </row>
    <row r="615" spans="1:8">
      <c r="A615" s="127"/>
      <c r="B615" s="128"/>
      <c r="C615" s="132"/>
      <c r="D615" s="133"/>
      <c r="E615" s="132"/>
      <c r="F615" s="129"/>
      <c r="G615" s="132"/>
      <c r="H615" s="132"/>
    </row>
    <row r="616" spans="1:8">
      <c r="A616" s="127"/>
      <c r="B616" s="128"/>
      <c r="C616" s="132"/>
      <c r="D616" s="133"/>
      <c r="E616" s="132"/>
      <c r="F616" s="129"/>
      <c r="G616" s="132"/>
      <c r="H616" s="132"/>
    </row>
    <row r="617" spans="1:8">
      <c r="A617" s="127"/>
      <c r="B617" s="128"/>
      <c r="C617" s="132"/>
      <c r="D617" s="133"/>
      <c r="E617" s="132"/>
      <c r="F617" s="129"/>
      <c r="G617" s="132"/>
      <c r="H617" s="132"/>
    </row>
    <row r="618" spans="1:8">
      <c r="A618" s="127"/>
      <c r="B618" s="128"/>
      <c r="C618" s="132"/>
      <c r="D618" s="133"/>
      <c r="E618" s="132"/>
      <c r="F618" s="129"/>
      <c r="G618" s="132"/>
      <c r="H618" s="132"/>
    </row>
    <row r="619" spans="1:8">
      <c r="A619" s="127"/>
      <c r="B619" s="128"/>
      <c r="C619" s="132"/>
      <c r="D619" s="133"/>
      <c r="E619" s="132"/>
      <c r="F619" s="129"/>
      <c r="G619" s="132"/>
      <c r="H619" s="132"/>
    </row>
    <row r="620" spans="1:8">
      <c r="A620" s="127"/>
      <c r="B620" s="128"/>
      <c r="C620" s="132"/>
      <c r="D620" s="133"/>
      <c r="E620" s="132"/>
      <c r="F620" s="129"/>
      <c r="G620" s="132"/>
      <c r="H620" s="132"/>
    </row>
    <row r="621" spans="1:8">
      <c r="A621" s="127"/>
      <c r="B621" s="128"/>
      <c r="C621" s="132"/>
      <c r="D621" s="133"/>
      <c r="E621" s="132"/>
      <c r="F621" s="129"/>
      <c r="G621" s="132"/>
      <c r="H621" s="132"/>
    </row>
    <row r="622" spans="1:8">
      <c r="A622" s="127"/>
      <c r="B622" s="128"/>
      <c r="C622" s="132"/>
      <c r="D622" s="133"/>
      <c r="E622" s="132"/>
      <c r="F622" s="129"/>
      <c r="G622" s="132"/>
      <c r="H622" s="132"/>
    </row>
    <row r="623" spans="1:8">
      <c r="A623" s="127"/>
      <c r="B623" s="128"/>
      <c r="C623" s="132"/>
      <c r="D623" s="133"/>
      <c r="E623" s="132"/>
      <c r="F623" s="129"/>
      <c r="G623" s="132"/>
      <c r="H623" s="132"/>
    </row>
    <row r="624" spans="1:8">
      <c r="A624" s="127"/>
      <c r="B624" s="128"/>
      <c r="C624" s="132"/>
      <c r="D624" s="133"/>
      <c r="E624" s="132"/>
      <c r="F624" s="129"/>
      <c r="G624" s="132"/>
      <c r="H624" s="132"/>
    </row>
    <row r="625" spans="1:8">
      <c r="A625" s="127"/>
      <c r="B625" s="128"/>
      <c r="C625" s="132"/>
      <c r="D625" s="133"/>
      <c r="E625" s="132"/>
      <c r="F625" s="129"/>
      <c r="G625" s="132"/>
      <c r="H625" s="132"/>
    </row>
    <row r="626" spans="1:8">
      <c r="A626" s="127"/>
      <c r="B626" s="128"/>
      <c r="C626" s="132"/>
      <c r="D626" s="133"/>
      <c r="E626" s="132"/>
      <c r="F626" s="129"/>
      <c r="G626" s="132"/>
      <c r="H626" s="132"/>
    </row>
    <row r="627" spans="1:8">
      <c r="A627" s="127"/>
      <c r="B627" s="128"/>
      <c r="C627" s="132"/>
      <c r="D627" s="133"/>
      <c r="E627" s="132"/>
      <c r="F627" s="129"/>
      <c r="G627" s="132"/>
      <c r="H627" s="132"/>
    </row>
    <row r="628" spans="1:8">
      <c r="A628" s="127"/>
      <c r="B628" s="128"/>
      <c r="C628" s="132"/>
      <c r="D628" s="133"/>
      <c r="E628" s="132"/>
      <c r="F628" s="129"/>
      <c r="G628" s="132"/>
      <c r="H628" s="132"/>
    </row>
    <row r="629" spans="1:8">
      <c r="A629" s="127"/>
      <c r="B629" s="128"/>
      <c r="C629" s="132"/>
      <c r="D629" s="133"/>
      <c r="E629" s="132"/>
      <c r="F629" s="129"/>
      <c r="G629" s="132"/>
      <c r="H629" s="132"/>
    </row>
    <row r="630" spans="1:8">
      <c r="A630" s="127"/>
      <c r="B630" s="128"/>
      <c r="C630" s="132"/>
      <c r="D630" s="133"/>
      <c r="E630" s="132"/>
      <c r="F630" s="129"/>
      <c r="G630" s="132"/>
      <c r="H630" s="132"/>
    </row>
    <row r="631" spans="1:8">
      <c r="A631" s="127"/>
      <c r="B631" s="128"/>
      <c r="C631" s="132"/>
      <c r="D631" s="133"/>
      <c r="E631" s="132"/>
      <c r="F631" s="129"/>
      <c r="G631" s="132"/>
      <c r="H631" s="132"/>
    </row>
    <row r="632" spans="1:8">
      <c r="A632" s="127"/>
      <c r="B632" s="128"/>
      <c r="C632" s="132"/>
      <c r="D632" s="133"/>
      <c r="E632" s="132"/>
      <c r="F632" s="129"/>
      <c r="G632" s="132"/>
      <c r="H632" s="132"/>
    </row>
    <row r="633" spans="1:8">
      <c r="A633" s="127"/>
      <c r="B633" s="128"/>
      <c r="C633" s="132"/>
      <c r="D633" s="133"/>
      <c r="E633" s="132"/>
      <c r="F633" s="129"/>
      <c r="G633" s="132"/>
      <c r="H633" s="132"/>
    </row>
    <row r="634" spans="1:8">
      <c r="A634" s="127"/>
      <c r="B634" s="128"/>
      <c r="C634" s="132"/>
      <c r="D634" s="133"/>
      <c r="E634" s="132"/>
      <c r="F634" s="129"/>
      <c r="G634" s="132"/>
      <c r="H634" s="132"/>
    </row>
    <row r="635" spans="1:8">
      <c r="A635" s="127"/>
      <c r="B635" s="128"/>
      <c r="C635" s="132"/>
      <c r="D635" s="133"/>
      <c r="E635" s="132"/>
      <c r="F635" s="129"/>
      <c r="G635" s="132"/>
      <c r="H635" s="132"/>
    </row>
    <row r="636" spans="1:8">
      <c r="A636" s="127"/>
      <c r="B636" s="128"/>
      <c r="C636" s="132"/>
      <c r="D636" s="133"/>
      <c r="E636" s="132"/>
      <c r="F636" s="129"/>
      <c r="G636" s="132"/>
      <c r="H636" s="132"/>
    </row>
    <row r="637" spans="1:8">
      <c r="A637" s="127"/>
      <c r="B637" s="128"/>
      <c r="C637" s="132"/>
      <c r="D637" s="133"/>
      <c r="E637" s="132"/>
      <c r="F637" s="129"/>
      <c r="G637" s="132"/>
      <c r="H637" s="132"/>
    </row>
    <row r="638" spans="1:8">
      <c r="A638" s="127"/>
      <c r="B638" s="128"/>
      <c r="C638" s="132"/>
      <c r="D638" s="133"/>
      <c r="E638" s="132"/>
      <c r="F638" s="129"/>
      <c r="G638" s="132"/>
      <c r="H638" s="132"/>
    </row>
    <row r="639" spans="1:8">
      <c r="A639" s="127"/>
      <c r="B639" s="128"/>
      <c r="C639" s="132"/>
      <c r="D639" s="133"/>
      <c r="E639" s="132"/>
      <c r="F639" s="129"/>
      <c r="G639" s="132"/>
      <c r="H639" s="132"/>
    </row>
    <row r="640" spans="1:8">
      <c r="A640" s="127"/>
      <c r="B640" s="128"/>
      <c r="C640" s="132"/>
      <c r="D640" s="133"/>
      <c r="E640" s="132"/>
      <c r="F640" s="129"/>
      <c r="G640" s="132"/>
      <c r="H640" s="132"/>
    </row>
    <row r="641" spans="1:8">
      <c r="A641" s="127"/>
      <c r="B641" s="128"/>
      <c r="C641" s="132"/>
      <c r="D641" s="133"/>
      <c r="E641" s="132"/>
      <c r="F641" s="129"/>
      <c r="G641" s="132"/>
      <c r="H641" s="132"/>
    </row>
    <row r="642" spans="1:8">
      <c r="A642" s="127"/>
      <c r="B642" s="128"/>
      <c r="C642" s="132"/>
      <c r="D642" s="133"/>
      <c r="E642" s="132"/>
      <c r="F642" s="129"/>
      <c r="G642" s="132"/>
      <c r="H642" s="132"/>
    </row>
    <row r="643" spans="1:8">
      <c r="A643" s="127"/>
      <c r="B643" s="128"/>
      <c r="C643" s="132"/>
      <c r="D643" s="133"/>
      <c r="E643" s="132"/>
      <c r="F643" s="129"/>
      <c r="G643" s="132"/>
      <c r="H643" s="132"/>
    </row>
    <row r="644" spans="1:8">
      <c r="A644" s="127"/>
      <c r="B644" s="128"/>
      <c r="C644" s="132"/>
      <c r="D644" s="133"/>
      <c r="E644" s="132"/>
      <c r="F644" s="129"/>
      <c r="G644" s="132"/>
      <c r="H644" s="132"/>
    </row>
    <row r="645" spans="1:8">
      <c r="A645" s="127"/>
      <c r="B645" s="128"/>
      <c r="C645" s="132"/>
      <c r="D645" s="133"/>
      <c r="E645" s="132"/>
      <c r="F645" s="129"/>
      <c r="G645" s="132"/>
      <c r="H645" s="132"/>
    </row>
    <row r="646" spans="1:8">
      <c r="A646" s="127"/>
      <c r="B646" s="128"/>
      <c r="C646" s="132"/>
      <c r="D646" s="133"/>
      <c r="E646" s="132"/>
      <c r="F646" s="129"/>
      <c r="G646" s="132"/>
      <c r="H646" s="132"/>
    </row>
    <row r="647" spans="1:8">
      <c r="A647" s="127"/>
      <c r="B647" s="128"/>
      <c r="C647" s="132"/>
      <c r="D647" s="133"/>
      <c r="E647" s="132"/>
      <c r="F647" s="129"/>
      <c r="G647" s="132"/>
      <c r="H647" s="132"/>
    </row>
    <row r="648" spans="1:8">
      <c r="A648" s="127"/>
      <c r="B648" s="128"/>
      <c r="C648" s="132"/>
      <c r="D648" s="133"/>
      <c r="E648" s="132"/>
      <c r="F648" s="129"/>
      <c r="G648" s="132"/>
      <c r="H648" s="132"/>
    </row>
    <row r="649" spans="1:8">
      <c r="A649" s="127"/>
      <c r="B649" s="128"/>
      <c r="C649" s="132"/>
      <c r="D649" s="133"/>
      <c r="E649" s="132"/>
      <c r="F649" s="129"/>
      <c r="G649" s="132"/>
      <c r="H649" s="132"/>
    </row>
    <row r="650" spans="1:8">
      <c r="A650" s="127"/>
      <c r="B650" s="128"/>
      <c r="C650" s="132"/>
      <c r="D650" s="133"/>
      <c r="E650" s="132"/>
      <c r="F650" s="129"/>
      <c r="G650" s="132"/>
      <c r="H650" s="132"/>
    </row>
    <row r="651" spans="1:8">
      <c r="A651" s="127"/>
      <c r="B651" s="128"/>
      <c r="C651" s="132"/>
      <c r="D651" s="133"/>
      <c r="E651" s="132"/>
      <c r="F651" s="129"/>
      <c r="G651" s="132"/>
      <c r="H651" s="132"/>
    </row>
    <row r="652" spans="1:8">
      <c r="A652" s="127"/>
      <c r="B652" s="128"/>
      <c r="C652" s="132"/>
      <c r="D652" s="133"/>
      <c r="E652" s="132"/>
      <c r="F652" s="129"/>
      <c r="G652" s="132"/>
      <c r="H652" s="132"/>
    </row>
    <row r="653" spans="1:8">
      <c r="A653" s="127"/>
      <c r="B653" s="128"/>
      <c r="C653" s="132"/>
      <c r="D653" s="133"/>
      <c r="E653" s="132"/>
      <c r="F653" s="129"/>
      <c r="G653" s="132"/>
      <c r="H653" s="132"/>
    </row>
    <row r="654" spans="1:8">
      <c r="A654" s="127"/>
      <c r="B654" s="128"/>
      <c r="C654" s="132"/>
      <c r="D654" s="133"/>
      <c r="E654" s="132"/>
      <c r="F654" s="129"/>
      <c r="G654" s="132"/>
      <c r="H654" s="132"/>
    </row>
    <row r="655" spans="1:8">
      <c r="A655" s="127"/>
      <c r="B655" s="128"/>
      <c r="C655" s="132"/>
      <c r="D655" s="133"/>
      <c r="E655" s="132"/>
      <c r="F655" s="129"/>
      <c r="G655" s="132"/>
      <c r="H655" s="132"/>
    </row>
    <row r="656" spans="1:8">
      <c r="A656" s="127"/>
      <c r="B656" s="128"/>
      <c r="C656" s="132"/>
      <c r="D656" s="133"/>
      <c r="E656" s="132"/>
      <c r="F656" s="129"/>
      <c r="G656" s="132"/>
      <c r="H656" s="132"/>
    </row>
    <row r="657" spans="1:8">
      <c r="A657" s="127"/>
      <c r="B657" s="128"/>
      <c r="C657" s="132"/>
      <c r="D657" s="133"/>
      <c r="E657" s="132"/>
      <c r="F657" s="129"/>
      <c r="G657" s="132"/>
      <c r="H657" s="132"/>
    </row>
    <row r="658" spans="1:8">
      <c r="A658" s="127"/>
      <c r="B658" s="128"/>
      <c r="C658" s="132"/>
      <c r="D658" s="133"/>
      <c r="E658" s="132"/>
      <c r="F658" s="129"/>
      <c r="G658" s="132"/>
      <c r="H658" s="132"/>
    </row>
    <row r="659" spans="1:8">
      <c r="A659" s="127"/>
      <c r="B659" s="128"/>
      <c r="C659" s="132"/>
      <c r="D659" s="133"/>
      <c r="E659" s="132"/>
      <c r="F659" s="129"/>
      <c r="G659" s="132"/>
      <c r="H659" s="132"/>
    </row>
    <row r="660" spans="1:8">
      <c r="A660" s="127"/>
      <c r="B660" s="128"/>
      <c r="C660" s="132"/>
      <c r="D660" s="133"/>
      <c r="E660" s="132"/>
      <c r="F660" s="129"/>
      <c r="G660" s="132"/>
      <c r="H660" s="132"/>
    </row>
    <row r="661" spans="1:8">
      <c r="A661" s="127"/>
      <c r="B661" s="128"/>
      <c r="C661" s="132"/>
      <c r="D661" s="133"/>
      <c r="E661" s="132"/>
      <c r="F661" s="129"/>
      <c r="G661" s="132"/>
      <c r="H661" s="132"/>
    </row>
    <row r="662" spans="1:8">
      <c r="A662" s="127"/>
      <c r="B662" s="128"/>
      <c r="C662" s="132"/>
      <c r="D662" s="133"/>
      <c r="E662" s="132"/>
      <c r="F662" s="129"/>
      <c r="G662" s="132"/>
      <c r="H662" s="132"/>
    </row>
    <row r="663" spans="1:8">
      <c r="A663" s="127"/>
      <c r="B663" s="128"/>
      <c r="C663" s="132"/>
      <c r="D663" s="133"/>
      <c r="E663" s="132"/>
      <c r="F663" s="129"/>
      <c r="G663" s="132"/>
      <c r="H663" s="132"/>
    </row>
    <row r="664" spans="1:8">
      <c r="A664" s="127"/>
      <c r="B664" s="128"/>
      <c r="C664" s="132"/>
      <c r="D664" s="133"/>
      <c r="E664" s="132"/>
      <c r="F664" s="129"/>
      <c r="G664" s="132"/>
      <c r="H664" s="132"/>
    </row>
    <row r="665" spans="1:8">
      <c r="A665" s="127"/>
      <c r="B665" s="128"/>
      <c r="C665" s="132"/>
      <c r="D665" s="133"/>
      <c r="E665" s="132"/>
      <c r="F665" s="129"/>
      <c r="G665" s="132"/>
      <c r="H665" s="132"/>
    </row>
    <row r="666" spans="1:8">
      <c r="A666" s="127"/>
      <c r="B666" s="128"/>
      <c r="C666" s="132"/>
      <c r="D666" s="133"/>
      <c r="E666" s="132"/>
      <c r="F666" s="129"/>
      <c r="G666" s="132"/>
      <c r="H666" s="132"/>
    </row>
    <row r="667" spans="1:8">
      <c r="A667" s="127"/>
      <c r="B667" s="128"/>
      <c r="C667" s="132"/>
      <c r="D667" s="133"/>
      <c r="E667" s="132"/>
      <c r="F667" s="129"/>
      <c r="G667" s="132"/>
      <c r="H667" s="132"/>
    </row>
    <row r="668" spans="1:8">
      <c r="A668" s="127"/>
      <c r="B668" s="128"/>
      <c r="C668" s="132"/>
      <c r="D668" s="133"/>
      <c r="E668" s="132"/>
      <c r="F668" s="129"/>
      <c r="G668" s="132"/>
      <c r="H668" s="132"/>
    </row>
    <row r="669" spans="1:8">
      <c r="A669" s="127"/>
      <c r="B669" s="128"/>
      <c r="C669" s="132"/>
      <c r="D669" s="133"/>
      <c r="E669" s="132"/>
      <c r="F669" s="129"/>
      <c r="G669" s="132"/>
      <c r="H669" s="132"/>
    </row>
    <row r="670" spans="1:8">
      <c r="A670" s="127"/>
      <c r="B670" s="128"/>
      <c r="C670" s="132"/>
      <c r="D670" s="133"/>
      <c r="E670" s="132"/>
      <c r="F670" s="129"/>
      <c r="G670" s="132"/>
      <c r="H670" s="132"/>
    </row>
    <row r="671" spans="1:8">
      <c r="A671" s="127"/>
      <c r="B671" s="128"/>
      <c r="C671" s="132"/>
      <c r="D671" s="133"/>
      <c r="E671" s="132"/>
      <c r="F671" s="129"/>
      <c r="G671" s="132"/>
      <c r="H671" s="132"/>
    </row>
    <row r="672" spans="1:8">
      <c r="A672" s="127"/>
      <c r="B672" s="128"/>
      <c r="C672" s="132"/>
      <c r="D672" s="133"/>
      <c r="E672" s="132"/>
      <c r="F672" s="129"/>
      <c r="G672" s="132"/>
      <c r="H672" s="132"/>
    </row>
    <row r="673" spans="1:8">
      <c r="A673" s="127"/>
      <c r="B673" s="128"/>
      <c r="C673" s="132"/>
      <c r="D673" s="133"/>
      <c r="E673" s="132"/>
      <c r="F673" s="129"/>
      <c r="G673" s="132"/>
      <c r="H673" s="132"/>
    </row>
    <row r="674" spans="1:8">
      <c r="A674" s="127"/>
      <c r="B674" s="128"/>
      <c r="C674" s="132"/>
      <c r="D674" s="133"/>
      <c r="E674" s="132"/>
      <c r="F674" s="129"/>
      <c r="G674" s="132"/>
      <c r="H674" s="132"/>
    </row>
    <row r="675" spans="1:8">
      <c r="A675" s="127"/>
      <c r="B675" s="128"/>
      <c r="C675" s="132"/>
      <c r="D675" s="133"/>
      <c r="E675" s="132"/>
      <c r="F675" s="129"/>
      <c r="G675" s="132"/>
      <c r="H675" s="132"/>
    </row>
    <row r="676" spans="1:8">
      <c r="A676" s="127"/>
      <c r="B676" s="128"/>
      <c r="C676" s="132"/>
      <c r="D676" s="133"/>
      <c r="E676" s="132"/>
      <c r="F676" s="129"/>
      <c r="G676" s="132"/>
      <c r="H676" s="132"/>
    </row>
    <row r="677" spans="1:8">
      <c r="A677" s="127"/>
      <c r="B677" s="128"/>
      <c r="C677" s="132"/>
      <c r="D677" s="133"/>
      <c r="E677" s="132"/>
      <c r="F677" s="129"/>
      <c r="G677" s="132"/>
      <c r="H677" s="132"/>
    </row>
    <row r="678" spans="1:8">
      <c r="A678" s="127"/>
      <c r="B678" s="128"/>
      <c r="C678" s="132"/>
      <c r="D678" s="133"/>
      <c r="E678" s="132"/>
      <c r="F678" s="129"/>
      <c r="G678" s="132"/>
      <c r="H678" s="132"/>
    </row>
    <row r="679" spans="1:8">
      <c r="A679" s="127"/>
      <c r="B679" s="128"/>
      <c r="C679" s="132"/>
      <c r="D679" s="133"/>
      <c r="E679" s="132"/>
      <c r="F679" s="129"/>
      <c r="G679" s="132"/>
      <c r="H679" s="132"/>
    </row>
    <row r="680" spans="1:8">
      <c r="A680" s="127"/>
      <c r="B680" s="128"/>
      <c r="C680" s="132"/>
      <c r="D680" s="133"/>
      <c r="E680" s="132"/>
      <c r="F680" s="129"/>
      <c r="G680" s="132"/>
      <c r="H680" s="132"/>
    </row>
    <row r="681" spans="1:8">
      <c r="A681" s="127"/>
      <c r="B681" s="128"/>
      <c r="C681" s="132"/>
      <c r="D681" s="133"/>
      <c r="E681" s="132"/>
      <c r="F681" s="129"/>
      <c r="G681" s="132"/>
      <c r="H681" s="132"/>
    </row>
    <row r="682" spans="1:8">
      <c r="A682" s="127"/>
      <c r="B682" s="128"/>
      <c r="C682" s="132"/>
      <c r="D682" s="133"/>
      <c r="E682" s="132"/>
      <c r="F682" s="129"/>
      <c r="G682" s="132"/>
      <c r="H682" s="132"/>
    </row>
    <row r="683" spans="1:8">
      <c r="A683" s="127"/>
      <c r="B683" s="128"/>
      <c r="C683" s="132"/>
      <c r="D683" s="133"/>
      <c r="E683" s="132"/>
      <c r="F683" s="129"/>
      <c r="G683" s="132"/>
      <c r="H683" s="132"/>
    </row>
    <row r="684" spans="1:8">
      <c r="A684" s="127"/>
      <c r="B684" s="128"/>
      <c r="C684" s="132"/>
      <c r="D684" s="133"/>
      <c r="E684" s="132"/>
      <c r="F684" s="129"/>
      <c r="G684" s="132"/>
      <c r="H684" s="132"/>
    </row>
    <row r="685" spans="1:8">
      <c r="A685" s="127"/>
      <c r="B685" s="128"/>
      <c r="C685" s="132"/>
      <c r="D685" s="133"/>
      <c r="E685" s="132"/>
      <c r="F685" s="129"/>
      <c r="G685" s="132"/>
      <c r="H685" s="132"/>
    </row>
    <row r="686" spans="1:8">
      <c r="A686" s="127"/>
      <c r="B686" s="128"/>
      <c r="C686" s="132"/>
      <c r="D686" s="133"/>
      <c r="E686" s="132"/>
      <c r="F686" s="129"/>
      <c r="G686" s="132"/>
      <c r="H686" s="132"/>
    </row>
    <row r="687" spans="1:8">
      <c r="A687" s="127"/>
      <c r="B687" s="128"/>
      <c r="C687" s="132"/>
      <c r="D687" s="133"/>
      <c r="E687" s="132"/>
      <c r="F687" s="129"/>
      <c r="G687" s="132"/>
      <c r="H687" s="132"/>
    </row>
    <row r="688" spans="1:8">
      <c r="A688" s="127"/>
      <c r="B688" s="128"/>
      <c r="C688" s="132"/>
      <c r="D688" s="133"/>
      <c r="E688" s="132"/>
      <c r="F688" s="129"/>
      <c r="G688" s="132"/>
      <c r="H688" s="132"/>
    </row>
    <row r="689" spans="1:8">
      <c r="A689" s="127"/>
      <c r="B689" s="128"/>
      <c r="C689" s="132"/>
      <c r="D689" s="133"/>
      <c r="E689" s="132"/>
      <c r="F689" s="129"/>
      <c r="G689" s="132"/>
      <c r="H689" s="132"/>
    </row>
    <row r="690" spans="1:8">
      <c r="A690" s="127"/>
      <c r="B690" s="128"/>
      <c r="C690" s="132"/>
      <c r="D690" s="133"/>
      <c r="E690" s="132"/>
      <c r="F690" s="129"/>
      <c r="G690" s="132"/>
      <c r="H690" s="132"/>
    </row>
    <row r="691" spans="1:8">
      <c r="A691" s="127"/>
      <c r="B691" s="128"/>
      <c r="C691" s="132"/>
      <c r="D691" s="133"/>
      <c r="E691" s="132"/>
      <c r="F691" s="129"/>
      <c r="G691" s="132"/>
      <c r="H691" s="132"/>
    </row>
    <row r="692" spans="1:8">
      <c r="A692" s="127"/>
      <c r="B692" s="128"/>
      <c r="C692" s="132"/>
      <c r="D692" s="133"/>
      <c r="E692" s="132"/>
      <c r="F692" s="129"/>
      <c r="G692" s="132"/>
      <c r="H692" s="132"/>
    </row>
    <row r="693" spans="1:8">
      <c r="A693" s="127"/>
      <c r="B693" s="128"/>
      <c r="C693" s="132"/>
      <c r="D693" s="133"/>
      <c r="E693" s="132"/>
      <c r="F693" s="129"/>
      <c r="G693" s="132"/>
      <c r="H693" s="132"/>
    </row>
    <row r="694" spans="1:8">
      <c r="A694" s="127"/>
      <c r="B694" s="128"/>
      <c r="C694" s="132"/>
      <c r="D694" s="133"/>
      <c r="E694" s="132"/>
      <c r="F694" s="129"/>
      <c r="G694" s="132"/>
      <c r="H694" s="132"/>
    </row>
    <row r="695" spans="1:8">
      <c r="A695" s="127"/>
      <c r="B695" s="128"/>
      <c r="C695" s="132"/>
      <c r="D695" s="133"/>
      <c r="E695" s="132"/>
      <c r="F695" s="129"/>
      <c r="G695" s="132"/>
      <c r="H695" s="132"/>
    </row>
    <row r="696" spans="1:8">
      <c r="A696" s="127"/>
      <c r="B696" s="128"/>
      <c r="C696" s="132"/>
      <c r="D696" s="133"/>
      <c r="E696" s="132"/>
      <c r="F696" s="129"/>
      <c r="G696" s="132"/>
      <c r="H696" s="132"/>
    </row>
    <row r="697" spans="1:8">
      <c r="A697" s="127"/>
      <c r="B697" s="128"/>
      <c r="C697" s="132"/>
      <c r="D697" s="133"/>
      <c r="E697" s="132"/>
      <c r="F697" s="129"/>
      <c r="G697" s="132"/>
      <c r="H697" s="132"/>
    </row>
    <row r="698" spans="1:8">
      <c r="A698" s="127"/>
      <c r="B698" s="128"/>
      <c r="C698" s="132"/>
      <c r="D698" s="133"/>
      <c r="E698" s="132"/>
      <c r="F698" s="129"/>
      <c r="G698" s="132"/>
      <c r="H698" s="132"/>
    </row>
    <row r="699" spans="1:8">
      <c r="A699" s="127"/>
      <c r="B699" s="128"/>
      <c r="C699" s="132"/>
      <c r="D699" s="133"/>
      <c r="E699" s="132"/>
      <c r="F699" s="129"/>
      <c r="G699" s="132"/>
      <c r="H699" s="132"/>
    </row>
    <row r="700" spans="1:8">
      <c r="A700" s="127"/>
      <c r="B700" s="128"/>
      <c r="C700" s="132"/>
      <c r="D700" s="133"/>
      <c r="E700" s="132"/>
      <c r="F700" s="129"/>
      <c r="G700" s="132"/>
      <c r="H700" s="132"/>
    </row>
    <row r="701" spans="1:8">
      <c r="A701" s="127"/>
      <c r="B701" s="128"/>
      <c r="C701" s="132"/>
      <c r="D701" s="133"/>
      <c r="E701" s="132"/>
      <c r="F701" s="129"/>
      <c r="G701" s="132"/>
      <c r="H701" s="132"/>
    </row>
    <row r="702" spans="1:8">
      <c r="A702" s="127"/>
      <c r="B702" s="128"/>
      <c r="C702" s="132"/>
      <c r="D702" s="133"/>
      <c r="E702" s="132"/>
      <c r="F702" s="129"/>
      <c r="G702" s="132"/>
      <c r="H702" s="132"/>
    </row>
    <row r="703" spans="1:8">
      <c r="A703" s="127"/>
      <c r="B703" s="128"/>
      <c r="C703" s="132"/>
      <c r="D703" s="133"/>
      <c r="E703" s="132"/>
      <c r="F703" s="129"/>
      <c r="G703" s="132"/>
      <c r="H703" s="132"/>
    </row>
    <row r="704" spans="1:8">
      <c r="A704" s="127"/>
      <c r="B704" s="128"/>
      <c r="C704" s="132"/>
      <c r="D704" s="133"/>
      <c r="E704" s="132"/>
      <c r="F704" s="129"/>
      <c r="G704" s="132"/>
      <c r="H704" s="132"/>
    </row>
    <row r="705" spans="1:8">
      <c r="A705" s="127"/>
      <c r="B705" s="128"/>
      <c r="C705" s="132"/>
      <c r="D705" s="133"/>
      <c r="E705" s="132"/>
      <c r="F705" s="129"/>
      <c r="G705" s="132"/>
      <c r="H705" s="132"/>
    </row>
    <row r="706" spans="1:8">
      <c r="A706" s="127"/>
      <c r="B706" s="128"/>
      <c r="C706" s="132"/>
      <c r="D706" s="133"/>
      <c r="E706" s="132"/>
      <c r="F706" s="129"/>
      <c r="G706" s="132"/>
      <c r="H706" s="132"/>
    </row>
    <row r="707" spans="1:8">
      <c r="A707" s="127"/>
      <c r="B707" s="128"/>
      <c r="C707" s="132"/>
      <c r="D707" s="133"/>
      <c r="E707" s="132"/>
      <c r="F707" s="129"/>
      <c r="G707" s="132"/>
      <c r="H707" s="132"/>
    </row>
    <row r="708" spans="1:8">
      <c r="A708" s="127"/>
      <c r="B708" s="128"/>
      <c r="C708" s="132"/>
      <c r="D708" s="133"/>
      <c r="E708" s="132"/>
      <c r="F708" s="129"/>
      <c r="G708" s="132"/>
      <c r="H708" s="132"/>
    </row>
    <row r="709" spans="1:8">
      <c r="A709" s="127"/>
      <c r="B709" s="128"/>
      <c r="C709" s="132"/>
      <c r="D709" s="133"/>
      <c r="E709" s="132"/>
      <c r="F709" s="129"/>
      <c r="G709" s="132"/>
      <c r="H709" s="132"/>
    </row>
    <row r="710" spans="1:8">
      <c r="A710" s="127"/>
      <c r="B710" s="128"/>
      <c r="C710" s="132"/>
      <c r="D710" s="133"/>
      <c r="E710" s="132"/>
      <c r="F710" s="129"/>
      <c r="G710" s="132"/>
      <c r="H710" s="132"/>
    </row>
    <row r="711" spans="1:8">
      <c r="A711" s="127"/>
      <c r="B711" s="128"/>
      <c r="C711" s="132"/>
      <c r="D711" s="133"/>
      <c r="E711" s="132"/>
      <c r="F711" s="129"/>
      <c r="G711" s="132"/>
      <c r="H711" s="132"/>
    </row>
    <row r="712" spans="1:8">
      <c r="A712" s="127"/>
      <c r="B712" s="128"/>
      <c r="C712" s="132"/>
      <c r="D712" s="133"/>
      <c r="E712" s="132"/>
      <c r="F712" s="129"/>
      <c r="G712" s="132"/>
      <c r="H712" s="132"/>
    </row>
    <row r="713" spans="1:8">
      <c r="A713" s="127"/>
      <c r="B713" s="128"/>
      <c r="C713" s="132"/>
      <c r="D713" s="133"/>
      <c r="E713" s="132"/>
      <c r="F713" s="129"/>
      <c r="G713" s="132"/>
      <c r="H713" s="132"/>
    </row>
    <row r="714" spans="1:8">
      <c r="A714" s="127"/>
      <c r="B714" s="128"/>
      <c r="C714" s="132"/>
      <c r="D714" s="133"/>
      <c r="E714" s="132"/>
      <c r="F714" s="129"/>
      <c r="G714" s="132"/>
      <c r="H714" s="132"/>
    </row>
    <row r="715" spans="1:8">
      <c r="A715" s="127"/>
      <c r="B715" s="128"/>
      <c r="C715" s="132"/>
      <c r="D715" s="133"/>
      <c r="E715" s="132"/>
      <c r="F715" s="129"/>
      <c r="G715" s="132"/>
      <c r="H715" s="132"/>
    </row>
    <row r="716" spans="1:8">
      <c r="A716" s="127"/>
      <c r="B716" s="128"/>
      <c r="C716" s="132"/>
      <c r="D716" s="133"/>
      <c r="E716" s="132"/>
      <c r="F716" s="129"/>
      <c r="G716" s="132"/>
      <c r="H716" s="132"/>
    </row>
    <row r="717" spans="1:8">
      <c r="A717" s="127"/>
      <c r="B717" s="128"/>
      <c r="C717" s="132"/>
      <c r="D717" s="133"/>
      <c r="E717" s="132"/>
      <c r="F717" s="129"/>
      <c r="G717" s="132"/>
      <c r="H717" s="132"/>
    </row>
    <row r="718" spans="1:8">
      <c r="A718" s="127"/>
      <c r="B718" s="128"/>
      <c r="C718" s="132"/>
      <c r="D718" s="133"/>
      <c r="E718" s="132"/>
      <c r="F718" s="129"/>
      <c r="G718" s="132"/>
      <c r="H718" s="132"/>
    </row>
    <row r="719" spans="1:8">
      <c r="A719" s="127"/>
      <c r="B719" s="128"/>
      <c r="C719" s="132"/>
      <c r="D719" s="133"/>
      <c r="E719" s="132"/>
      <c r="F719" s="129"/>
      <c r="G719" s="132"/>
      <c r="H719" s="132"/>
    </row>
    <row r="720" spans="1:8">
      <c r="A720" s="127"/>
      <c r="B720" s="128"/>
      <c r="C720" s="132"/>
      <c r="D720" s="133"/>
      <c r="E720" s="132"/>
      <c r="F720" s="129"/>
      <c r="G720" s="132"/>
      <c r="H720" s="132"/>
    </row>
    <row r="721" spans="1:8">
      <c r="A721" s="127"/>
      <c r="B721" s="128"/>
      <c r="C721" s="132"/>
      <c r="D721" s="133"/>
      <c r="E721" s="132"/>
      <c r="F721" s="129"/>
      <c r="G721" s="132"/>
      <c r="H721" s="132"/>
    </row>
    <row r="722" spans="1:8">
      <c r="A722" s="127"/>
      <c r="B722" s="128"/>
      <c r="C722" s="132"/>
      <c r="D722" s="133"/>
      <c r="E722" s="132"/>
      <c r="F722" s="129"/>
      <c r="G722" s="132"/>
      <c r="H722" s="132"/>
    </row>
    <row r="723" spans="1:8">
      <c r="A723" s="127"/>
      <c r="B723" s="128"/>
      <c r="C723" s="132"/>
      <c r="D723" s="133"/>
      <c r="E723" s="132"/>
      <c r="F723" s="129"/>
      <c r="G723" s="132"/>
      <c r="H723" s="132"/>
    </row>
    <row r="724" spans="1:8">
      <c r="A724" s="127"/>
      <c r="B724" s="128"/>
      <c r="C724" s="132"/>
      <c r="D724" s="133"/>
      <c r="E724" s="132"/>
      <c r="F724" s="129"/>
      <c r="G724" s="132"/>
      <c r="H724" s="132"/>
    </row>
    <row r="725" spans="1:8">
      <c r="A725" s="127"/>
      <c r="B725" s="128"/>
      <c r="C725" s="132"/>
      <c r="D725" s="133"/>
      <c r="E725" s="132"/>
      <c r="F725" s="129"/>
      <c r="G725" s="132"/>
      <c r="H725" s="132"/>
    </row>
    <row r="726" spans="1:8">
      <c r="A726" s="127"/>
      <c r="B726" s="128"/>
      <c r="C726" s="132"/>
      <c r="D726" s="133"/>
      <c r="E726" s="132"/>
      <c r="F726" s="129"/>
      <c r="G726" s="132"/>
      <c r="H726" s="132"/>
    </row>
    <row r="727" spans="1:8">
      <c r="A727" s="127"/>
      <c r="B727" s="128"/>
      <c r="C727" s="132"/>
      <c r="D727" s="133"/>
      <c r="E727" s="132"/>
      <c r="F727" s="129"/>
      <c r="G727" s="132"/>
      <c r="H727" s="132"/>
    </row>
    <row r="728" spans="1:8">
      <c r="A728" s="127"/>
      <c r="B728" s="128"/>
      <c r="C728" s="132"/>
      <c r="D728" s="133"/>
      <c r="E728" s="132"/>
      <c r="F728" s="129"/>
      <c r="G728" s="132"/>
      <c r="H728" s="132"/>
    </row>
    <row r="729" spans="1:8">
      <c r="A729" s="127"/>
      <c r="B729" s="128"/>
      <c r="C729" s="132"/>
      <c r="D729" s="133"/>
      <c r="E729" s="132"/>
      <c r="F729" s="129"/>
      <c r="G729" s="132"/>
      <c r="H729" s="132"/>
    </row>
    <row r="730" spans="1:8">
      <c r="A730" s="127"/>
      <c r="B730" s="128"/>
      <c r="C730" s="132"/>
      <c r="D730" s="133"/>
      <c r="E730" s="132"/>
      <c r="F730" s="129"/>
      <c r="G730" s="132"/>
      <c r="H730" s="132"/>
    </row>
    <row r="731" spans="1:8">
      <c r="A731" s="127"/>
      <c r="B731" s="128"/>
      <c r="C731" s="132"/>
      <c r="D731" s="133"/>
      <c r="E731" s="132"/>
      <c r="F731" s="129"/>
      <c r="G731" s="132"/>
      <c r="H731" s="132"/>
    </row>
    <row r="732" spans="1:8">
      <c r="A732" s="127"/>
      <c r="B732" s="128"/>
      <c r="C732" s="132"/>
      <c r="D732" s="133"/>
      <c r="E732" s="132"/>
      <c r="F732" s="129"/>
      <c r="G732" s="132"/>
      <c r="H732" s="132"/>
    </row>
    <row r="733" spans="1:8">
      <c r="A733" s="127"/>
      <c r="B733" s="128"/>
      <c r="C733" s="132"/>
      <c r="D733" s="133"/>
      <c r="E733" s="132"/>
      <c r="F733" s="129"/>
      <c r="G733" s="132"/>
      <c r="H733" s="132"/>
    </row>
    <row r="734" spans="1:8">
      <c r="A734" s="127"/>
      <c r="B734" s="128"/>
      <c r="C734" s="132"/>
      <c r="D734" s="133"/>
      <c r="E734" s="132"/>
      <c r="F734" s="129"/>
      <c r="G734" s="132"/>
      <c r="H734" s="132"/>
    </row>
    <row r="735" spans="1:8">
      <c r="A735" s="127"/>
      <c r="B735" s="128"/>
      <c r="C735" s="132"/>
      <c r="D735" s="133"/>
      <c r="E735" s="132"/>
      <c r="F735" s="129"/>
      <c r="G735" s="132"/>
      <c r="H735" s="132"/>
    </row>
    <row r="736" spans="1:8">
      <c r="A736" s="127"/>
      <c r="B736" s="128"/>
      <c r="C736" s="132"/>
      <c r="D736" s="133"/>
      <c r="E736" s="132"/>
      <c r="F736" s="129"/>
      <c r="G736" s="132"/>
      <c r="H736" s="132"/>
    </row>
    <row r="737" spans="1:8">
      <c r="A737" s="127"/>
      <c r="B737" s="128"/>
      <c r="C737" s="132"/>
      <c r="D737" s="133"/>
      <c r="E737" s="132"/>
      <c r="F737" s="129"/>
      <c r="G737" s="132"/>
      <c r="H737" s="132"/>
    </row>
    <row r="738" spans="1:8">
      <c r="A738" s="127"/>
      <c r="B738" s="128"/>
      <c r="C738" s="132"/>
      <c r="D738" s="133"/>
      <c r="E738" s="132"/>
      <c r="F738" s="129"/>
      <c r="G738" s="132"/>
      <c r="H738" s="132"/>
    </row>
    <row r="739" spans="1:8">
      <c r="A739" s="127"/>
      <c r="B739" s="128"/>
      <c r="C739" s="132"/>
      <c r="D739" s="133"/>
      <c r="E739" s="132"/>
      <c r="F739" s="129"/>
      <c r="G739" s="132"/>
      <c r="H739" s="132"/>
    </row>
    <row r="740" spans="1:8">
      <c r="A740" s="127"/>
      <c r="B740" s="128"/>
      <c r="C740" s="132"/>
      <c r="D740" s="133"/>
      <c r="E740" s="132"/>
      <c r="F740" s="129"/>
      <c r="G740" s="132"/>
      <c r="H740" s="132"/>
    </row>
    <row r="741" spans="1:8">
      <c r="A741" s="127"/>
      <c r="B741" s="128"/>
      <c r="C741" s="132"/>
      <c r="D741" s="133"/>
      <c r="E741" s="132"/>
      <c r="F741" s="129"/>
      <c r="G741" s="132"/>
      <c r="H741" s="132"/>
    </row>
    <row r="742" spans="1:8">
      <c r="A742" s="127"/>
      <c r="B742" s="128"/>
      <c r="C742" s="132"/>
      <c r="D742" s="133"/>
      <c r="E742" s="132"/>
      <c r="F742" s="129"/>
      <c r="G742" s="132"/>
      <c r="H742" s="132"/>
    </row>
    <row r="743" spans="1:8">
      <c r="A743" s="127"/>
      <c r="B743" s="128"/>
      <c r="C743" s="132"/>
      <c r="D743" s="133"/>
      <c r="E743" s="132"/>
      <c r="F743" s="129"/>
      <c r="G743" s="132"/>
      <c r="H743" s="132"/>
    </row>
    <row r="744" spans="1:8">
      <c r="A744" s="127"/>
      <c r="B744" s="128"/>
      <c r="C744" s="132"/>
      <c r="D744" s="133"/>
      <c r="E744" s="132"/>
      <c r="F744" s="129"/>
      <c r="G744" s="132"/>
      <c r="H744" s="132"/>
    </row>
    <row r="745" spans="1:8">
      <c r="A745" s="127"/>
      <c r="B745" s="128"/>
      <c r="C745" s="132"/>
      <c r="D745" s="133"/>
      <c r="E745" s="132"/>
      <c r="F745" s="129"/>
      <c r="G745" s="132"/>
      <c r="H745" s="132"/>
    </row>
    <row r="746" spans="1:8">
      <c r="A746" s="127"/>
      <c r="B746" s="128"/>
      <c r="C746" s="132"/>
      <c r="D746" s="133"/>
      <c r="E746" s="132"/>
      <c r="F746" s="129"/>
      <c r="G746" s="132"/>
      <c r="H746" s="132"/>
    </row>
    <row r="747" spans="1:8">
      <c r="A747" s="127"/>
      <c r="B747" s="128"/>
      <c r="C747" s="132"/>
      <c r="D747" s="133"/>
      <c r="E747" s="132"/>
      <c r="F747" s="129"/>
      <c r="G747" s="132"/>
      <c r="H747" s="132"/>
    </row>
    <row r="748" spans="1:8">
      <c r="A748" s="127"/>
      <c r="B748" s="128"/>
      <c r="C748" s="132"/>
      <c r="D748" s="133"/>
      <c r="E748" s="132"/>
      <c r="F748" s="129"/>
      <c r="G748" s="132"/>
      <c r="H748" s="132"/>
    </row>
    <row r="749" spans="1:8">
      <c r="A749" s="127"/>
      <c r="B749" s="128"/>
      <c r="C749" s="132"/>
      <c r="D749" s="133"/>
      <c r="E749" s="132"/>
      <c r="F749" s="129"/>
      <c r="G749" s="132"/>
      <c r="H749" s="132"/>
    </row>
    <row r="750" spans="1:8">
      <c r="A750" s="127"/>
      <c r="B750" s="128"/>
      <c r="C750" s="132"/>
      <c r="D750" s="133"/>
      <c r="E750" s="132"/>
      <c r="F750" s="129"/>
      <c r="G750" s="132"/>
      <c r="H750" s="132"/>
    </row>
    <row r="751" spans="1:8">
      <c r="A751" s="127"/>
      <c r="B751" s="128"/>
      <c r="C751" s="132"/>
      <c r="D751" s="133"/>
      <c r="E751" s="132"/>
      <c r="F751" s="129"/>
      <c r="G751" s="132"/>
      <c r="H751" s="132"/>
    </row>
    <row r="752" spans="1:8">
      <c r="A752" s="127"/>
      <c r="B752" s="128"/>
      <c r="C752" s="132"/>
      <c r="D752" s="133"/>
      <c r="E752" s="132"/>
      <c r="F752" s="129"/>
      <c r="G752" s="132"/>
      <c r="H752" s="132"/>
    </row>
    <row r="753" spans="1:8">
      <c r="A753" s="127"/>
      <c r="B753" s="128"/>
      <c r="C753" s="132"/>
      <c r="D753" s="133"/>
      <c r="E753" s="132"/>
      <c r="F753" s="129"/>
      <c r="G753" s="132"/>
      <c r="H753" s="132"/>
    </row>
    <row r="754" spans="1:8">
      <c r="A754" s="127"/>
      <c r="B754" s="128"/>
      <c r="C754" s="132"/>
      <c r="D754" s="133"/>
      <c r="E754" s="132"/>
      <c r="F754" s="129"/>
      <c r="G754" s="132"/>
      <c r="H754" s="132"/>
    </row>
    <row r="755" spans="1:8">
      <c r="A755" s="127"/>
      <c r="B755" s="128"/>
      <c r="C755" s="132"/>
      <c r="D755" s="133"/>
      <c r="E755" s="132"/>
      <c r="F755" s="129"/>
      <c r="G755" s="132"/>
      <c r="H755" s="132"/>
    </row>
    <row r="756" spans="1:8">
      <c r="A756" s="127"/>
      <c r="B756" s="128"/>
      <c r="C756" s="132"/>
      <c r="D756" s="133"/>
      <c r="E756" s="132"/>
      <c r="F756" s="129"/>
      <c r="G756" s="132"/>
      <c r="H756" s="132"/>
    </row>
    <row r="757" spans="1:8">
      <c r="A757" s="127"/>
      <c r="B757" s="128"/>
      <c r="C757" s="132"/>
      <c r="D757" s="133"/>
      <c r="E757" s="132"/>
      <c r="F757" s="129"/>
      <c r="G757" s="132"/>
      <c r="H757" s="132"/>
    </row>
    <row r="758" spans="1:8">
      <c r="A758" s="127"/>
      <c r="B758" s="128"/>
      <c r="C758" s="132"/>
      <c r="D758" s="133"/>
      <c r="E758" s="132"/>
      <c r="F758" s="129"/>
      <c r="G758" s="132"/>
      <c r="H758" s="132"/>
    </row>
    <row r="759" spans="1:8">
      <c r="A759" s="127"/>
      <c r="B759" s="128"/>
      <c r="C759" s="132"/>
      <c r="D759" s="133"/>
      <c r="E759" s="132"/>
      <c r="F759" s="129"/>
      <c r="G759" s="132"/>
      <c r="H759" s="132"/>
    </row>
    <row r="760" spans="1:8">
      <c r="A760" s="127"/>
      <c r="B760" s="128"/>
      <c r="C760" s="132"/>
      <c r="D760" s="133"/>
      <c r="E760" s="132"/>
      <c r="F760" s="129"/>
      <c r="G760" s="132"/>
      <c r="H760" s="132"/>
    </row>
    <row r="761" spans="1:8">
      <c r="A761" s="127"/>
      <c r="B761" s="128"/>
      <c r="C761" s="132"/>
      <c r="D761" s="133"/>
      <c r="E761" s="132"/>
      <c r="F761" s="129"/>
      <c r="G761" s="132"/>
      <c r="H761" s="132"/>
    </row>
    <row r="762" spans="1:8">
      <c r="A762" s="127"/>
      <c r="B762" s="128"/>
      <c r="C762" s="132"/>
      <c r="D762" s="133"/>
      <c r="E762" s="132"/>
      <c r="F762" s="129"/>
      <c r="G762" s="132"/>
      <c r="H762" s="132"/>
    </row>
    <row r="763" spans="1:8">
      <c r="A763" s="127"/>
      <c r="B763" s="128"/>
      <c r="C763" s="132"/>
      <c r="D763" s="133"/>
      <c r="E763" s="132"/>
      <c r="F763" s="129"/>
      <c r="G763" s="132"/>
      <c r="H763" s="132"/>
    </row>
    <row r="764" spans="1:8">
      <c r="A764" s="127"/>
      <c r="B764" s="128"/>
      <c r="C764" s="132"/>
      <c r="D764" s="133"/>
      <c r="E764" s="132"/>
      <c r="F764" s="129"/>
      <c r="G764" s="132"/>
      <c r="H764" s="132"/>
    </row>
    <row r="765" spans="1:8">
      <c r="A765" s="127"/>
      <c r="B765" s="128"/>
      <c r="C765" s="132"/>
      <c r="D765" s="133"/>
      <c r="E765" s="132"/>
      <c r="F765" s="129"/>
      <c r="G765" s="132"/>
      <c r="H765" s="132"/>
    </row>
    <row r="766" spans="1:8">
      <c r="A766" s="127"/>
      <c r="B766" s="128"/>
      <c r="C766" s="132"/>
      <c r="D766" s="133"/>
      <c r="E766" s="132"/>
      <c r="F766" s="129"/>
      <c r="G766" s="132"/>
      <c r="H766" s="132"/>
    </row>
    <row r="767" spans="1:8">
      <c r="A767" s="127"/>
      <c r="B767" s="128"/>
      <c r="C767" s="132"/>
      <c r="D767" s="133"/>
      <c r="E767" s="132"/>
      <c r="F767" s="129"/>
      <c r="G767" s="132"/>
      <c r="H767" s="132"/>
    </row>
    <row r="768" spans="1:8">
      <c r="A768" s="127"/>
      <c r="B768" s="128"/>
      <c r="C768" s="132"/>
      <c r="D768" s="133"/>
      <c r="E768" s="132"/>
      <c r="F768" s="129"/>
      <c r="G768" s="132"/>
      <c r="H768" s="132"/>
    </row>
    <row r="769" spans="1:8">
      <c r="A769" s="127"/>
      <c r="B769" s="128"/>
      <c r="C769" s="132"/>
      <c r="D769" s="133"/>
      <c r="E769" s="132"/>
      <c r="F769" s="129"/>
      <c r="G769" s="132"/>
      <c r="H769" s="132"/>
    </row>
    <row r="770" spans="1:8">
      <c r="A770" s="127"/>
      <c r="B770" s="128"/>
      <c r="C770" s="132"/>
      <c r="D770" s="133"/>
      <c r="E770" s="132"/>
      <c r="F770" s="129"/>
      <c r="G770" s="132"/>
      <c r="H770" s="132"/>
    </row>
    <row r="771" spans="1:8">
      <c r="A771" s="127"/>
      <c r="B771" s="128"/>
      <c r="C771" s="132"/>
      <c r="D771" s="133"/>
      <c r="E771" s="132"/>
      <c r="F771" s="129"/>
      <c r="G771" s="132"/>
      <c r="H771" s="132"/>
    </row>
    <row r="772" spans="1:8">
      <c r="A772" s="127"/>
      <c r="B772" s="128"/>
      <c r="C772" s="132"/>
      <c r="D772" s="133"/>
      <c r="E772" s="132"/>
      <c r="F772" s="129"/>
      <c r="G772" s="132"/>
      <c r="H772" s="132"/>
    </row>
    <row r="773" spans="1:8">
      <c r="A773" s="127"/>
      <c r="B773" s="128"/>
      <c r="C773" s="132"/>
      <c r="D773" s="133"/>
      <c r="E773" s="132"/>
      <c r="F773" s="129"/>
      <c r="G773" s="132"/>
      <c r="H773" s="132"/>
    </row>
    <row r="774" spans="1:8">
      <c r="A774" s="127"/>
      <c r="B774" s="128"/>
      <c r="C774" s="132"/>
      <c r="D774" s="133"/>
      <c r="E774" s="132"/>
      <c r="F774" s="129"/>
      <c r="G774" s="132"/>
      <c r="H774" s="132"/>
    </row>
    <row r="775" spans="1:8">
      <c r="A775" s="127"/>
      <c r="B775" s="128"/>
      <c r="C775" s="132"/>
      <c r="D775" s="133"/>
      <c r="E775" s="132"/>
      <c r="F775" s="129"/>
      <c r="G775" s="132"/>
      <c r="H775" s="132"/>
    </row>
    <row r="776" spans="1:8">
      <c r="A776" s="127"/>
      <c r="B776" s="128"/>
      <c r="C776" s="132"/>
      <c r="D776" s="133"/>
      <c r="E776" s="132"/>
      <c r="F776" s="129"/>
      <c r="G776" s="132"/>
      <c r="H776" s="132"/>
    </row>
    <row r="777" spans="1:8">
      <c r="A777" s="127"/>
      <c r="B777" s="128"/>
      <c r="C777" s="132"/>
      <c r="D777" s="133"/>
      <c r="E777" s="132"/>
      <c r="F777" s="129"/>
      <c r="G777" s="132"/>
      <c r="H777" s="132"/>
    </row>
    <row r="778" spans="1:8">
      <c r="A778" s="127"/>
      <c r="B778" s="128"/>
      <c r="C778" s="132"/>
      <c r="D778" s="133"/>
      <c r="E778" s="132"/>
      <c r="F778" s="129"/>
      <c r="G778" s="132"/>
      <c r="H778" s="132"/>
    </row>
    <row r="779" spans="1:8">
      <c r="A779" s="127"/>
      <c r="B779" s="128"/>
      <c r="C779" s="132"/>
      <c r="D779" s="133"/>
      <c r="E779" s="132"/>
      <c r="F779" s="129"/>
      <c r="G779" s="132"/>
      <c r="H779" s="132"/>
    </row>
    <row r="780" spans="1:8">
      <c r="A780" s="127"/>
      <c r="B780" s="128"/>
      <c r="C780" s="132"/>
      <c r="D780" s="133"/>
      <c r="E780" s="132"/>
      <c r="F780" s="129"/>
      <c r="G780" s="132"/>
      <c r="H780" s="132"/>
    </row>
    <row r="781" spans="1:8">
      <c r="A781" s="127"/>
      <c r="B781" s="128"/>
      <c r="C781" s="132"/>
      <c r="D781" s="133"/>
      <c r="E781" s="132"/>
      <c r="F781" s="129"/>
      <c r="G781" s="132"/>
      <c r="H781" s="132"/>
    </row>
    <row r="782" spans="1:8">
      <c r="A782" s="127"/>
      <c r="B782" s="128"/>
      <c r="C782" s="132"/>
      <c r="D782" s="133"/>
      <c r="E782" s="132"/>
      <c r="F782" s="129"/>
      <c r="G782" s="132"/>
      <c r="H782" s="132"/>
    </row>
    <row r="783" spans="1:8">
      <c r="A783" s="127"/>
      <c r="B783" s="128"/>
      <c r="C783" s="132"/>
      <c r="D783" s="133"/>
      <c r="E783" s="132"/>
      <c r="F783" s="129"/>
      <c r="G783" s="132"/>
      <c r="H783" s="132"/>
    </row>
    <row r="784" spans="1:8">
      <c r="A784" s="127"/>
      <c r="B784" s="128"/>
      <c r="C784" s="132"/>
      <c r="D784" s="133"/>
      <c r="E784" s="132"/>
      <c r="F784" s="129"/>
      <c r="G784" s="132"/>
      <c r="H784" s="132"/>
    </row>
    <row r="785" spans="1:8">
      <c r="A785" s="127"/>
      <c r="B785" s="128"/>
      <c r="C785" s="132"/>
      <c r="D785" s="133"/>
      <c r="E785" s="132"/>
      <c r="F785" s="129"/>
      <c r="G785" s="132"/>
      <c r="H785" s="132"/>
    </row>
    <row r="786" spans="1:8">
      <c r="A786" s="127"/>
      <c r="B786" s="128"/>
      <c r="C786" s="132"/>
      <c r="D786" s="133"/>
      <c r="E786" s="132"/>
      <c r="F786" s="129"/>
      <c r="G786" s="132"/>
      <c r="H786" s="132"/>
    </row>
    <row r="787" spans="1:8">
      <c r="A787" s="127"/>
      <c r="B787" s="128"/>
      <c r="C787" s="132"/>
      <c r="D787" s="133"/>
      <c r="E787" s="132"/>
      <c r="F787" s="129"/>
      <c r="G787" s="132"/>
      <c r="H787" s="132"/>
    </row>
    <row r="788" spans="1:8">
      <c r="A788" s="127"/>
      <c r="B788" s="128"/>
      <c r="C788" s="132"/>
      <c r="D788" s="133"/>
      <c r="E788" s="132"/>
      <c r="F788" s="129"/>
      <c r="G788" s="132"/>
      <c r="H788" s="132"/>
    </row>
    <row r="789" spans="1:8">
      <c r="A789" s="127"/>
      <c r="B789" s="128"/>
      <c r="C789" s="132"/>
      <c r="D789" s="133"/>
      <c r="E789" s="132"/>
      <c r="F789" s="129"/>
      <c r="G789" s="132"/>
      <c r="H789" s="132"/>
    </row>
    <row r="790" spans="1:8">
      <c r="A790" s="127"/>
      <c r="B790" s="128"/>
      <c r="C790" s="132"/>
      <c r="D790" s="133"/>
      <c r="E790" s="132"/>
      <c r="F790" s="129"/>
      <c r="G790" s="132"/>
      <c r="H790" s="132"/>
    </row>
    <row r="791" spans="1:8">
      <c r="A791" s="127"/>
      <c r="B791" s="128"/>
      <c r="C791" s="132"/>
      <c r="D791" s="133"/>
      <c r="E791" s="132"/>
      <c r="F791" s="129"/>
      <c r="G791" s="132"/>
      <c r="H791" s="132"/>
    </row>
    <row r="792" spans="1:8">
      <c r="A792" s="127"/>
      <c r="B792" s="128"/>
      <c r="C792" s="132"/>
      <c r="D792" s="133"/>
      <c r="E792" s="132"/>
      <c r="F792" s="129"/>
      <c r="G792" s="132"/>
      <c r="H792" s="132"/>
    </row>
    <row r="793" spans="1:8">
      <c r="A793" s="127"/>
      <c r="B793" s="128"/>
      <c r="C793" s="132"/>
      <c r="D793" s="133"/>
      <c r="E793" s="132"/>
      <c r="F793" s="129"/>
      <c r="G793" s="132"/>
      <c r="H793" s="132"/>
    </row>
    <row r="794" spans="1:8">
      <c r="A794" s="127"/>
      <c r="B794" s="128"/>
      <c r="C794" s="132"/>
      <c r="D794" s="133"/>
      <c r="E794" s="132"/>
      <c r="F794" s="129"/>
      <c r="G794" s="132"/>
      <c r="H794" s="132"/>
    </row>
    <row r="795" spans="1:8">
      <c r="A795" s="127"/>
      <c r="B795" s="128"/>
      <c r="C795" s="132"/>
      <c r="D795" s="133"/>
      <c r="E795" s="132"/>
      <c r="F795" s="129"/>
      <c r="G795" s="132"/>
      <c r="H795" s="132"/>
    </row>
    <row r="796" spans="1:8">
      <c r="A796" s="127"/>
      <c r="B796" s="128"/>
      <c r="C796" s="132"/>
      <c r="D796" s="133"/>
      <c r="E796" s="132"/>
      <c r="F796" s="129"/>
      <c r="G796" s="132"/>
      <c r="H796" s="132"/>
    </row>
    <row r="797" spans="1:8">
      <c r="A797" s="127"/>
      <c r="B797" s="128"/>
      <c r="C797" s="132"/>
      <c r="D797" s="133"/>
      <c r="E797" s="132"/>
      <c r="F797" s="129"/>
      <c r="G797" s="132"/>
      <c r="H797" s="132"/>
    </row>
    <row r="798" spans="1:8">
      <c r="A798" s="127"/>
      <c r="B798" s="128"/>
      <c r="C798" s="132"/>
      <c r="D798" s="133"/>
      <c r="E798" s="132"/>
      <c r="F798" s="129"/>
      <c r="G798" s="132"/>
      <c r="H798" s="132"/>
    </row>
    <row r="799" spans="1:8">
      <c r="A799" s="127"/>
      <c r="B799" s="128"/>
      <c r="C799" s="132"/>
      <c r="D799" s="133"/>
      <c r="E799" s="132"/>
      <c r="F799" s="129"/>
      <c r="G799" s="132"/>
      <c r="H799" s="132"/>
    </row>
    <row r="800" spans="1:8">
      <c r="A800" s="127"/>
      <c r="B800" s="128"/>
      <c r="C800" s="132"/>
      <c r="D800" s="133"/>
      <c r="E800" s="132"/>
      <c r="F800" s="129"/>
      <c r="G800" s="132"/>
      <c r="H800" s="132"/>
    </row>
    <row r="801" spans="1:8">
      <c r="A801" s="127"/>
      <c r="B801" s="128"/>
      <c r="C801" s="132"/>
      <c r="D801" s="133"/>
      <c r="E801" s="132"/>
      <c r="F801" s="129"/>
      <c r="G801" s="132"/>
      <c r="H801" s="132"/>
    </row>
    <row r="802" spans="1:8">
      <c r="A802" s="127"/>
      <c r="B802" s="128"/>
      <c r="C802" s="132"/>
      <c r="D802" s="133"/>
      <c r="E802" s="132"/>
      <c r="F802" s="129"/>
      <c r="G802" s="132"/>
      <c r="H802" s="132"/>
    </row>
    <row r="803" spans="1:8">
      <c r="A803" s="127"/>
      <c r="B803" s="128"/>
      <c r="C803" s="132"/>
      <c r="D803" s="133"/>
      <c r="E803" s="132"/>
      <c r="F803" s="129"/>
      <c r="G803" s="132"/>
      <c r="H803" s="132"/>
    </row>
    <row r="804" spans="1:8">
      <c r="A804" s="127"/>
      <c r="B804" s="128"/>
      <c r="C804" s="132"/>
      <c r="D804" s="133"/>
      <c r="E804" s="132"/>
      <c r="F804" s="129"/>
      <c r="G804" s="132"/>
      <c r="H804" s="132"/>
    </row>
    <row r="805" spans="1:8">
      <c r="A805" s="127"/>
      <c r="B805" s="128"/>
      <c r="C805" s="132"/>
      <c r="D805" s="133"/>
      <c r="E805" s="132"/>
      <c r="F805" s="129"/>
      <c r="G805" s="132"/>
      <c r="H805" s="132"/>
    </row>
    <row r="806" spans="1:8">
      <c r="A806" s="127"/>
      <c r="B806" s="128"/>
      <c r="C806" s="132"/>
      <c r="D806" s="133"/>
      <c r="E806" s="132"/>
      <c r="F806" s="129"/>
      <c r="G806" s="132"/>
      <c r="H806" s="132"/>
    </row>
    <row r="807" spans="1:8">
      <c r="A807" s="127"/>
      <c r="B807" s="128"/>
      <c r="C807" s="132"/>
      <c r="D807" s="133"/>
      <c r="E807" s="132"/>
      <c r="F807" s="129"/>
      <c r="G807" s="132"/>
      <c r="H807" s="132"/>
    </row>
    <row r="808" spans="1:8">
      <c r="A808" s="127"/>
      <c r="B808" s="128"/>
      <c r="C808" s="132"/>
      <c r="D808" s="133"/>
      <c r="E808" s="132"/>
      <c r="F808" s="129"/>
      <c r="G808" s="132"/>
      <c r="H808" s="132"/>
    </row>
    <row r="809" spans="1:8">
      <c r="A809" s="127"/>
      <c r="B809" s="128"/>
      <c r="C809" s="132"/>
      <c r="D809" s="133"/>
      <c r="E809" s="132"/>
      <c r="F809" s="129"/>
      <c r="G809" s="132"/>
      <c r="H809" s="132"/>
    </row>
    <row r="810" spans="1:8">
      <c r="A810" s="127"/>
      <c r="B810" s="128"/>
      <c r="C810" s="132"/>
      <c r="D810" s="133"/>
      <c r="E810" s="132"/>
      <c r="F810" s="129"/>
      <c r="G810" s="132"/>
      <c r="H810" s="132"/>
    </row>
    <row r="811" spans="1:8">
      <c r="A811" s="127"/>
      <c r="B811" s="128"/>
      <c r="C811" s="132"/>
      <c r="D811" s="133"/>
      <c r="E811" s="132"/>
      <c r="F811" s="129"/>
      <c r="G811" s="132"/>
      <c r="H811" s="132"/>
    </row>
    <row r="812" spans="1:8">
      <c r="A812" s="127"/>
      <c r="B812" s="128"/>
      <c r="C812" s="132"/>
      <c r="D812" s="133"/>
      <c r="E812" s="132"/>
      <c r="F812" s="129"/>
      <c r="G812" s="132"/>
      <c r="H812" s="132"/>
    </row>
    <row r="813" spans="1:8">
      <c r="A813" s="127"/>
      <c r="B813" s="128"/>
      <c r="C813" s="132"/>
      <c r="D813" s="133"/>
      <c r="E813" s="132"/>
      <c r="F813" s="129"/>
      <c r="G813" s="132"/>
      <c r="H813" s="132"/>
    </row>
    <row r="814" spans="1:8">
      <c r="A814" s="127"/>
      <c r="B814" s="128"/>
      <c r="C814" s="132"/>
      <c r="D814" s="133"/>
      <c r="E814" s="132"/>
      <c r="F814" s="129"/>
      <c r="G814" s="132"/>
      <c r="H814" s="132"/>
    </row>
    <row r="815" spans="1:8">
      <c r="A815" s="127"/>
      <c r="B815" s="128"/>
      <c r="C815" s="132"/>
      <c r="D815" s="133"/>
      <c r="E815" s="132"/>
      <c r="F815" s="129"/>
      <c r="G815" s="132"/>
      <c r="H815" s="132"/>
    </row>
    <row r="816" spans="1:8">
      <c r="A816" s="127"/>
      <c r="B816" s="128"/>
      <c r="C816" s="132"/>
      <c r="D816" s="133"/>
      <c r="E816" s="132"/>
      <c r="F816" s="129"/>
      <c r="G816" s="132"/>
      <c r="H816" s="132"/>
    </row>
    <row r="817" spans="1:8">
      <c r="A817" s="127"/>
      <c r="B817" s="128"/>
      <c r="C817" s="132"/>
      <c r="D817" s="133"/>
      <c r="E817" s="132"/>
      <c r="F817" s="129"/>
      <c r="G817" s="132"/>
      <c r="H817" s="132"/>
    </row>
    <row r="818" spans="1:8">
      <c r="A818" s="127"/>
      <c r="B818" s="128"/>
      <c r="C818" s="132"/>
      <c r="D818" s="133"/>
      <c r="E818" s="132"/>
      <c r="F818" s="129"/>
      <c r="G818" s="132"/>
      <c r="H818" s="132"/>
    </row>
    <row r="819" spans="1:8">
      <c r="A819" s="127"/>
      <c r="B819" s="128"/>
      <c r="C819" s="132"/>
      <c r="D819" s="133"/>
      <c r="E819" s="132"/>
      <c r="F819" s="129"/>
      <c r="G819" s="132"/>
      <c r="H819" s="132"/>
    </row>
    <row r="820" spans="1:8">
      <c r="A820" s="127"/>
      <c r="B820" s="128"/>
      <c r="C820" s="132"/>
      <c r="D820" s="133"/>
      <c r="E820" s="132"/>
      <c r="F820" s="129"/>
      <c r="G820" s="132"/>
      <c r="H820" s="132"/>
    </row>
    <row r="821" spans="1:8">
      <c r="A821" s="127"/>
      <c r="B821" s="128"/>
      <c r="C821" s="132"/>
      <c r="D821" s="133"/>
      <c r="E821" s="132"/>
      <c r="F821" s="129"/>
      <c r="G821" s="132"/>
      <c r="H821" s="132"/>
    </row>
    <row r="822" spans="1:8">
      <c r="A822" s="127"/>
      <c r="B822" s="128"/>
      <c r="C822" s="132"/>
      <c r="D822" s="133"/>
      <c r="E822" s="132"/>
      <c r="F822" s="129"/>
      <c r="G822" s="132"/>
      <c r="H822" s="132"/>
    </row>
    <row r="823" spans="1:8">
      <c r="A823" s="127"/>
      <c r="B823" s="128"/>
      <c r="C823" s="132"/>
      <c r="D823" s="133"/>
      <c r="E823" s="132"/>
      <c r="F823" s="129"/>
      <c r="G823" s="132"/>
      <c r="H823" s="132"/>
    </row>
    <row r="824" spans="1:8">
      <c r="A824" s="127"/>
      <c r="B824" s="128"/>
      <c r="C824" s="132"/>
      <c r="D824" s="133"/>
      <c r="E824" s="132"/>
      <c r="F824" s="129"/>
      <c r="G824" s="132"/>
      <c r="H824" s="132"/>
    </row>
    <row r="825" spans="1:8">
      <c r="A825" s="127"/>
      <c r="B825" s="128"/>
      <c r="C825" s="132"/>
      <c r="D825" s="133"/>
      <c r="E825" s="132"/>
      <c r="F825" s="129"/>
      <c r="G825" s="132"/>
      <c r="H825" s="132"/>
    </row>
    <row r="826" spans="1:8">
      <c r="A826" s="127"/>
      <c r="B826" s="128"/>
      <c r="C826" s="132"/>
      <c r="D826" s="133"/>
      <c r="E826" s="132"/>
      <c r="F826" s="129"/>
      <c r="G826" s="132"/>
      <c r="H826" s="132"/>
    </row>
    <row r="827" spans="1:8">
      <c r="A827" s="127"/>
      <c r="B827" s="128"/>
      <c r="C827" s="132"/>
      <c r="D827" s="133"/>
      <c r="E827" s="132"/>
      <c r="F827" s="129"/>
      <c r="G827" s="132"/>
      <c r="H827" s="132"/>
    </row>
    <row r="828" spans="1:8">
      <c r="A828" s="127"/>
      <c r="B828" s="128"/>
      <c r="C828" s="132"/>
      <c r="D828" s="133"/>
      <c r="E828" s="132"/>
      <c r="F828" s="129"/>
      <c r="G828" s="132"/>
      <c r="H828" s="132"/>
    </row>
    <row r="829" spans="1:8">
      <c r="A829" s="127"/>
      <c r="B829" s="128"/>
      <c r="C829" s="132"/>
      <c r="D829" s="133"/>
      <c r="E829" s="132"/>
      <c r="F829" s="129"/>
      <c r="G829" s="132"/>
      <c r="H829" s="132"/>
    </row>
    <row r="830" spans="1:8">
      <c r="A830" s="127"/>
      <c r="B830" s="128"/>
      <c r="C830" s="132"/>
      <c r="D830" s="133"/>
      <c r="E830" s="132"/>
      <c r="F830" s="129"/>
      <c r="G830" s="132"/>
      <c r="H830" s="132"/>
    </row>
    <row r="831" spans="1:8">
      <c r="A831" s="127"/>
      <c r="B831" s="128"/>
      <c r="C831" s="132"/>
      <c r="D831" s="133"/>
      <c r="E831" s="132"/>
      <c r="F831" s="129"/>
      <c r="G831" s="132"/>
      <c r="H831" s="132"/>
    </row>
    <row r="832" spans="1:8">
      <c r="A832" s="127"/>
      <c r="B832" s="128"/>
      <c r="C832" s="132"/>
      <c r="D832" s="133"/>
      <c r="E832" s="132"/>
      <c r="F832" s="129"/>
      <c r="G832" s="132"/>
      <c r="H832" s="132"/>
    </row>
    <row r="833" spans="1:8">
      <c r="A833" s="127"/>
      <c r="B833" s="128"/>
      <c r="C833" s="132"/>
      <c r="D833" s="133"/>
      <c r="E833" s="132"/>
      <c r="F833" s="129"/>
      <c r="G833" s="132"/>
      <c r="H833" s="132"/>
    </row>
    <row r="834" spans="1:8">
      <c r="A834" s="127"/>
      <c r="B834" s="128"/>
      <c r="C834" s="132"/>
      <c r="D834" s="133"/>
      <c r="E834" s="132"/>
      <c r="F834" s="129"/>
      <c r="G834" s="132"/>
      <c r="H834" s="132"/>
    </row>
    <row r="835" spans="1:8">
      <c r="A835" s="127"/>
      <c r="B835" s="128"/>
      <c r="C835" s="132"/>
      <c r="D835" s="133"/>
      <c r="E835" s="132"/>
      <c r="F835" s="129"/>
      <c r="G835" s="132"/>
      <c r="H835" s="132"/>
    </row>
    <row r="836" spans="1:8">
      <c r="A836" s="127"/>
      <c r="B836" s="128"/>
      <c r="C836" s="132"/>
      <c r="D836" s="133"/>
      <c r="E836" s="132"/>
      <c r="F836" s="129"/>
      <c r="G836" s="132"/>
      <c r="H836" s="132"/>
    </row>
    <row r="837" spans="1:8">
      <c r="A837" s="127"/>
      <c r="B837" s="128"/>
      <c r="C837" s="132"/>
      <c r="D837" s="133"/>
      <c r="E837" s="132"/>
      <c r="F837" s="129"/>
      <c r="G837" s="132"/>
      <c r="H837" s="132"/>
    </row>
    <row r="838" spans="1:8">
      <c r="A838" s="127"/>
      <c r="B838" s="128"/>
      <c r="C838" s="132"/>
      <c r="D838" s="133"/>
      <c r="E838" s="132"/>
      <c r="F838" s="129"/>
      <c r="G838" s="132"/>
      <c r="H838" s="132"/>
    </row>
    <row r="839" spans="1:8">
      <c r="A839" s="127"/>
      <c r="B839" s="128"/>
      <c r="C839" s="132"/>
      <c r="D839" s="133"/>
      <c r="E839" s="132"/>
      <c r="F839" s="129"/>
      <c r="G839" s="132"/>
      <c r="H839" s="132"/>
    </row>
    <row r="840" spans="1:8">
      <c r="A840" s="127"/>
      <c r="B840" s="128"/>
      <c r="C840" s="132"/>
      <c r="D840" s="133"/>
      <c r="E840" s="132"/>
      <c r="F840" s="129"/>
      <c r="G840" s="132"/>
      <c r="H840" s="132"/>
    </row>
    <row r="841" spans="1:8">
      <c r="A841" s="127"/>
      <c r="B841" s="128"/>
      <c r="C841" s="132"/>
      <c r="D841" s="133"/>
      <c r="E841" s="132"/>
      <c r="F841" s="129"/>
      <c r="G841" s="132"/>
      <c r="H841" s="132"/>
    </row>
    <row r="842" spans="1:8">
      <c r="A842" s="127"/>
      <c r="B842" s="128"/>
      <c r="C842" s="132"/>
      <c r="D842" s="133"/>
      <c r="E842" s="132"/>
      <c r="F842" s="129"/>
      <c r="G842" s="132"/>
      <c r="H842" s="132"/>
    </row>
    <row r="843" spans="1:8">
      <c r="A843" s="127"/>
      <c r="B843" s="128"/>
      <c r="C843" s="132"/>
      <c r="D843" s="133"/>
      <c r="E843" s="132"/>
      <c r="F843" s="129"/>
      <c r="G843" s="132"/>
      <c r="H843" s="132"/>
    </row>
    <row r="844" spans="1:8">
      <c r="A844" s="127"/>
      <c r="B844" s="128"/>
      <c r="C844" s="132"/>
      <c r="D844" s="133"/>
      <c r="E844" s="132"/>
      <c r="F844" s="129"/>
      <c r="G844" s="132"/>
      <c r="H844" s="132"/>
    </row>
    <row r="845" spans="1:8">
      <c r="A845" s="127"/>
      <c r="B845" s="128"/>
      <c r="C845" s="132"/>
      <c r="D845" s="133"/>
      <c r="E845" s="132"/>
      <c r="F845" s="129"/>
      <c r="G845" s="132"/>
      <c r="H845" s="132"/>
    </row>
    <row r="846" spans="1:8">
      <c r="A846" s="127"/>
      <c r="B846" s="128"/>
      <c r="C846" s="132"/>
      <c r="D846" s="133"/>
      <c r="E846" s="132"/>
      <c r="F846" s="129"/>
      <c r="G846" s="132"/>
      <c r="H846" s="132"/>
    </row>
    <row r="847" spans="1:8">
      <c r="A847" s="127"/>
      <c r="B847" s="128"/>
      <c r="C847" s="132"/>
      <c r="D847" s="133"/>
      <c r="E847" s="132"/>
      <c r="F847" s="129"/>
      <c r="G847" s="132"/>
      <c r="H847" s="132"/>
    </row>
    <row r="848" spans="1:8">
      <c r="A848" s="127"/>
      <c r="B848" s="128"/>
      <c r="C848" s="132"/>
      <c r="D848" s="133"/>
      <c r="E848" s="132"/>
      <c r="F848" s="129"/>
      <c r="G848" s="132"/>
      <c r="H848" s="132"/>
    </row>
    <row r="849" spans="1:8">
      <c r="A849" s="127"/>
      <c r="B849" s="128"/>
      <c r="C849" s="132"/>
      <c r="D849" s="133"/>
      <c r="E849" s="132"/>
      <c r="F849" s="129"/>
      <c r="G849" s="132"/>
      <c r="H849" s="132"/>
    </row>
    <row r="850" spans="1:8">
      <c r="A850" s="127"/>
      <c r="B850" s="128"/>
      <c r="C850" s="132"/>
      <c r="D850" s="133"/>
      <c r="E850" s="132"/>
      <c r="F850" s="129"/>
      <c r="G850" s="132"/>
      <c r="H850" s="132"/>
    </row>
    <row r="851" spans="1:8">
      <c r="A851" s="127"/>
      <c r="B851" s="128"/>
      <c r="C851" s="132"/>
      <c r="D851" s="133"/>
      <c r="E851" s="132"/>
      <c r="F851" s="129"/>
      <c r="G851" s="132"/>
      <c r="H851" s="132"/>
    </row>
    <row r="852" spans="1:8">
      <c r="A852" s="127"/>
      <c r="B852" s="128"/>
      <c r="C852" s="132"/>
      <c r="D852" s="133"/>
      <c r="E852" s="132"/>
      <c r="F852" s="129"/>
      <c r="G852" s="132"/>
      <c r="H852" s="132"/>
    </row>
    <row r="853" spans="1:8">
      <c r="A853" s="127"/>
      <c r="B853" s="128"/>
      <c r="C853" s="132"/>
      <c r="D853" s="133"/>
      <c r="E853" s="132"/>
      <c r="F853" s="129"/>
      <c r="G853" s="132"/>
      <c r="H853" s="132"/>
    </row>
    <row r="854" spans="1:8">
      <c r="A854" s="127"/>
      <c r="B854" s="128"/>
      <c r="C854" s="132"/>
      <c r="D854" s="133"/>
      <c r="E854" s="132"/>
      <c r="F854" s="129"/>
      <c r="G854" s="132"/>
      <c r="H854" s="132"/>
    </row>
    <row r="855" spans="1:8">
      <c r="A855" s="127"/>
      <c r="B855" s="128"/>
      <c r="C855" s="132"/>
      <c r="D855" s="133"/>
      <c r="E855" s="132"/>
      <c r="F855" s="129"/>
      <c r="G855" s="132"/>
      <c r="H855" s="132"/>
    </row>
    <row r="856" spans="1:8">
      <c r="A856" s="127"/>
      <c r="B856" s="128"/>
      <c r="C856" s="132"/>
      <c r="D856" s="133"/>
      <c r="E856" s="132"/>
      <c r="F856" s="129"/>
      <c r="G856" s="132"/>
      <c r="H856" s="132"/>
    </row>
    <row r="857" spans="1:8">
      <c r="A857" s="127"/>
      <c r="B857" s="128"/>
      <c r="C857" s="132"/>
      <c r="D857" s="133"/>
      <c r="E857" s="132"/>
      <c r="F857" s="129"/>
      <c r="G857" s="132"/>
      <c r="H857" s="132"/>
    </row>
    <row r="858" spans="1:8">
      <c r="A858" s="127"/>
      <c r="B858" s="128"/>
      <c r="C858" s="132"/>
      <c r="D858" s="133"/>
      <c r="E858" s="132"/>
      <c r="F858" s="129"/>
      <c r="G858" s="132"/>
      <c r="H858" s="132"/>
    </row>
    <row r="859" spans="1:8">
      <c r="A859" s="127"/>
      <c r="B859" s="128"/>
      <c r="C859" s="132"/>
      <c r="D859" s="133"/>
      <c r="E859" s="132"/>
      <c r="F859" s="129"/>
      <c r="G859" s="132"/>
      <c r="H859" s="132"/>
    </row>
    <row r="860" spans="1:8">
      <c r="A860" s="127"/>
      <c r="B860" s="128"/>
      <c r="C860" s="132"/>
      <c r="D860" s="133"/>
      <c r="E860" s="132"/>
      <c r="F860" s="129"/>
      <c r="G860" s="132"/>
      <c r="H860" s="132"/>
    </row>
    <row r="861" spans="1:8">
      <c r="A861" s="127"/>
      <c r="B861" s="128"/>
      <c r="C861" s="132"/>
      <c r="D861" s="133"/>
      <c r="E861" s="132"/>
      <c r="F861" s="129"/>
      <c r="G861" s="132"/>
      <c r="H861" s="132"/>
    </row>
    <row r="862" spans="1:8">
      <c r="A862" s="127"/>
      <c r="B862" s="128"/>
      <c r="C862" s="132"/>
      <c r="D862" s="133"/>
      <c r="E862" s="132"/>
      <c r="F862" s="129"/>
      <c r="G862" s="132"/>
      <c r="H862" s="132"/>
    </row>
    <row r="863" spans="1:8">
      <c r="A863" s="127"/>
      <c r="B863" s="128"/>
      <c r="C863" s="132"/>
      <c r="D863" s="133"/>
      <c r="E863" s="132"/>
      <c r="F863" s="129"/>
      <c r="G863" s="132"/>
      <c r="H863" s="132"/>
    </row>
    <row r="864" spans="1:8">
      <c r="A864" s="127"/>
      <c r="B864" s="128"/>
      <c r="C864" s="132"/>
      <c r="D864" s="133"/>
      <c r="E864" s="132"/>
      <c r="F864" s="129"/>
      <c r="G864" s="132"/>
      <c r="H864" s="132"/>
    </row>
    <row r="865" spans="1:8">
      <c r="A865" s="127"/>
      <c r="B865" s="128"/>
      <c r="C865" s="132"/>
      <c r="D865" s="133"/>
      <c r="E865" s="132"/>
      <c r="F865" s="129"/>
      <c r="G865" s="132"/>
      <c r="H865" s="132"/>
    </row>
    <row r="866" spans="1:8">
      <c r="A866" s="127"/>
      <c r="B866" s="128"/>
      <c r="C866" s="132"/>
      <c r="D866" s="133"/>
      <c r="E866" s="132"/>
      <c r="F866" s="129"/>
      <c r="G866" s="132"/>
      <c r="H866" s="132"/>
    </row>
    <row r="867" spans="1:8">
      <c r="A867" s="127"/>
      <c r="B867" s="128"/>
      <c r="C867" s="132"/>
      <c r="D867" s="133"/>
      <c r="E867" s="132"/>
      <c r="F867" s="129"/>
      <c r="G867" s="132"/>
      <c r="H867" s="132"/>
    </row>
    <row r="868" spans="1:8">
      <c r="A868" s="127"/>
      <c r="B868" s="128"/>
      <c r="C868" s="132"/>
      <c r="D868" s="133"/>
      <c r="E868" s="132"/>
      <c r="F868" s="129"/>
      <c r="G868" s="132"/>
      <c r="H868" s="132"/>
    </row>
    <row r="869" spans="1:8">
      <c r="A869" s="127"/>
      <c r="B869" s="128"/>
      <c r="C869" s="132"/>
      <c r="D869" s="133"/>
      <c r="E869" s="132"/>
      <c r="F869" s="129"/>
      <c r="G869" s="132"/>
      <c r="H869" s="132"/>
    </row>
    <row r="870" spans="1:8">
      <c r="A870" s="127"/>
      <c r="B870" s="128"/>
      <c r="C870" s="132"/>
      <c r="D870" s="133"/>
      <c r="E870" s="132"/>
      <c r="F870" s="129"/>
      <c r="G870" s="132"/>
      <c r="H870" s="132"/>
    </row>
    <row r="871" spans="1:8">
      <c r="A871" s="127"/>
      <c r="B871" s="128"/>
      <c r="C871" s="132"/>
      <c r="D871" s="133"/>
      <c r="E871" s="132"/>
      <c r="F871" s="129"/>
      <c r="G871" s="132"/>
      <c r="H871" s="132"/>
    </row>
    <row r="872" spans="1:8">
      <c r="A872" s="127"/>
      <c r="B872" s="128"/>
      <c r="C872" s="132"/>
      <c r="D872" s="133"/>
      <c r="E872" s="132"/>
      <c r="F872" s="129"/>
      <c r="G872" s="132"/>
      <c r="H872" s="132"/>
    </row>
    <row r="873" spans="1:8">
      <c r="A873" s="127"/>
      <c r="B873" s="128"/>
      <c r="C873" s="132"/>
      <c r="D873" s="133"/>
      <c r="E873" s="132"/>
      <c r="F873" s="129"/>
      <c r="G873" s="132"/>
      <c r="H873" s="132"/>
    </row>
    <row r="874" spans="1:8">
      <c r="A874" s="127"/>
      <c r="B874" s="128"/>
      <c r="C874" s="132"/>
      <c r="D874" s="133"/>
      <c r="E874" s="132"/>
      <c r="F874" s="129"/>
      <c r="G874" s="132"/>
      <c r="H874" s="132"/>
    </row>
    <row r="875" spans="1:8">
      <c r="A875" s="127"/>
      <c r="B875" s="128"/>
      <c r="C875" s="132"/>
      <c r="D875" s="133"/>
      <c r="E875" s="132"/>
      <c r="F875" s="129"/>
      <c r="G875" s="132"/>
      <c r="H875" s="132"/>
    </row>
    <row r="876" spans="1:8">
      <c r="A876" s="127"/>
      <c r="B876" s="128"/>
      <c r="C876" s="132"/>
      <c r="D876" s="133"/>
      <c r="E876" s="132"/>
      <c r="F876" s="129"/>
      <c r="G876" s="132"/>
      <c r="H876" s="132"/>
    </row>
    <row r="877" spans="1:8">
      <c r="A877" s="127"/>
      <c r="B877" s="128"/>
      <c r="C877" s="132"/>
      <c r="D877" s="133"/>
      <c r="E877" s="132"/>
      <c r="F877" s="129"/>
      <c r="G877" s="132"/>
      <c r="H877" s="132"/>
    </row>
    <row r="878" spans="1:8">
      <c r="A878" s="127"/>
      <c r="B878" s="128"/>
      <c r="C878" s="132"/>
      <c r="D878" s="133"/>
      <c r="E878" s="132"/>
      <c r="F878" s="129"/>
      <c r="G878" s="132"/>
      <c r="H878" s="132"/>
    </row>
    <row r="879" spans="1:8">
      <c r="A879" s="127"/>
      <c r="B879" s="128"/>
      <c r="C879" s="132"/>
      <c r="D879" s="133"/>
      <c r="E879" s="132"/>
      <c r="F879" s="129"/>
      <c r="G879" s="132"/>
      <c r="H879" s="132"/>
    </row>
    <row r="880" spans="1:8">
      <c r="A880" s="127"/>
      <c r="B880" s="128"/>
      <c r="C880" s="132"/>
      <c r="D880" s="133"/>
      <c r="E880" s="132"/>
      <c r="F880" s="129"/>
      <c r="G880" s="132"/>
      <c r="H880" s="132"/>
    </row>
    <row r="881" spans="1:8">
      <c r="A881" s="127"/>
      <c r="B881" s="128"/>
      <c r="C881" s="132"/>
      <c r="D881" s="133"/>
      <c r="E881" s="132"/>
      <c r="F881" s="129"/>
      <c r="G881" s="132"/>
      <c r="H881" s="132"/>
    </row>
    <row r="882" spans="1:8">
      <c r="A882" s="127"/>
      <c r="B882" s="128"/>
      <c r="C882" s="132"/>
      <c r="D882" s="133"/>
      <c r="E882" s="132"/>
      <c r="F882" s="129"/>
      <c r="G882" s="132"/>
      <c r="H882" s="132"/>
    </row>
    <row r="883" spans="1:8">
      <c r="A883" s="127"/>
      <c r="B883" s="128"/>
      <c r="C883" s="132"/>
      <c r="D883" s="133"/>
      <c r="E883" s="132"/>
      <c r="F883" s="129"/>
      <c r="G883" s="132"/>
      <c r="H883" s="132"/>
    </row>
    <row r="884" spans="1:8">
      <c r="A884" s="127"/>
      <c r="B884" s="128"/>
      <c r="C884" s="132"/>
      <c r="D884" s="133"/>
      <c r="E884" s="132"/>
      <c r="F884" s="129"/>
      <c r="G884" s="132"/>
      <c r="H884" s="132"/>
    </row>
  </sheetData>
  <conditionalFormatting sqref="D2">
    <cfRule type="expression" dxfId="2" priority="1">
      <formula>AND($D2&lt;&gt;"",$F2&lt;&gt;"",$D2&lt;$F2)</formula>
    </cfRule>
    <cfRule type="expression" dxfId="1" priority="2">
      <formula>AND($D2&lt;&gt;"",$K2&lt;&gt;"",$D2&lt;=$K2)</formula>
    </cfRule>
    <cfRule type="expression" dxfId="0" priority="3">
      <formula>AND($D2&lt;&gt;"",$K2&lt;&gt;"",$D2&gt;$K2)</formula>
    </cfRule>
  </conditionalFormatting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BA993B8-2F4E-442C-90C2-2842A211A575}">
          <x14:formula1>
            <xm:f>' CARGOS Y ESTADOS'!$B$5:$B$42</xm:f>
          </x14:formula1>
          <xm:sqref>B2:B1048576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C1022"/>
  <sheetViews>
    <sheetView tabSelected="1" workbookViewId="0">
      <selection activeCell="E15" sqref="E15"/>
    </sheetView>
  </sheetViews>
  <sheetFormatPr baseColWidth="10" defaultColWidth="12.5703125" defaultRowHeight="15" customHeight="1"/>
  <cols>
    <col min="1" max="1" width="9.28515625" customWidth="1"/>
    <col min="2" max="2" width="36.85546875" customWidth="1"/>
    <col min="3" max="6" width="9.28515625" customWidth="1"/>
    <col min="7" max="26" width="10.42578125" customWidth="1"/>
  </cols>
  <sheetData>
    <row r="4" spans="1:3">
      <c r="B4" s="3" t="s">
        <v>1071</v>
      </c>
    </row>
    <row r="5" spans="1:3">
      <c r="B5" s="4" t="s">
        <v>53</v>
      </c>
    </row>
    <row r="6" spans="1:3">
      <c r="B6" s="4" t="s">
        <v>591</v>
      </c>
    </row>
    <row r="7" spans="1:3">
      <c r="B7" s="4" t="s">
        <v>1036</v>
      </c>
    </row>
    <row r="8" spans="1:3">
      <c r="B8" s="4" t="s">
        <v>977</v>
      </c>
    </row>
    <row r="9" spans="1:3">
      <c r="B9" s="4" t="s">
        <v>38</v>
      </c>
    </row>
    <row r="10" spans="1:3">
      <c r="B10" s="4" t="s">
        <v>1072</v>
      </c>
    </row>
    <row r="11" spans="1:3">
      <c r="B11" s="4" t="s">
        <v>1050</v>
      </c>
    </row>
    <row r="12" spans="1:3">
      <c r="B12" s="4" t="s">
        <v>539</v>
      </c>
    </row>
    <row r="13" spans="1:3">
      <c r="B13" s="4" t="s">
        <v>610</v>
      </c>
    </row>
    <row r="14" spans="1:3">
      <c r="B14" s="5" t="s">
        <v>827</v>
      </c>
    </row>
    <row r="15" spans="1:3">
      <c r="B15" s="5" t="s">
        <v>1073</v>
      </c>
    </row>
    <row r="16" spans="1:3">
      <c r="A16" s="13"/>
      <c r="B16" s="6" t="s">
        <v>1074</v>
      </c>
      <c r="C16" s="13"/>
    </row>
    <row r="17" spans="1:3">
      <c r="A17" s="13"/>
      <c r="B17" s="6" t="s">
        <v>600</v>
      </c>
      <c r="C17" s="13"/>
    </row>
    <row r="18" spans="1:3">
      <c r="A18" s="13"/>
      <c r="B18" s="6" t="s">
        <v>1075</v>
      </c>
      <c r="C18" s="13"/>
    </row>
    <row r="19" spans="1:3">
      <c r="A19" s="13"/>
      <c r="B19" s="6"/>
      <c r="C19" s="13"/>
    </row>
    <row r="20" spans="1:3">
      <c r="A20" s="13"/>
      <c r="B20" s="6" t="s">
        <v>1002</v>
      </c>
      <c r="C20" s="13"/>
    </row>
    <row r="21" spans="1:3">
      <c r="A21" s="13"/>
      <c r="B21" s="6" t="s">
        <v>1076</v>
      </c>
      <c r="C21" s="13"/>
    </row>
    <row r="22" spans="1:3">
      <c r="A22" s="13"/>
      <c r="B22" s="6" t="s">
        <v>1043</v>
      </c>
      <c r="C22" s="13"/>
    </row>
    <row r="23" spans="1:3">
      <c r="A23" s="13"/>
      <c r="B23" s="6" t="s">
        <v>1077</v>
      </c>
      <c r="C23" s="13"/>
    </row>
    <row r="24" spans="1:3">
      <c r="A24" s="13"/>
      <c r="B24" s="6" t="s">
        <v>1078</v>
      </c>
      <c r="C24" s="13"/>
    </row>
    <row r="25" spans="1:3">
      <c r="B25" s="4" t="s">
        <v>1079</v>
      </c>
    </row>
    <row r="26" spans="1:3">
      <c r="B26" s="6" t="s">
        <v>1080</v>
      </c>
    </row>
    <row r="27" spans="1:3">
      <c r="B27" s="6" t="s">
        <v>1081</v>
      </c>
    </row>
    <row r="28" spans="1:3">
      <c r="B28" s="6" t="s">
        <v>1082</v>
      </c>
    </row>
    <row r="29" spans="1:3">
      <c r="B29" s="6" t="s">
        <v>1083</v>
      </c>
    </row>
    <row r="30" spans="1:3">
      <c r="B30" s="6" t="s">
        <v>1084</v>
      </c>
    </row>
    <row r="31" spans="1:3">
      <c r="B31" s="6" t="s">
        <v>1085</v>
      </c>
    </row>
    <row r="32" spans="1:3">
      <c r="B32" s="6"/>
    </row>
    <row r="33" spans="2:2">
      <c r="B33" s="6" t="s">
        <v>1045</v>
      </c>
    </row>
    <row r="34" spans="2:2">
      <c r="B34" s="6" t="s">
        <v>1086</v>
      </c>
    </row>
    <row r="35" spans="2:2">
      <c r="B35" s="6" t="s">
        <v>1006</v>
      </c>
    </row>
    <row r="36" spans="2:2">
      <c r="B36" s="6" t="s">
        <v>1014</v>
      </c>
    </row>
    <row r="37" spans="2:2">
      <c r="B37" s="6" t="s">
        <v>1010</v>
      </c>
    </row>
    <row r="38" spans="2:2">
      <c r="B38" s="6" t="s">
        <v>996</v>
      </c>
    </row>
    <row r="39" spans="2:2">
      <c r="B39" s="6" t="s">
        <v>1025</v>
      </c>
    </row>
    <row r="40" spans="2:2">
      <c r="B40" s="6" t="s">
        <v>1047</v>
      </c>
    </row>
    <row r="41" spans="2:2">
      <c r="B41" s="6" t="s">
        <v>1053</v>
      </c>
    </row>
    <row r="42" spans="2:2">
      <c r="B42" s="6" t="s">
        <v>991</v>
      </c>
    </row>
    <row r="43" spans="2:2" ht="15.75" customHeight="1">
      <c r="B43" s="7" t="s">
        <v>26</v>
      </c>
    </row>
    <row r="44" spans="2:2" ht="15.75" customHeight="1">
      <c r="B44" s="6" t="s">
        <v>39</v>
      </c>
    </row>
    <row r="45" spans="2:2" ht="15.75" customHeight="1">
      <c r="B45" s="6" t="s">
        <v>1087</v>
      </c>
    </row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09AD-F939-4082-AEE6-0764BE27BDA4}">
  <dimension ref="A2:B9"/>
  <sheetViews>
    <sheetView workbookViewId="0">
      <selection activeCell="L32" sqref="L32"/>
    </sheetView>
  </sheetViews>
  <sheetFormatPr baseColWidth="10" defaultColWidth="9.140625" defaultRowHeight="12.75"/>
  <cols>
    <col min="1" max="1" width="24.85546875" bestFit="1" customWidth="1"/>
    <col min="2" max="2" width="31.85546875" bestFit="1" customWidth="1"/>
  </cols>
  <sheetData>
    <row r="2" spans="1:2">
      <c r="A2" s="75" t="s">
        <v>29</v>
      </c>
      <c r="B2" t="s">
        <v>1088</v>
      </c>
    </row>
    <row r="3" spans="1:2">
      <c r="A3" s="10">
        <v>45993</v>
      </c>
      <c r="B3">
        <v>1</v>
      </c>
    </row>
    <row r="4" spans="1:2">
      <c r="A4" s="10">
        <v>46000</v>
      </c>
      <c r="B4">
        <v>1</v>
      </c>
    </row>
    <row r="5" spans="1:2">
      <c r="A5" s="10">
        <v>46015</v>
      </c>
      <c r="B5">
        <v>2</v>
      </c>
    </row>
    <row r="6" spans="1:2">
      <c r="A6" s="10">
        <v>46028</v>
      </c>
      <c r="B6">
        <v>2</v>
      </c>
    </row>
    <row r="7" spans="1:2">
      <c r="A7" s="10">
        <v>46038</v>
      </c>
      <c r="B7">
        <v>2</v>
      </c>
    </row>
    <row r="8" spans="1:2">
      <c r="A8" s="10" t="s">
        <v>987</v>
      </c>
    </row>
    <row r="9" spans="1:2">
      <c r="A9" s="10" t="s">
        <v>51</v>
      </c>
      <c r="B9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803E5A19023146A04BB7642D476AB8" ma:contentTypeVersion="3" ma:contentTypeDescription="Crear nuevo documento." ma:contentTypeScope="" ma:versionID="b130c754685be7ad0abc9d24d6a7bcbb">
  <xsd:schema xmlns:xsd="http://www.w3.org/2001/XMLSchema" xmlns:xs="http://www.w3.org/2001/XMLSchema" xmlns:p="http://schemas.microsoft.com/office/2006/metadata/properties" xmlns:ns2="b85da53d-34d9-41d6-86fa-719a7896079a" targetNamespace="http://schemas.microsoft.com/office/2006/metadata/properties" ma:root="true" ma:fieldsID="d81f7ac5d98fd465554016b50ef67d98" ns2:_="">
    <xsd:import namespace="b85da53d-34d9-41d6-86fa-719a789607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da53d-34d9-41d6-86fa-719a78960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1C6163-376D-4458-9422-949FACB4C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5da53d-34d9-41d6-86fa-719a78960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930D7E-2CD5-4BFD-8F1C-59AAB6F201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8589A1C-1025-49B3-B048-80207A172A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FESTIVOS</vt:lpstr>
      <vt:lpstr>MEDELLÍN-RIONEGRO</vt:lpstr>
      <vt:lpstr>RIONEGRO</vt:lpstr>
      <vt:lpstr>BOGOTA</vt:lpstr>
      <vt:lpstr>BARRANQUILLA</vt:lpstr>
      <vt:lpstr>EJE CAFETERO</vt:lpstr>
      <vt:lpstr>NO CRITICOS</vt:lpstr>
      <vt:lpstr>TEMPORADA</vt:lpstr>
      <vt:lpstr>APRENDICES </vt:lpstr>
      <vt:lpstr> CARGOS Y ESTADOS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Redmi Note 9S</dc:creator>
  <cp:keywords/>
  <dc:description/>
  <cp:lastModifiedBy>Facturacion Montolivo</cp:lastModifiedBy>
  <cp:revision/>
  <dcterms:created xsi:type="dcterms:W3CDTF">2023-10-24T15:16:28Z</dcterms:created>
  <dcterms:modified xsi:type="dcterms:W3CDTF">2026-08-05T20:00:13Z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65e63f569dad4ea889515f9e1878340e</vt:lpwstr>
  </property>
  <property fmtid="{D5CDD505-2E9C-101B-9397-08002B2CF9AE}" pid="3" name="ContentTypeId">
    <vt:lpwstr>0x0101003E803E5A19023146A04BB7642D476AB8</vt:lpwstr>
  </property>
</Properties>
</file>